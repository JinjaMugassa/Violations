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A\3D Objects\violations\"/>
    </mc:Choice>
  </mc:AlternateContent>
  <xr:revisionPtr revIDLastSave="0" documentId="13_ncr:1_{B46DC467-C20D-40C8-A160-2D0238656658}" xr6:coauthVersionLast="47" xr6:coauthVersionMax="47" xr10:uidLastSave="{00000000-0000-0000-0000-000000000000}"/>
  <bookViews>
    <workbookView xWindow="-110" yWindow="-110" windowWidth="19420" windowHeight="11020" firstSheet="2" activeTab="3" xr2:uid="{AFAD4D13-1F1A-4AC5-8742-1D8143B45D2E}"/>
  </bookViews>
  <sheets>
    <sheet name="OVERALL SUMMARY " sheetId="5" r:id="rId1"/>
    <sheet name="FOR SHEQ" sheetId="8" r:id="rId2"/>
    <sheet name="IDLING VOLATION" sheetId="7" r:id="rId3"/>
    <sheet name="HARSH BRAKE VIOLATION" sheetId="2" r:id="rId4"/>
    <sheet name=" OVER SPEEDING VIOLATION " sheetId="3" r:id="rId5"/>
    <sheet name="NIGHT DRIVING REPORT " sheetId="4" r:id="rId6"/>
    <sheet name="OFFENSE" sheetId="6" r:id="rId7"/>
  </sheets>
  <externalReferences>
    <externalReference r:id="rId8"/>
    <externalReference r:id="rId9"/>
    <externalReference r:id="rId10"/>
  </externalReferences>
  <definedNames>
    <definedName name="_xlnm._FilterDatabase" localSheetId="4" hidden="1">' OVER SPEEDING VIOLATION '!$A$1:$I$1</definedName>
    <definedName name="_xlnm._FilterDatabase" localSheetId="3" hidden="1">'HARSH BRAKE VIOLATION'!$A$1:$H$1</definedName>
    <definedName name="_xlnm._FilterDatabase" localSheetId="2" hidden="1">'IDLING VOLATION'!$A$1:$H$1</definedName>
    <definedName name="_xlnm._FilterDatabase" localSheetId="5" hidden="1">'NIGHT DRIVING REPORT '!$A$1:$L$1</definedName>
  </definedNames>
  <calcPr calcId="191029"/>
  <pivotCaches>
    <pivotCache cacheId="12" r:id="rId11"/>
    <pivotCache cacheId="13" r:id="rId12"/>
    <pivotCache cacheId="14" r:id="rId13"/>
    <pivotCache cacheId="15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3" l="1"/>
  <c r="D55" i="3"/>
  <c r="D56" i="3"/>
  <c r="D57" i="3"/>
  <c r="D58" i="3"/>
  <c r="D59" i="3"/>
  <c r="D60" i="3"/>
  <c r="D61" i="3"/>
  <c r="E54" i="3"/>
  <c r="E55" i="3"/>
  <c r="E56" i="3"/>
  <c r="E57" i="3"/>
  <c r="E58" i="3"/>
  <c r="E59" i="3"/>
  <c r="E60" i="3"/>
  <c r="E61" i="3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E70" i="2"/>
  <c r="E71" i="2"/>
  <c r="E72" i="2"/>
  <c r="E73" i="2"/>
  <c r="E74" i="2"/>
  <c r="E75" i="2"/>
  <c r="E76" i="2"/>
  <c r="E77" i="2"/>
  <c r="E78" i="2"/>
  <c r="E79" i="2"/>
  <c r="E80" i="2"/>
  <c r="B144" i="4"/>
  <c r="C144" i="4"/>
  <c r="D144" i="4"/>
  <c r="F144" i="4"/>
  <c r="B143" i="4"/>
  <c r="C143" i="4"/>
  <c r="D143" i="4"/>
  <c r="F143" i="4"/>
  <c r="B142" i="4"/>
  <c r="C142" i="4"/>
  <c r="D142" i="4"/>
  <c r="F142" i="4"/>
  <c r="B141" i="4"/>
  <c r="C141" i="4"/>
  <c r="D141" i="4"/>
  <c r="F141" i="4"/>
  <c r="B140" i="4"/>
  <c r="C140" i="4"/>
  <c r="D140" i="4"/>
  <c r="F140" i="4"/>
  <c r="B139" i="4"/>
  <c r="C139" i="4"/>
  <c r="D139" i="4"/>
  <c r="F139" i="4"/>
  <c r="D44" i="3"/>
  <c r="D45" i="3"/>
  <c r="D46" i="3"/>
  <c r="D47" i="3"/>
  <c r="D48" i="3"/>
  <c r="D49" i="3"/>
  <c r="D50" i="3"/>
  <c r="D51" i="3"/>
  <c r="D52" i="3"/>
  <c r="D53" i="3"/>
  <c r="E44" i="3"/>
  <c r="E45" i="3"/>
  <c r="E46" i="3"/>
  <c r="E47" i="3"/>
  <c r="E48" i="3"/>
  <c r="E49" i="3"/>
  <c r="E50" i="3"/>
  <c r="E51" i="3"/>
  <c r="E52" i="3"/>
  <c r="E53" i="3"/>
  <c r="D70" i="2"/>
  <c r="D71" i="2"/>
  <c r="D72" i="2"/>
  <c r="D73" i="2"/>
  <c r="D74" i="2"/>
  <c r="D75" i="2"/>
  <c r="D76" i="2"/>
  <c r="D77" i="2"/>
  <c r="D78" i="2"/>
  <c r="D79" i="2"/>
  <c r="D80" i="2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B136" i="4"/>
  <c r="B137" i="4"/>
  <c r="B138" i="4"/>
  <c r="C136" i="4"/>
  <c r="C137" i="4"/>
  <c r="C138" i="4"/>
  <c r="D136" i="4"/>
  <c r="D137" i="4"/>
  <c r="D138" i="4"/>
  <c r="F136" i="4"/>
  <c r="F137" i="4"/>
  <c r="F138" i="4"/>
  <c r="D35" i="3"/>
  <c r="D36" i="3"/>
  <c r="D37" i="3"/>
  <c r="D38" i="3"/>
  <c r="D39" i="3"/>
  <c r="D40" i="3"/>
  <c r="D41" i="3"/>
  <c r="D42" i="3"/>
  <c r="D43" i="3"/>
  <c r="E35" i="3"/>
  <c r="E36" i="3"/>
  <c r="E37" i="3"/>
  <c r="E38" i="3"/>
  <c r="E39" i="3"/>
  <c r="E40" i="3"/>
  <c r="E41" i="3"/>
  <c r="E42" i="3"/>
  <c r="E43" i="3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E63" i="2"/>
  <c r="E64" i="2"/>
  <c r="E65" i="2"/>
  <c r="E66" i="2"/>
  <c r="E67" i="2"/>
  <c r="E68" i="2"/>
  <c r="E69" i="2"/>
  <c r="D69" i="2"/>
  <c r="D67" i="2"/>
  <c r="D68" i="2"/>
  <c r="D66" i="2"/>
  <c r="D65" i="2"/>
  <c r="D64" i="2"/>
  <c r="D63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D62" i="2"/>
  <c r="D60" i="2"/>
  <c r="D61" i="2"/>
  <c r="D56" i="2"/>
  <c r="D57" i="2"/>
  <c r="D58" i="2"/>
  <c r="D59" i="2"/>
  <c r="D55" i="2"/>
  <c r="D53" i="2"/>
  <c r="D54" i="2"/>
  <c r="D52" i="2"/>
  <c r="D51" i="2"/>
  <c r="D50" i="2"/>
  <c r="D48" i="2"/>
  <c r="D49" i="2"/>
  <c r="B135" i="4"/>
  <c r="C135" i="4"/>
  <c r="D135" i="4"/>
  <c r="F135" i="4"/>
  <c r="B134" i="4"/>
  <c r="C134" i="4"/>
  <c r="D134" i="4"/>
  <c r="F134" i="4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29" i="3"/>
  <c r="D30" i="3"/>
  <c r="D31" i="3"/>
  <c r="D32" i="3"/>
  <c r="D33" i="3"/>
  <c r="D34" i="3"/>
  <c r="E29" i="3"/>
  <c r="E30" i="3"/>
  <c r="E31" i="3"/>
  <c r="E32" i="3"/>
  <c r="E33" i="3"/>
  <c r="E34" i="3"/>
  <c r="B133" i="4"/>
  <c r="C133" i="4"/>
  <c r="D133" i="4"/>
  <c r="F133" i="4"/>
  <c r="E21" i="3"/>
  <c r="E22" i="3"/>
  <c r="E23" i="3"/>
  <c r="E24" i="3"/>
  <c r="E25" i="3"/>
  <c r="E26" i="3"/>
  <c r="E27" i="3"/>
  <c r="E28" i="3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E43" i="2"/>
  <c r="E44" i="2"/>
  <c r="E45" i="2"/>
  <c r="E46" i="2"/>
  <c r="E47" i="2"/>
  <c r="D43" i="2"/>
  <c r="D44" i="2"/>
  <c r="D45" i="2"/>
  <c r="D46" i="2"/>
  <c r="D47" i="2"/>
  <c r="B132" i="4"/>
  <c r="C132" i="4"/>
  <c r="K132" i="4"/>
  <c r="J132" i="4"/>
  <c r="I132" i="4"/>
  <c r="H132" i="4"/>
  <c r="G132" i="4"/>
  <c r="E132" i="4"/>
  <c r="F132" i="4" s="1"/>
  <c r="D17" i="3"/>
  <c r="D18" i="3"/>
  <c r="D19" i="3"/>
  <c r="D20" i="3"/>
  <c r="E17" i="3"/>
  <c r="E18" i="3"/>
  <c r="E19" i="3"/>
  <c r="E20" i="3"/>
  <c r="E37" i="2"/>
  <c r="E38" i="2"/>
  <c r="E39" i="2"/>
  <c r="E40" i="2"/>
  <c r="E41" i="2"/>
  <c r="E42" i="2"/>
  <c r="D42" i="2"/>
  <c r="D41" i="2"/>
  <c r="D40" i="2"/>
  <c r="D38" i="2"/>
  <c r="D39" i="2"/>
  <c r="D37" i="2"/>
  <c r="D123" i="7"/>
  <c r="D121" i="7"/>
  <c r="D122" i="7"/>
  <c r="D119" i="7"/>
  <c r="D120" i="7"/>
  <c r="D118" i="7"/>
  <c r="D117" i="7"/>
  <c r="D116" i="7"/>
  <c r="D114" i="7"/>
  <c r="D115" i="7"/>
  <c r="D111" i="7"/>
  <c r="D112" i="7"/>
  <c r="D113" i="7"/>
  <c r="D110" i="7"/>
  <c r="D109" i="7"/>
  <c r="D108" i="7"/>
  <c r="D107" i="7"/>
  <c r="D106" i="7"/>
  <c r="D105" i="7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D36" i="2"/>
  <c r="D35" i="2"/>
  <c r="D34" i="2"/>
  <c r="D33" i="2"/>
  <c r="D31" i="2"/>
  <c r="D32" i="2"/>
  <c r="D30" i="2"/>
  <c r="D29" i="2"/>
  <c r="D27" i="2"/>
  <c r="D28" i="2"/>
  <c r="D25" i="2"/>
  <c r="D26" i="2"/>
  <c r="D23" i="2"/>
  <c r="D24" i="2"/>
  <c r="D22" i="2"/>
  <c r="D21" i="2"/>
  <c r="D20" i="2"/>
  <c r="D18" i="2"/>
  <c r="D19" i="2"/>
  <c r="D17" i="2"/>
  <c r="D16" i="2"/>
  <c r="D15" i="2"/>
  <c r="D14" i="2"/>
  <c r="D13" i="2"/>
  <c r="D10" i="2"/>
  <c r="D11" i="2"/>
  <c r="D12" i="2"/>
  <c r="D8" i="2"/>
  <c r="D9" i="2"/>
  <c r="D7" i="2"/>
  <c r="D6" i="2"/>
  <c r="D5" i="2"/>
  <c r="D4" i="2"/>
  <c r="D2" i="2"/>
  <c r="D3" i="2"/>
  <c r="D103" i="7"/>
  <c r="D104" i="7"/>
  <c r="D102" i="7"/>
  <c r="D101" i="7"/>
  <c r="D100" i="7"/>
  <c r="D98" i="7"/>
  <c r="D99" i="7"/>
  <c r="D97" i="7"/>
  <c r="D95" i="7"/>
  <c r="D96" i="7"/>
  <c r="D94" i="7"/>
  <c r="D93" i="7"/>
  <c r="D92" i="7"/>
  <c r="D90" i="7"/>
  <c r="D91" i="7"/>
  <c r="D89" i="7"/>
  <c r="D86" i="7"/>
  <c r="D87" i="7"/>
  <c r="D88" i="7"/>
  <c r="D85" i="7"/>
  <c r="D84" i="7"/>
  <c r="D83" i="7"/>
  <c r="D82" i="7"/>
  <c r="D81" i="7"/>
  <c r="D79" i="7"/>
  <c r="D80" i="7"/>
  <c r="D78" i="7"/>
  <c r="D76" i="7"/>
  <c r="D77" i="7"/>
  <c r="D74" i="7"/>
  <c r="D75" i="7"/>
  <c r="D73" i="7"/>
  <c r="D72" i="7"/>
  <c r="D71" i="7"/>
  <c r="D70" i="7"/>
  <c r="D68" i="7"/>
  <c r="D69" i="7"/>
  <c r="D67" i="7"/>
  <c r="D66" i="7"/>
  <c r="D65" i="7"/>
  <c r="D64" i="7"/>
  <c r="D63" i="7"/>
  <c r="D62" i="7"/>
  <c r="D61" i="7"/>
  <c r="D57" i="7"/>
  <c r="D58" i="7"/>
  <c r="D59" i="7"/>
  <c r="D60" i="7"/>
  <c r="D56" i="7"/>
  <c r="D55" i="7"/>
  <c r="D54" i="7"/>
  <c r="D52" i="7"/>
  <c r="D53" i="7"/>
  <c r="D51" i="7"/>
  <c r="D48" i="7"/>
  <c r="D49" i="7"/>
  <c r="D50" i="7"/>
  <c r="D47" i="7"/>
  <c r="D46" i="7"/>
  <c r="D41" i="7"/>
  <c r="D42" i="7"/>
  <c r="D43" i="7"/>
  <c r="D44" i="7"/>
  <c r="D45" i="7"/>
  <c r="D40" i="7"/>
  <c r="D39" i="7"/>
  <c r="D35" i="7"/>
  <c r="D36" i="7"/>
  <c r="D37" i="7"/>
  <c r="D38" i="7"/>
  <c r="D34" i="7"/>
  <c r="D33" i="7"/>
  <c r="D32" i="7"/>
  <c r="D28" i="7"/>
  <c r="D29" i="7"/>
  <c r="D30" i="7"/>
  <c r="D31" i="7"/>
  <c r="D27" i="7"/>
  <c r="D25" i="7"/>
  <c r="D26" i="7"/>
  <c r="D23" i="7"/>
  <c r="D24" i="7"/>
  <c r="D22" i="7"/>
  <c r="D19" i="7"/>
  <c r="D20" i="7"/>
  <c r="D21" i="7"/>
  <c r="D18" i="7"/>
  <c r="D17" i="7"/>
  <c r="D13" i="7"/>
  <c r="D14" i="7"/>
  <c r="D15" i="7"/>
  <c r="D16" i="7"/>
  <c r="D12" i="7"/>
  <c r="D11" i="7"/>
  <c r="D10" i="7"/>
  <c r="D9" i="7"/>
  <c r="D7" i="7"/>
  <c r="D8" i="7"/>
  <c r="D4" i="7"/>
  <c r="D5" i="7"/>
  <c r="D6" i="7"/>
  <c r="D2" i="7"/>
  <c r="D3" i="7"/>
  <c r="D15" i="3"/>
  <c r="D16" i="3"/>
  <c r="E15" i="3"/>
  <c r="E16" i="3"/>
  <c r="D14" i="3"/>
  <c r="E14" i="3"/>
  <c r="D13" i="3"/>
  <c r="E13" i="3"/>
  <c r="D11" i="3"/>
  <c r="D12" i="3"/>
  <c r="E11" i="3"/>
  <c r="E12" i="3"/>
  <c r="D2" i="3"/>
  <c r="D3" i="3"/>
  <c r="D4" i="3"/>
  <c r="D5" i="3"/>
  <c r="D6" i="3"/>
  <c r="D7" i="3"/>
  <c r="D8" i="3"/>
  <c r="D9" i="3"/>
  <c r="D10" i="3"/>
  <c r="E2" i="3"/>
  <c r="E3" i="3"/>
  <c r="E4" i="3"/>
  <c r="E5" i="3"/>
  <c r="E6" i="3"/>
  <c r="E7" i="3"/>
  <c r="E8" i="3"/>
  <c r="E9" i="3"/>
  <c r="E10" i="3"/>
  <c r="D131" i="4"/>
  <c r="C131" i="4"/>
  <c r="B131" i="4"/>
  <c r="F131" i="4"/>
  <c r="B130" i="4"/>
  <c r="C130" i="4"/>
  <c r="F130" i="4"/>
  <c r="B129" i="4"/>
  <c r="C129" i="4"/>
  <c r="F129" i="4"/>
  <c r="B128" i="4"/>
  <c r="C128" i="4"/>
  <c r="F128" i="4"/>
  <c r="B127" i="4"/>
  <c r="C127" i="4"/>
  <c r="D127" i="4"/>
  <c r="F127" i="4"/>
  <c r="B126" i="4"/>
  <c r="C126" i="4"/>
  <c r="D126" i="4"/>
  <c r="F126" i="4"/>
  <c r="B125" i="4"/>
  <c r="C125" i="4"/>
  <c r="F125" i="4"/>
  <c r="B124" i="4"/>
  <c r="C124" i="4"/>
  <c r="F124" i="4"/>
  <c r="B123" i="4"/>
  <c r="C123" i="4"/>
  <c r="F123" i="4"/>
  <c r="B122" i="4"/>
  <c r="C122" i="4"/>
  <c r="D122" i="4"/>
  <c r="F122" i="4"/>
  <c r="B121" i="4"/>
  <c r="C121" i="4"/>
  <c r="D121" i="4"/>
  <c r="F121" i="4"/>
  <c r="B120" i="4"/>
  <c r="C120" i="4"/>
  <c r="D120" i="4"/>
  <c r="F120" i="4"/>
  <c r="B119" i="4"/>
  <c r="C119" i="4"/>
  <c r="D119" i="4"/>
  <c r="F119" i="4"/>
  <c r="B118" i="4"/>
  <c r="C118" i="4"/>
  <c r="F118" i="4"/>
  <c r="B117" i="4"/>
  <c r="C117" i="4"/>
  <c r="D117" i="4"/>
  <c r="F117" i="4"/>
  <c r="B115" i="4"/>
  <c r="B116" i="4"/>
  <c r="C115" i="4"/>
  <c r="C116" i="4"/>
  <c r="D115" i="4"/>
  <c r="D116" i="4"/>
  <c r="F115" i="4"/>
  <c r="F116" i="4"/>
  <c r="B114" i="4"/>
  <c r="C114" i="4"/>
  <c r="D114" i="4"/>
  <c r="F114" i="4"/>
  <c r="B113" i="4"/>
  <c r="C113" i="4"/>
  <c r="D113" i="4"/>
  <c r="F113" i="4"/>
  <c r="B112" i="4"/>
  <c r="C112" i="4"/>
  <c r="D112" i="4"/>
  <c r="F112" i="4"/>
  <c r="B111" i="4"/>
  <c r="C111" i="4"/>
  <c r="D111" i="4"/>
  <c r="F111" i="4"/>
  <c r="B110" i="4"/>
  <c r="C110" i="4"/>
  <c r="F110" i="4"/>
  <c r="B109" i="4"/>
  <c r="C109" i="4"/>
  <c r="D109" i="4"/>
  <c r="K109" i="4"/>
  <c r="J109" i="4"/>
  <c r="I109" i="4"/>
  <c r="H109" i="4"/>
  <c r="G109" i="4"/>
  <c r="E109" i="4"/>
  <c r="F109" i="4" s="1"/>
  <c r="B108" i="4"/>
  <c r="C108" i="4"/>
  <c r="F108" i="4"/>
  <c r="B107" i="4"/>
  <c r="C107" i="4"/>
  <c r="F107" i="4"/>
  <c r="B106" i="4"/>
  <c r="C106" i="4"/>
  <c r="D106" i="4"/>
  <c r="F106" i="4"/>
  <c r="B105" i="4"/>
  <c r="C105" i="4"/>
  <c r="D105" i="4"/>
  <c r="F105" i="4"/>
  <c r="B104" i="4"/>
  <c r="C104" i="4"/>
  <c r="F104" i="4"/>
  <c r="B103" i="4"/>
  <c r="C103" i="4"/>
  <c r="D103" i="4"/>
  <c r="F103" i="4"/>
  <c r="B102" i="4"/>
  <c r="C102" i="4"/>
  <c r="D102" i="4"/>
  <c r="F102" i="4"/>
  <c r="B101" i="4"/>
  <c r="C101" i="4"/>
  <c r="F101" i="4"/>
  <c r="B100" i="4"/>
  <c r="C100" i="4"/>
  <c r="D100" i="4"/>
  <c r="F100" i="4"/>
  <c r="B99" i="4"/>
  <c r="C99" i="4"/>
  <c r="D99" i="4"/>
  <c r="F99" i="4"/>
  <c r="B98" i="4"/>
  <c r="C98" i="4"/>
  <c r="F98" i="4"/>
  <c r="B97" i="4"/>
  <c r="C97" i="4"/>
  <c r="F97" i="4"/>
  <c r="B96" i="4"/>
  <c r="C96" i="4"/>
  <c r="D96" i="4"/>
  <c r="F96" i="4"/>
  <c r="B95" i="4"/>
  <c r="C95" i="4"/>
  <c r="F95" i="4"/>
  <c r="B94" i="4"/>
  <c r="C94" i="4"/>
  <c r="D94" i="4"/>
  <c r="F94" i="4"/>
  <c r="B93" i="4"/>
  <c r="C93" i="4"/>
  <c r="D93" i="4"/>
  <c r="F93" i="4"/>
  <c r="B92" i="4"/>
  <c r="C92" i="4"/>
  <c r="D92" i="4"/>
  <c r="F92" i="4"/>
  <c r="B91" i="4"/>
  <c r="C91" i="4"/>
  <c r="D91" i="4"/>
  <c r="F91" i="4"/>
  <c r="B90" i="4"/>
  <c r="C90" i="4"/>
  <c r="D90" i="4"/>
  <c r="F90" i="4"/>
  <c r="B89" i="4"/>
  <c r="C89" i="4"/>
  <c r="D89" i="4"/>
  <c r="F89" i="4"/>
  <c r="B88" i="4"/>
  <c r="C88" i="4"/>
  <c r="F88" i="4"/>
  <c r="B87" i="4"/>
  <c r="C87" i="4"/>
  <c r="D87" i="4"/>
  <c r="F87" i="4"/>
  <c r="B86" i="4"/>
  <c r="C86" i="4"/>
  <c r="D86" i="4"/>
  <c r="F86" i="4"/>
  <c r="B85" i="4"/>
  <c r="C85" i="4"/>
  <c r="D85" i="4"/>
  <c r="F85" i="4"/>
  <c r="B84" i="4"/>
  <c r="C84" i="4"/>
  <c r="F84" i="4"/>
  <c r="B83" i="4"/>
  <c r="C83" i="4"/>
  <c r="D83" i="4"/>
  <c r="F83" i="4"/>
  <c r="B82" i="4"/>
  <c r="C82" i="4"/>
  <c r="F82" i="4"/>
  <c r="B81" i="4"/>
  <c r="C81" i="4"/>
  <c r="D81" i="4"/>
  <c r="F81" i="4"/>
  <c r="B80" i="4"/>
  <c r="C80" i="4"/>
  <c r="F80" i="4"/>
  <c r="D77" i="4"/>
  <c r="D76" i="4"/>
  <c r="C2" i="4"/>
  <c r="C79" i="4"/>
  <c r="B79" i="4"/>
  <c r="F79" i="4"/>
  <c r="B78" i="4"/>
  <c r="C78" i="4"/>
  <c r="F78" i="4"/>
  <c r="B77" i="4"/>
  <c r="C77" i="4"/>
  <c r="F77" i="4"/>
  <c r="B76" i="4"/>
  <c r="C76" i="4"/>
  <c r="F76" i="4"/>
  <c r="B75" i="4"/>
  <c r="C75" i="4"/>
  <c r="D75" i="4"/>
  <c r="F75" i="4"/>
  <c r="B74" i="4"/>
  <c r="C74" i="4"/>
  <c r="D74" i="4"/>
  <c r="F74" i="4"/>
  <c r="B73" i="4"/>
  <c r="C73" i="4"/>
  <c r="F73" i="4"/>
  <c r="B72" i="4"/>
  <c r="C72" i="4"/>
  <c r="D72" i="4"/>
  <c r="F72" i="4"/>
  <c r="B71" i="4"/>
  <c r="C71" i="4"/>
  <c r="D71" i="4"/>
  <c r="F71" i="4"/>
  <c r="B70" i="4"/>
  <c r="C70" i="4"/>
  <c r="D70" i="4"/>
  <c r="F70" i="4"/>
  <c r="B69" i="4"/>
  <c r="C69" i="4"/>
  <c r="D69" i="4"/>
  <c r="F69" i="4"/>
  <c r="B68" i="4"/>
  <c r="C68" i="4"/>
  <c r="F68" i="4"/>
  <c r="B67" i="4"/>
  <c r="C67" i="4"/>
  <c r="D67" i="4"/>
  <c r="F67" i="4"/>
  <c r="B66" i="4"/>
  <c r="C66" i="4"/>
  <c r="D66" i="4"/>
  <c r="F66" i="4"/>
  <c r="B65" i="4"/>
  <c r="C65" i="4"/>
  <c r="D65" i="4"/>
  <c r="F65" i="4"/>
  <c r="B64" i="4"/>
  <c r="C64" i="4"/>
  <c r="F64" i="4"/>
  <c r="B63" i="4"/>
  <c r="C63" i="4"/>
  <c r="D63" i="4"/>
  <c r="F63" i="4"/>
  <c r="B62" i="4"/>
  <c r="C62" i="4"/>
  <c r="F62" i="4"/>
  <c r="B61" i="4"/>
  <c r="C61" i="4"/>
  <c r="D61" i="4"/>
  <c r="F61" i="4"/>
  <c r="B60" i="4"/>
  <c r="C60" i="4"/>
  <c r="D60" i="4"/>
  <c r="F60" i="4"/>
  <c r="B59" i="4"/>
  <c r="C59" i="4"/>
  <c r="D59" i="4"/>
  <c r="F59" i="4"/>
  <c r="B58" i="4"/>
  <c r="C58" i="4"/>
  <c r="D58" i="4"/>
  <c r="F58" i="4"/>
  <c r="B57" i="4"/>
  <c r="C57" i="4"/>
  <c r="D57" i="4"/>
  <c r="F57" i="4"/>
  <c r="B56" i="4"/>
  <c r="C56" i="4"/>
  <c r="D56" i="4"/>
  <c r="F56" i="4"/>
  <c r="B55" i="4"/>
  <c r="C55" i="4"/>
  <c r="D55" i="4"/>
  <c r="F55" i="4"/>
  <c r="B54" i="4"/>
  <c r="C54" i="4"/>
  <c r="F54" i="4"/>
  <c r="B53" i="4"/>
  <c r="C53" i="4"/>
  <c r="F53" i="4"/>
  <c r="B52" i="4"/>
  <c r="C52" i="4"/>
  <c r="F52" i="4"/>
  <c r="B51" i="4"/>
  <c r="C51" i="4"/>
  <c r="D51" i="4"/>
  <c r="F51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37" i="4"/>
  <c r="B50" i="4"/>
  <c r="C50" i="4"/>
  <c r="B49" i="4"/>
  <c r="C49" i="4"/>
  <c r="D49" i="4"/>
  <c r="B48" i="4"/>
  <c r="C48" i="4"/>
  <c r="D48" i="4"/>
  <c r="B47" i="4"/>
  <c r="C47" i="4"/>
  <c r="D47" i="4"/>
  <c r="B46" i="4"/>
  <c r="C46" i="4"/>
  <c r="D46" i="4"/>
  <c r="B45" i="4"/>
  <c r="C45" i="4"/>
  <c r="B44" i="4"/>
  <c r="C44" i="4"/>
  <c r="B43" i="4"/>
  <c r="C43" i="4"/>
  <c r="B42" i="4"/>
  <c r="C42" i="4"/>
  <c r="D42" i="4"/>
  <c r="B39" i="4"/>
  <c r="B40" i="4"/>
  <c r="B41" i="4"/>
  <c r="C39" i="4"/>
  <c r="C40" i="4"/>
  <c r="C41" i="4"/>
  <c r="D39" i="4"/>
  <c r="B38" i="4"/>
  <c r="C38" i="4"/>
  <c r="B36" i="4"/>
  <c r="C36" i="4"/>
  <c r="D36" i="4"/>
  <c r="F36" i="4"/>
  <c r="B35" i="4"/>
  <c r="C35" i="4"/>
  <c r="D35" i="4"/>
  <c r="F35" i="4"/>
  <c r="F32" i="4"/>
  <c r="F33" i="4"/>
  <c r="F34" i="4"/>
  <c r="F31" i="4"/>
  <c r="B34" i="4"/>
  <c r="C34" i="4"/>
  <c r="D34" i="4"/>
  <c r="B33" i="4"/>
  <c r="C33" i="4"/>
  <c r="B32" i="4"/>
  <c r="C32" i="4"/>
  <c r="D32" i="4"/>
  <c r="B31" i="4"/>
  <c r="C31" i="4"/>
  <c r="D31" i="4"/>
  <c r="F30" i="4"/>
  <c r="F29" i="4"/>
  <c r="B30" i="4"/>
  <c r="C30" i="4"/>
  <c r="D30" i="4"/>
  <c r="B29" i="4"/>
  <c r="C29" i="4"/>
  <c r="D29" i="4"/>
  <c r="F21" i="4"/>
  <c r="F22" i="4"/>
  <c r="F23" i="4"/>
  <c r="F24" i="4"/>
  <c r="F25" i="4"/>
  <c r="F26" i="4"/>
  <c r="F27" i="4"/>
  <c r="F28" i="4"/>
  <c r="F20" i="4"/>
  <c r="B27" i="4"/>
  <c r="B28" i="4"/>
  <c r="C27" i="4"/>
  <c r="C28" i="4"/>
  <c r="B26" i="4"/>
  <c r="C26" i="4"/>
  <c r="D26" i="4"/>
  <c r="B25" i="4"/>
  <c r="C25" i="4"/>
  <c r="B23" i="4"/>
  <c r="B24" i="4"/>
  <c r="C23" i="4"/>
  <c r="C24" i="4"/>
  <c r="D23" i="4"/>
  <c r="D24" i="4"/>
  <c r="B21" i="4"/>
  <c r="B22" i="4"/>
  <c r="C21" i="4"/>
  <c r="C22" i="4"/>
  <c r="D21" i="4"/>
  <c r="D22" i="4"/>
  <c r="B20" i="4"/>
  <c r="C20" i="4"/>
  <c r="D20" i="4"/>
  <c r="F14" i="4"/>
  <c r="F15" i="4"/>
  <c r="F16" i="4"/>
  <c r="F17" i="4"/>
  <c r="F18" i="4"/>
  <c r="F19" i="4"/>
  <c r="F13" i="4"/>
  <c r="B19" i="4"/>
  <c r="C19" i="4"/>
  <c r="D19" i="4"/>
  <c r="B18" i="4"/>
  <c r="C18" i="4"/>
  <c r="B17" i="4"/>
  <c r="C17" i="4"/>
  <c r="D17" i="4"/>
  <c r="B16" i="4"/>
  <c r="C16" i="4"/>
  <c r="D16" i="4"/>
  <c r="B15" i="4"/>
  <c r="C15" i="4"/>
  <c r="D15" i="4"/>
  <c r="B14" i="4"/>
  <c r="C14" i="4"/>
  <c r="B13" i="4"/>
  <c r="C13" i="4"/>
  <c r="D13" i="4"/>
  <c r="F9" i="4"/>
  <c r="F10" i="4"/>
  <c r="F11" i="4"/>
  <c r="F12" i="4"/>
  <c r="F8" i="4"/>
  <c r="B12" i="4"/>
  <c r="C12" i="4"/>
  <c r="D12" i="4"/>
  <c r="B11" i="4"/>
  <c r="C11" i="4"/>
  <c r="B10" i="4"/>
  <c r="C10" i="4"/>
  <c r="B9" i="4"/>
  <c r="C9" i="4"/>
  <c r="D9" i="4"/>
  <c r="B8" i="4"/>
  <c r="C8" i="4"/>
  <c r="F4" i="4"/>
  <c r="F5" i="4"/>
  <c r="F6" i="4"/>
  <c r="F7" i="4"/>
  <c r="F3" i="4"/>
  <c r="B3" i="4"/>
  <c r="C3" i="4"/>
  <c r="B4" i="4"/>
  <c r="C4" i="4"/>
  <c r="B5" i="4"/>
  <c r="C5" i="4"/>
  <c r="D5" i="4"/>
  <c r="B6" i="4"/>
  <c r="C6" i="4"/>
  <c r="B7" i="4"/>
  <c r="C7" i="4"/>
  <c r="D7" i="4"/>
  <c r="B2" i="4"/>
  <c r="F2" i="4"/>
  <c r="F3" i="5" l="1"/>
  <c r="E3" i="5"/>
  <c r="I3" i="5" l="1"/>
  <c r="C3" i="5" l="1"/>
  <c r="D3" i="5"/>
  <c r="G3" i="5"/>
  <c r="H3" i="5"/>
</calcChain>
</file>

<file path=xl/sharedStrings.xml><?xml version="1.0" encoding="utf-8"?>
<sst xmlns="http://schemas.openxmlformats.org/spreadsheetml/2006/main" count="3070" uniqueCount="2250">
  <si>
    <t>Offense</t>
  </si>
  <si>
    <t xml:space="preserve">Night driving </t>
  </si>
  <si>
    <t xml:space="preserve">Driving Without Convoy Night  </t>
  </si>
  <si>
    <t>Vehicle no</t>
  </si>
  <si>
    <t xml:space="preserve">Driver name </t>
  </si>
  <si>
    <t xml:space="preserve">TM NAME </t>
  </si>
  <si>
    <t>TC NAME</t>
  </si>
  <si>
    <t>Beginning</t>
  </si>
  <si>
    <t>Initial location</t>
  </si>
  <si>
    <t>End</t>
  </si>
  <si>
    <t>Final location</t>
  </si>
  <si>
    <t xml:space="preserve">DURATION </t>
  </si>
  <si>
    <t>Mileage</t>
  </si>
  <si>
    <t>Driving Without Convoy Day</t>
  </si>
  <si>
    <t xml:space="preserve">Driving Without Convoy Day </t>
  </si>
  <si>
    <t>Time</t>
  </si>
  <si>
    <t>Location</t>
  </si>
  <si>
    <t>Speed limit</t>
  </si>
  <si>
    <t>Count</t>
  </si>
  <si>
    <t xml:space="preserve">TRUCK NO  </t>
  </si>
  <si>
    <t>SN</t>
  </si>
  <si>
    <t>Row Labels</t>
  </si>
  <si>
    <t>Event time</t>
  </si>
  <si>
    <t>Time received</t>
  </si>
  <si>
    <t>Event text</t>
  </si>
  <si>
    <t>Count of Time received</t>
  </si>
  <si>
    <t xml:space="preserve">TRUCK NO </t>
  </si>
  <si>
    <t xml:space="preserve">DAYS </t>
  </si>
  <si>
    <t>Exceeded idle</t>
  </si>
  <si>
    <t>HARSH BRAKE</t>
  </si>
  <si>
    <t xml:space="preserve">Over Speeding </t>
  </si>
  <si>
    <t>NO OF EVENTS</t>
  </si>
  <si>
    <t xml:space="preserve">Early start </t>
  </si>
  <si>
    <t>RPT_DT</t>
  </si>
  <si>
    <t>Grand Total</t>
  </si>
  <si>
    <t>IDLING VOLATION</t>
  </si>
  <si>
    <t>HARSH BRAKE VIOLATION</t>
  </si>
  <si>
    <t xml:space="preserve"> OVER SPEEDING VIOLATION </t>
  </si>
  <si>
    <t xml:space="preserve">NIGHT DRIVING REPORT </t>
  </si>
  <si>
    <t>Sum of NO OF EVENTS</t>
  </si>
  <si>
    <t>Count of Offense</t>
  </si>
  <si>
    <t>Column Labels</t>
  </si>
  <si>
    <t>DANGER ZONE BUNGU-BUNGU TO TUMBWE - THEFTS!!!!!</t>
  </si>
  <si>
    <t>T561DYR</t>
  </si>
  <si>
    <t>T311EBX</t>
  </si>
  <si>
    <t>TRUCK NO</t>
  </si>
  <si>
    <t xml:space="preserve">NO OF EVENTS </t>
  </si>
  <si>
    <t>T329ECN</t>
  </si>
  <si>
    <t>DRIVER NAME</t>
  </si>
  <si>
    <t>MAX SPEED</t>
  </si>
  <si>
    <t>T314DDJ</t>
  </si>
  <si>
    <t>T572DYR</t>
  </si>
  <si>
    <t>T645DHL</t>
  </si>
  <si>
    <t>T332EBX</t>
  </si>
  <si>
    <t>T335EBX</t>
  </si>
  <si>
    <t>T107EBX</t>
  </si>
  <si>
    <t>T746DEB</t>
  </si>
  <si>
    <t>T578DTQ</t>
  </si>
  <si>
    <t>T588DTQ</t>
  </si>
  <si>
    <t xml:space="preserve">DRIVER NAME </t>
  </si>
  <si>
    <t>KAPIRI DANGER ZONE</t>
  </si>
  <si>
    <t>T404DHG</t>
  </si>
  <si>
    <t>T732DYR</t>
  </si>
  <si>
    <t>T232EBX</t>
  </si>
  <si>
    <t>T684EBX</t>
  </si>
  <si>
    <t>T728EBX</t>
  </si>
  <si>
    <t>T444DHG</t>
  </si>
  <si>
    <t>T373DHG</t>
  </si>
  <si>
    <t>T595DTQ</t>
  </si>
  <si>
    <t>T728DYR</t>
  </si>
  <si>
    <t>T965EBW</t>
  </si>
  <si>
    <t>DIOMU SPEED AREA, ZAMBIA</t>
  </si>
  <si>
    <t>T272EBX</t>
  </si>
  <si>
    <t>T337EBX</t>
  </si>
  <si>
    <t>T437DHG</t>
  </si>
  <si>
    <t>ISOKA, ZAMBIA</t>
  </si>
  <si>
    <t>T603DTQ</t>
  </si>
  <si>
    <t>T905EBW</t>
  </si>
  <si>
    <t>T315EBX</t>
  </si>
  <si>
    <t>T439DHG</t>
  </si>
  <si>
    <t>T499DYR</t>
  </si>
  <si>
    <t>T250EBX</t>
  </si>
  <si>
    <t>T282EBY</t>
  </si>
  <si>
    <t>T517EBY</t>
  </si>
  <si>
    <t>T820DDS</t>
  </si>
  <si>
    <t>T724DYR</t>
  </si>
  <si>
    <t>T153EBX</t>
  </si>
  <si>
    <t>T737DEB</t>
  </si>
  <si>
    <t>T861EBY</t>
  </si>
  <si>
    <t>T891EBW</t>
  </si>
  <si>
    <t>T586DYR</t>
  </si>
  <si>
    <t>T720DYR</t>
  </si>
  <si>
    <t>T955EBW</t>
  </si>
  <si>
    <t>T127EBX</t>
  </si>
  <si>
    <t>T334EBX</t>
  </si>
  <si>
    <t>T514EBY</t>
  </si>
  <si>
    <t>T907EBW</t>
  </si>
  <si>
    <t>T796DYR</t>
  </si>
  <si>
    <t>T266EBX</t>
  </si>
  <si>
    <t>T343EBX</t>
  </si>
  <si>
    <t>T386ECN</t>
  </si>
  <si>
    <t>T651DTQ</t>
  </si>
  <si>
    <t>T678EBX</t>
  </si>
  <si>
    <t>T835EBY</t>
  </si>
  <si>
    <t>T379ECN</t>
  </si>
  <si>
    <t>T716DYR</t>
  </si>
  <si>
    <t>T774EBW</t>
  </si>
  <si>
    <t>T878EBW</t>
  </si>
  <si>
    <t>T180EBX</t>
  </si>
  <si>
    <t>T411ECN</t>
  </si>
  <si>
    <t>Iringa Road, Doma</t>
  </si>
  <si>
    <t>Iringa Road, Tambuka Reli</t>
  </si>
  <si>
    <t>T1, Bwawani</t>
  </si>
  <si>
    <t>T302EBX</t>
  </si>
  <si>
    <t>Tanzania To Zambia Road, Mafinga</t>
  </si>
  <si>
    <t>Regional Hospital Road, 2.42 km from Mbeya</t>
  </si>
  <si>
    <t>Lundamatwe, Iringa Road</t>
  </si>
  <si>
    <t>T1, Mdaula</t>
  </si>
  <si>
    <t>Iringa Road, Ruaha Mbuyumi</t>
  </si>
  <si>
    <t>Tanzam Road, 2.37 km from Mbeya</t>
  </si>
  <si>
    <t>T1, Igawa</t>
  </si>
  <si>
    <t>T890EBW</t>
  </si>
  <si>
    <t>Great North Road, Chinunda</t>
  </si>
  <si>
    <t>T1, Kongolo Mkola</t>
  </si>
  <si>
    <t>T1, Ilolo</t>
  </si>
  <si>
    <t>T564DEB</t>
  </si>
  <si>
    <t>Iringa Road, Kikwaraza</t>
  </si>
  <si>
    <t>T318EBX</t>
  </si>
  <si>
    <t>T1, Mangere</t>
  </si>
  <si>
    <t>T709EBX</t>
  </si>
  <si>
    <t>T849EBY</t>
  </si>
  <si>
    <t>Morogoro, Dar Es Salaam Road</t>
  </si>
  <si>
    <t>Tanzania To Zambia Road, Tanangozi</t>
  </si>
  <si>
    <t>R708, Dar Es Salaam</t>
  </si>
  <si>
    <t>T732DEB</t>
  </si>
  <si>
    <t>T955DSX</t>
  </si>
  <si>
    <t>T104EBX</t>
  </si>
  <si>
    <t>T735EBX</t>
  </si>
  <si>
    <t>T1, Makwenje</t>
  </si>
  <si>
    <t>T798EBW</t>
  </si>
  <si>
    <t>T862EBY</t>
  </si>
  <si>
    <t>Regional Hospital Road, 2.43 km from Mbeya</t>
  </si>
  <si>
    <t>T957DSX</t>
  </si>
  <si>
    <t>T342DHG</t>
  </si>
  <si>
    <t>Ndola - Kitwe Dual-Carriageway, 33.22 km from Ndola</t>
  </si>
  <si>
    <t>Ndola - Kitwe Dual-Carriageway, 33.21 km from Ndola</t>
  </si>
  <si>
    <t>Ndola - Kitwe Dual-Carriageway, 33.18 km from Ndola</t>
  </si>
  <si>
    <t>T882EBW</t>
  </si>
  <si>
    <t>T954EBW</t>
  </si>
  <si>
    <t>Ndola - Kitwe Dual-Carriageway, 33.24 km from Ndola</t>
  </si>
  <si>
    <t>T662DTQ</t>
  </si>
  <si>
    <t>T776EBW</t>
  </si>
  <si>
    <t>Ndola - Kitwe Dual-Carriageway, 33.19 km from Ndola</t>
  </si>
  <si>
    <t>T384ECN</t>
  </si>
  <si>
    <t>T413DHE</t>
  </si>
  <si>
    <t>T510EBY</t>
  </si>
  <si>
    <t>T993EBW</t>
  </si>
  <si>
    <t>Tanzam Road, 2.33 km from Mbeya</t>
  </si>
  <si>
    <t>T350DHG</t>
  </si>
  <si>
    <t>Morogoro, T1</t>
  </si>
  <si>
    <t>T126EBX</t>
  </si>
  <si>
    <t>T436DHG</t>
  </si>
  <si>
    <t>Great North Road, Kalungu</t>
  </si>
  <si>
    <t>T756EBX</t>
  </si>
  <si>
    <t>T518EBY</t>
  </si>
  <si>
    <t>T388ECN</t>
  </si>
  <si>
    <t>T598DTQ</t>
  </si>
  <si>
    <t>T713DYR</t>
  </si>
  <si>
    <t>2025-11-05 05:37:40</t>
  </si>
  <si>
    <t>2025-11-05 12:41:10</t>
  </si>
  <si>
    <t>7:03:30</t>
  </si>
  <si>
    <t>T443DHG</t>
  </si>
  <si>
    <t>Dar - Mbeya Highway, Ndiuka</t>
  </si>
  <si>
    <t>KITWE DANGER ZONE!!, ZAMBIA</t>
  </si>
  <si>
    <t>Dar Es Salaam, Morogoro Main Road, Tanzania</t>
  </si>
  <si>
    <t>T401DHT</t>
  </si>
  <si>
    <t>T263DDJ</t>
  </si>
  <si>
    <t>T803EBW</t>
  </si>
  <si>
    <t>T494DYR</t>
  </si>
  <si>
    <t>Great North Road, Zambia, Central Province, 7.40 km from Kanona</t>
  </si>
  <si>
    <t>T392ECN</t>
  </si>
  <si>
    <t>T725EBX</t>
  </si>
  <si>
    <t>T875EBY</t>
  </si>
  <si>
    <t>Great North Road, 3.90 km from Chinkumba</t>
  </si>
  <si>
    <t>T588DYR</t>
  </si>
  <si>
    <t>T690DHL</t>
  </si>
  <si>
    <t>T797DYR</t>
  </si>
  <si>
    <t>Ndola - Kitwe Dual-Carriageway, 33.20 km from Ndola</t>
  </si>
  <si>
    <t>Regional Hospital Road, 2.39 km from Mbeya</t>
  </si>
  <si>
    <t>Route De La Mine Deziwa, 5.72 km from Kisenda</t>
  </si>
  <si>
    <t>T341EBX</t>
  </si>
  <si>
    <t>T427DHG</t>
  </si>
  <si>
    <t>T511EBY</t>
  </si>
  <si>
    <t>T584DTQ</t>
  </si>
  <si>
    <t>T683DEB</t>
  </si>
  <si>
    <t>T934EBW</t>
  </si>
  <si>
    <t>T264EBX</t>
  </si>
  <si>
    <t>T793DDS</t>
  </si>
  <si>
    <t>Iringa Road, 3.18 km from Kipera</t>
  </si>
  <si>
    <t>T188EBX</t>
  </si>
  <si>
    <t>T256DDJ</t>
  </si>
  <si>
    <t>T416DCT</t>
  </si>
  <si>
    <t>T1, Ruvu Darajani</t>
  </si>
  <si>
    <t>T513EBY</t>
  </si>
  <si>
    <t>T515EBY</t>
  </si>
  <si>
    <t>Morogoro Main Road, Bamba, Kongowe</t>
  </si>
  <si>
    <t>T744EBX</t>
  </si>
  <si>
    <t>T774DYR</t>
  </si>
  <si>
    <t>T806DYR</t>
  </si>
  <si>
    <t>T909EBW</t>
  </si>
  <si>
    <t>T804DYR</t>
  </si>
  <si>
    <t>T850EBY</t>
  </si>
  <si>
    <t>Regional Hospital Road, 2.37 km from Mbeya</t>
  </si>
  <si>
    <t>T1, 4.97 km from Mswiswi</t>
  </si>
  <si>
    <t>T799DYR</t>
  </si>
  <si>
    <t>T336ECN</t>
  </si>
  <si>
    <t>T337ECN</t>
  </si>
  <si>
    <t>T1, Mlowo</t>
  </si>
  <si>
    <t>T585DYR</t>
  </si>
  <si>
    <t>Tanzam Road, 2.38 km from Mbeya</t>
  </si>
  <si>
    <t>T868EBW</t>
  </si>
  <si>
    <t>T939EBW</t>
  </si>
  <si>
    <t>T802DYR</t>
  </si>
  <si>
    <t>Great North Road, 7.48 km from Mkushi</t>
  </si>
  <si>
    <t>T579DTQ</t>
  </si>
  <si>
    <t>Iringa Road, Mtandika 'B'</t>
  </si>
  <si>
    <t>M1, 5.30 km from Mzuzu</t>
  </si>
  <si>
    <t>T170EBX</t>
  </si>
  <si>
    <t>T261EBX</t>
  </si>
  <si>
    <t>T387ECN</t>
  </si>
  <si>
    <t>T509EBY</t>
  </si>
  <si>
    <t>T575DYR</t>
  </si>
  <si>
    <t>T579DYR</t>
  </si>
  <si>
    <t>T711EBX</t>
  </si>
  <si>
    <t>T910EBW</t>
  </si>
  <si>
    <t>T148EBX</t>
  </si>
  <si>
    <t>T191EBX</t>
  </si>
  <si>
    <t>T1, Isitu</t>
  </si>
  <si>
    <t>T263EBX</t>
  </si>
  <si>
    <t>T331EBX</t>
  </si>
  <si>
    <t>T348DHG</t>
  </si>
  <si>
    <t>T375DHG</t>
  </si>
  <si>
    <t>T425DHG</t>
  </si>
  <si>
    <t>T524EBY</t>
  </si>
  <si>
    <t>T754DEB</t>
  </si>
  <si>
    <t>T754EBX</t>
  </si>
  <si>
    <t>T854EBY</t>
  </si>
  <si>
    <t>T960DSX</t>
  </si>
  <si>
    <t>T980EBW</t>
  </si>
  <si>
    <t>T986EBW</t>
  </si>
  <si>
    <t>T146EBX</t>
  </si>
  <si>
    <t>T178EBX</t>
  </si>
  <si>
    <t>T224EBX</t>
  </si>
  <si>
    <t>T299DCT</t>
  </si>
  <si>
    <t>T319EBY</t>
  </si>
  <si>
    <t>T402ECN</t>
  </si>
  <si>
    <t>T592DTQ</t>
  </si>
  <si>
    <t>T712DYR</t>
  </si>
  <si>
    <t>T727EBX</t>
  </si>
  <si>
    <t>2025-12-13 09:08:19</t>
  </si>
  <si>
    <t>Iringa Road, 2.48 km from Mangaye</t>
  </si>
  <si>
    <t>T757EBX</t>
  </si>
  <si>
    <t>T778DYR</t>
  </si>
  <si>
    <t>T785EBW</t>
  </si>
  <si>
    <t>T867EBY</t>
  </si>
  <si>
    <t>T964EBW</t>
  </si>
  <si>
    <t>T360DHG</t>
  </si>
  <si>
    <t>T376ECN</t>
  </si>
  <si>
    <t>T491DYR</t>
  </si>
  <si>
    <t>Tanzam Road, Mbalizi</t>
  </si>
  <si>
    <t>T688DEB</t>
  </si>
  <si>
    <t>T710EBX</t>
  </si>
  <si>
    <t>T952DSX</t>
  </si>
  <si>
    <t>T590DTQ</t>
  </si>
  <si>
    <t>T734EBX</t>
  </si>
  <si>
    <t>T772DYR</t>
  </si>
  <si>
    <t>T977EBW</t>
  </si>
  <si>
    <t>T413DHG</t>
  </si>
  <si>
    <t>T431DHG</t>
  </si>
  <si>
    <t>T704DYR</t>
  </si>
  <si>
    <t>T770DYR</t>
  </si>
  <si>
    <t>T326ECN</t>
  </si>
  <si>
    <t>T568DYR</t>
  </si>
  <si>
    <t>T696DEB</t>
  </si>
  <si>
    <t>T873EBY</t>
  </si>
  <si>
    <t>T904EBW</t>
  </si>
  <si>
    <t>T271EBY</t>
  </si>
  <si>
    <t>T652DTQ</t>
  </si>
  <si>
    <t>T797EBW</t>
  </si>
  <si>
    <t>T876EBY</t>
  </si>
  <si>
    <t>T950EBW</t>
  </si>
  <si>
    <t>Route De Lubumbashi, Haut-Katanga, Democratic Republic of the Congo, Mbalaka</t>
  </si>
  <si>
    <t>T712EBX</t>
  </si>
  <si>
    <t>T634DHL</t>
  </si>
  <si>
    <t>2025-12-08 04:27:04</t>
  </si>
  <si>
    <t>2025-12-08 08:03:45</t>
  </si>
  <si>
    <t>Iringa Road, Kitu</t>
  </si>
  <si>
    <t>3:36:41</t>
  </si>
  <si>
    <t>2025-12-08 04:55:27</t>
  </si>
  <si>
    <t>IGUNGA</t>
  </si>
  <si>
    <t>2025-12-08 23:01:20</t>
  </si>
  <si>
    <t>Dar Es Salaam, Goba Road</t>
  </si>
  <si>
    <t>4:49:11</t>
  </si>
  <si>
    <t>2025-12-08 04:51:17</t>
  </si>
  <si>
    <t>2025-12-08 23:59:57</t>
  </si>
  <si>
    <t>DAR ES SALAAM</t>
  </si>
  <si>
    <t>9:54:16</t>
  </si>
  <si>
    <t>2025-12-08 05:07:01</t>
  </si>
  <si>
    <t>2025-12-08 05:59:07</t>
  </si>
  <si>
    <t>0:52:06</t>
  </si>
  <si>
    <t>2025-12-08 04:27:57</t>
  </si>
  <si>
    <t>2025-12-08 09:54:43</t>
  </si>
  <si>
    <t>5:26:46</t>
  </si>
  <si>
    <t>2025-12-11 21:08:03</t>
  </si>
  <si>
    <t>2025-12-11 23:15:13</t>
  </si>
  <si>
    <t>0:58:08</t>
  </si>
  <si>
    <t>2025-12-11 21:06:08</t>
  </si>
  <si>
    <t>2025-12-11 23:29:52</t>
  </si>
  <si>
    <t>1:10:17</t>
  </si>
  <si>
    <t>2025-12-11 04:34:16</t>
  </si>
  <si>
    <t>MAKAMBAKO</t>
  </si>
  <si>
    <t>2025-12-11 20:21:04</t>
  </si>
  <si>
    <t>Morogoro Main Road, 1.53 km from Karabaka</t>
  </si>
  <si>
    <t>5:42:25</t>
  </si>
  <si>
    <t>2025-12-11 21:10:24</t>
  </si>
  <si>
    <t>2025-12-11 23:22:30</t>
  </si>
  <si>
    <t>1:04:31</t>
  </si>
  <si>
    <t>2025-12-11 21:04:34</t>
  </si>
  <si>
    <t>2025-12-11 23:23:07</t>
  </si>
  <si>
    <t>1:12:04</t>
  </si>
  <si>
    <t>2025-12-12 05:33:08</t>
  </si>
  <si>
    <t>ILULA SOKONI</t>
  </si>
  <si>
    <t>2025-12-12 07:07:52</t>
  </si>
  <si>
    <t>Iringa Road, 1.43 km from Kware</t>
  </si>
  <si>
    <t>1:34:44</t>
  </si>
  <si>
    <t>2025-12-12 05:38:38</t>
  </si>
  <si>
    <t>M1, 17.55 km from Gvh Mwantende</t>
  </si>
  <si>
    <t>2025-12-12 20:06:32</t>
  </si>
  <si>
    <t>1:35:34</t>
  </si>
  <si>
    <t>2025-12-12 05:41:08</t>
  </si>
  <si>
    <t>2025-12-12 19:01:53</t>
  </si>
  <si>
    <t>10:23:22</t>
  </si>
  <si>
    <t>2025-12-12 05:32:18</t>
  </si>
  <si>
    <t>2025-12-12 07:38:48</t>
  </si>
  <si>
    <t>1:52:40</t>
  </si>
  <si>
    <t>2025-12-12 05:21:31</t>
  </si>
  <si>
    <t>2025-12-12 07:12:32</t>
  </si>
  <si>
    <t>Morogoro Main Road, 1.25 km from Karabaka</t>
  </si>
  <si>
    <t>1:51:01</t>
  </si>
  <si>
    <t>2025-12-12 05:39:39</t>
  </si>
  <si>
    <t>IFUNDA, IRINGA</t>
  </si>
  <si>
    <t>2025-12-12 09:32:22</t>
  </si>
  <si>
    <t>3:52:43</t>
  </si>
  <si>
    <t>2025-12-12 05:21:03</t>
  </si>
  <si>
    <t>T1, 1.32 km from Igomelo</t>
  </si>
  <si>
    <t>2025-12-12 21:54:04</t>
  </si>
  <si>
    <t>8:28:06</t>
  </si>
  <si>
    <t>T142EBX</t>
  </si>
  <si>
    <t>2025-12-13 05:40:33</t>
  </si>
  <si>
    <t>2025-12-13 07:17:36</t>
  </si>
  <si>
    <t>Iringa Road, Mikumi</t>
  </si>
  <si>
    <t>1:37:03</t>
  </si>
  <si>
    <t>T184EBX</t>
  </si>
  <si>
    <t>2025-12-13 05:32:01</t>
  </si>
  <si>
    <t>2025-12-13 08:05:53</t>
  </si>
  <si>
    <t>2:33:52</t>
  </si>
  <si>
    <t>2025-12-13 05:25:19</t>
  </si>
  <si>
    <t>2025-12-13 20:52:11</t>
  </si>
  <si>
    <t>1:59:22</t>
  </si>
  <si>
    <t>2025-12-13 04:47:28</t>
  </si>
  <si>
    <t>Iringa Road, 1.26 km from Ruaha Mbuyumi</t>
  </si>
  <si>
    <t>2025-12-13 21:05:43</t>
  </si>
  <si>
    <t>7:20:33</t>
  </si>
  <si>
    <t>2025-12-13 05:39:02</t>
  </si>
  <si>
    <t>Tanzam Road, 2.52 km from Uyole</t>
  </si>
  <si>
    <t>2025-12-13 08:28:00</t>
  </si>
  <si>
    <t>T1, 2.44 km from Igando</t>
  </si>
  <si>
    <t>2:48:58</t>
  </si>
  <si>
    <t>2025-12-13 05:26:05</t>
  </si>
  <si>
    <t>2025-12-13 23:44:31</t>
  </si>
  <si>
    <t>SALISLA</t>
  </si>
  <si>
    <t>5:01:23</t>
  </si>
  <si>
    <t>2025-12-13 05:37:04</t>
  </si>
  <si>
    <t>2025-12-13 07:40:50</t>
  </si>
  <si>
    <t>2:03:46</t>
  </si>
  <si>
    <t>2025-12-13 05:31:18</t>
  </si>
  <si>
    <t>2025-12-13 07:48:35</t>
  </si>
  <si>
    <t>Morogoro, Iringa Road</t>
  </si>
  <si>
    <t>2:17:17</t>
  </si>
  <si>
    <t>2025-12-13 05:34:59</t>
  </si>
  <si>
    <t>3:33:20</t>
  </si>
  <si>
    <t>2025-12-14 05:03:04</t>
  </si>
  <si>
    <t>Iringa Road, 2.20 km from Ruaha Mbuyumi</t>
  </si>
  <si>
    <t>2025-12-14 23:28:28</t>
  </si>
  <si>
    <t>4:20:04</t>
  </si>
  <si>
    <t>2025-12-14 05:39:29</t>
  </si>
  <si>
    <t>2025-12-14 23:34:22</t>
  </si>
  <si>
    <t>IPOGOLO IRINGA</t>
  </si>
  <si>
    <t>1:27:57</t>
  </si>
  <si>
    <t>2025-12-15 05:40:46</t>
  </si>
  <si>
    <t>2025-12-15 11:13:05</t>
  </si>
  <si>
    <t>5:27:12</t>
  </si>
  <si>
    <t>2025-12-15 05:28:19</t>
  </si>
  <si>
    <t>2025-12-15 06:54:14</t>
  </si>
  <si>
    <t>1:25:55</t>
  </si>
  <si>
    <t>T838EBY</t>
  </si>
  <si>
    <t>2025-12-15 05:39:27</t>
  </si>
  <si>
    <t>Tanzania To Zambia Road, Changarawe</t>
  </si>
  <si>
    <t>2025-12-15 07:13:23</t>
  </si>
  <si>
    <t>1:33:56</t>
  </si>
  <si>
    <t>2025-12-15 05:32:48</t>
  </si>
  <si>
    <t>2025-12-15 19:14:21</t>
  </si>
  <si>
    <t>3:38:29</t>
  </si>
  <si>
    <t>2025-12-15 20:57:52</t>
  </si>
  <si>
    <t>Morogoro Main Road, 1.22 km from Karabaka</t>
  </si>
  <si>
    <t>2025-12-15 23:59:42</t>
  </si>
  <si>
    <t>Dar Es Salaam, Morogoro Main Road</t>
  </si>
  <si>
    <t>0:47:52</t>
  </si>
  <si>
    <t>T945DSX</t>
  </si>
  <si>
    <t>2025-12-15 20:47:41</t>
  </si>
  <si>
    <t>GALCO ICD MBOZI</t>
  </si>
  <si>
    <t>2025-12-15 23:41:53</t>
  </si>
  <si>
    <t>2:17:21</t>
  </si>
  <si>
    <t>T994EBW</t>
  </si>
  <si>
    <t>T794EBW</t>
  </si>
  <si>
    <t>T795DDS</t>
  </si>
  <si>
    <t>Morogoro, Iringa Road, Tanzania</t>
  </si>
  <si>
    <t>T276DDJ</t>
  </si>
  <si>
    <t>T577DTQ</t>
  </si>
  <si>
    <t>T750EBX</t>
  </si>
  <si>
    <t>T975EBW</t>
  </si>
  <si>
    <t>T988EBW</t>
  </si>
  <si>
    <t>T417DHE</t>
  </si>
  <si>
    <t>T1, 1.47 km from Nyololo</t>
  </si>
  <si>
    <t>T1, Mambi</t>
  </si>
  <si>
    <t>T959DSX</t>
  </si>
  <si>
    <t>T571DYR</t>
  </si>
  <si>
    <t>2025-12-16 05:24:24</t>
  </si>
  <si>
    <t>2025-12-16 06:50:55</t>
  </si>
  <si>
    <t>T1, 4.29 km from Vigwaza</t>
  </si>
  <si>
    <t>1:26:31</t>
  </si>
  <si>
    <t>2025-12-16 05:49:15</t>
  </si>
  <si>
    <t>Iringa Road, Melela Mlandizi</t>
  </si>
  <si>
    <t>2025-12-16 08:54:33</t>
  </si>
  <si>
    <t>T1, Msolwa</t>
  </si>
  <si>
    <t>3:05:18</t>
  </si>
  <si>
    <t>2025-12-16 05:24:33</t>
  </si>
  <si>
    <t>2025-12-16 07:46:29</t>
  </si>
  <si>
    <t>Morogoro Main Road, 1.55 km from Karabaka</t>
  </si>
  <si>
    <t>2:21:56</t>
  </si>
  <si>
    <t>2025-12-16 05:45:34</t>
  </si>
  <si>
    <t>2025-12-16 18:59:46</t>
  </si>
  <si>
    <t>1:12:05</t>
  </si>
  <si>
    <t>2025-12-16 05:52:41</t>
  </si>
  <si>
    <t>2025-12-16 20:04:24</t>
  </si>
  <si>
    <t>0:55:32</t>
  </si>
  <si>
    <t>2025-12-16 05:52:09</t>
  </si>
  <si>
    <t>2025-12-16 08:29:09</t>
  </si>
  <si>
    <t>2:37:00</t>
  </si>
  <si>
    <t>2025-12-16 05:37:29</t>
  </si>
  <si>
    <t>2025-12-16 10:39:41</t>
  </si>
  <si>
    <t>5:02:12</t>
  </si>
  <si>
    <t>2025-12-16 05:42:00</t>
  </si>
  <si>
    <t>2025-12-16 23:13:08</t>
  </si>
  <si>
    <t>2:23:36</t>
  </si>
  <si>
    <t>T583DYR</t>
  </si>
  <si>
    <t>2025-12-16 05:54:12</t>
  </si>
  <si>
    <t>2025-12-16 09:42:13</t>
  </si>
  <si>
    <t>3:48:01</t>
  </si>
  <si>
    <t>2025-12-16 05:59:42</t>
  </si>
  <si>
    <t>2025-12-16 07:38:54</t>
  </si>
  <si>
    <t>T1, Mikese</t>
  </si>
  <si>
    <t>1:39:12</t>
  </si>
  <si>
    <t>2025-12-16 05:49:18</t>
  </si>
  <si>
    <t>2025-12-16 08:28:41</t>
  </si>
  <si>
    <t>2:39:23</t>
  </si>
  <si>
    <t>2025-12-16 05:43:57</t>
  </si>
  <si>
    <t>2025-12-16 08:31:47</t>
  </si>
  <si>
    <t>2:47:50</t>
  </si>
  <si>
    <t>2025-12-16 05:52:48</t>
  </si>
  <si>
    <t>2025-12-16 05:56:48</t>
  </si>
  <si>
    <t>0:04:00</t>
  </si>
  <si>
    <t>2025-12-16 05:59:49</t>
  </si>
  <si>
    <t>Iringa Road, 1.27 km from Ruaha Mbuyumi</t>
  </si>
  <si>
    <t>2025-12-16 20:26:27</t>
  </si>
  <si>
    <t>8:18:59</t>
  </si>
  <si>
    <t>T947DSX</t>
  </si>
  <si>
    <t>T1, Tanzania, Njombe, Edetelo</t>
  </si>
  <si>
    <t>T930EBW</t>
  </si>
  <si>
    <t>T377DCT</t>
  </si>
  <si>
    <t>T382ECN</t>
  </si>
  <si>
    <t>Tanzania To Zambia Road, Kibena</t>
  </si>
  <si>
    <t>T378ECN</t>
  </si>
  <si>
    <t>T3, 2.40 km from Momba</t>
  </si>
  <si>
    <t>T716EBX</t>
  </si>
  <si>
    <t>T723DYR</t>
  </si>
  <si>
    <t>T794DDS</t>
  </si>
  <si>
    <t>T953DSX</t>
  </si>
  <si>
    <t>T1, Itewe</t>
  </si>
  <si>
    <t>T3, 2.67 km from Momba</t>
  </si>
  <si>
    <t>T584DYR</t>
  </si>
  <si>
    <t>Regional Hospital Road, 2.41 km from Mbeya</t>
  </si>
  <si>
    <t>T866EBY</t>
  </si>
  <si>
    <t>2025-12-19 06:02:09</t>
  </si>
  <si>
    <t>T1, 2.81 km from Itewe</t>
  </si>
  <si>
    <t>T401ECN</t>
  </si>
  <si>
    <t>T1, 1.53 km from Nyololo</t>
  </si>
  <si>
    <t>T871EBW</t>
  </si>
  <si>
    <t>T182EBX</t>
  </si>
  <si>
    <t>Regional Hospital Road, 2.40 km from Mbeya</t>
  </si>
  <si>
    <t>T921EBW</t>
  </si>
  <si>
    <t>Great North Road, Nakonde</t>
  </si>
  <si>
    <t>T932EBW</t>
  </si>
  <si>
    <t>Mbala - Nakonde Road, 5.25 km from Mwezo</t>
  </si>
  <si>
    <t>NAKONDE ZM SIDE</t>
  </si>
  <si>
    <t>2025-12-17 05:29:57</t>
  </si>
  <si>
    <t>Old Morogoro Road, Kongowe</t>
  </si>
  <si>
    <t>2025-12-17 06:21:01</t>
  </si>
  <si>
    <t>0:51:04</t>
  </si>
  <si>
    <t>2025-12-17 05:19:47</t>
  </si>
  <si>
    <t>2025-12-17 06:21:04</t>
  </si>
  <si>
    <t>1:01:17</t>
  </si>
  <si>
    <t>T580DTQ</t>
  </si>
  <si>
    <t>2025-12-17 05:36:58</t>
  </si>
  <si>
    <t>T1, 1.87 km from Uyole</t>
  </si>
  <si>
    <t>2025-12-17 06:07:08</t>
  </si>
  <si>
    <t>0:30:10</t>
  </si>
  <si>
    <t>2025-12-17 05:20:52</t>
  </si>
  <si>
    <t>2025-12-17 06:22:47</t>
  </si>
  <si>
    <t>1:01:55</t>
  </si>
  <si>
    <t>T731DYR</t>
  </si>
  <si>
    <t>2025-12-17 05:37:00</t>
  </si>
  <si>
    <t>2025-12-17 06:06:23</t>
  </si>
  <si>
    <t>0:29:23</t>
  </si>
  <si>
    <t>2025-12-17 05:04:10</t>
  </si>
  <si>
    <t>Morogoro Main Road, Kongowe</t>
  </si>
  <si>
    <t>2025-12-17 07:02:06</t>
  </si>
  <si>
    <t>1:39:44</t>
  </si>
  <si>
    <t>2025-12-17 05:38:39</t>
  </si>
  <si>
    <t>2025-12-17 11:13:22</t>
  </si>
  <si>
    <t>5:34:43</t>
  </si>
  <si>
    <t>2025-12-18 05:23:58</t>
  </si>
  <si>
    <t>Tanzam Road, 2.42 km from Mbeya</t>
  </si>
  <si>
    <t>2025-12-18 19:47:29</t>
  </si>
  <si>
    <t>2:57:30</t>
  </si>
  <si>
    <t>T745EBX</t>
  </si>
  <si>
    <t>2025-12-18 05:22:10</t>
  </si>
  <si>
    <t>2025-12-18 22:02:36</t>
  </si>
  <si>
    <t>2:56:40</t>
  </si>
  <si>
    <t>2025-12-19 05:40:42</t>
  </si>
  <si>
    <t>T1, 1.28 km from Ubenazomozi</t>
  </si>
  <si>
    <t>2025-12-19 06:35:53</t>
  </si>
  <si>
    <t>T1, 1.88 km from Maseyu</t>
  </si>
  <si>
    <t>0:55:11</t>
  </si>
  <si>
    <t>2025-12-19 05:28:33</t>
  </si>
  <si>
    <t>2025-12-19 07:13:08</t>
  </si>
  <si>
    <t>Iringa Road, 4.25 km from Comfort</t>
  </si>
  <si>
    <t>1:44:35</t>
  </si>
  <si>
    <t>2025-12-19 05:19:41</t>
  </si>
  <si>
    <t>INYALA, MBEYA</t>
  </si>
  <si>
    <t>0:36:49</t>
  </si>
  <si>
    <t>2025-12-21 05:39:42</t>
  </si>
  <si>
    <t>2025-12-21 05:55:09</t>
  </si>
  <si>
    <t>0:15:27</t>
  </si>
  <si>
    <t>2025-12-21 05:18:01</t>
  </si>
  <si>
    <t>Tanzania To Zambia Road, Muwimbi</t>
  </si>
  <si>
    <t>2025-12-21 08:10:34</t>
  </si>
  <si>
    <t>2:52:33</t>
  </si>
  <si>
    <t>2025-12-21 05:33:37</t>
  </si>
  <si>
    <t>Morogoro Main Road, 29.40 km from Dar Es Salaam</t>
  </si>
  <si>
    <t>2025-12-21 06:07:58</t>
  </si>
  <si>
    <t>Dar Es Salaam, Morogoro Road</t>
  </si>
  <si>
    <t>0:34:21</t>
  </si>
  <si>
    <t>2025-12-21 05:18:32</t>
  </si>
  <si>
    <t>2025-12-21 08:34:08</t>
  </si>
  <si>
    <t>3:15:36</t>
  </si>
  <si>
    <t>2025-12-21 05:43:49</t>
  </si>
  <si>
    <t>Tanzania To Zambia Road, 3.16 km from Mafinga</t>
  </si>
  <si>
    <t>2025-12-21 06:37:44</t>
  </si>
  <si>
    <t>0:53:55</t>
  </si>
  <si>
    <t>2025-12-21 05:24:15</t>
  </si>
  <si>
    <t>Tanzania To Zambia Road, 2.14 km from Mafinga</t>
  </si>
  <si>
    <t>2025-12-21 19:53:38</t>
  </si>
  <si>
    <t>TUNDUMA PARKING</t>
  </si>
  <si>
    <t>2:29:49</t>
  </si>
  <si>
    <t>Tanzam Road, 2.39 km from Mbeya</t>
  </si>
  <si>
    <t>T219EBX</t>
  </si>
  <si>
    <t>Rn39, 4.06 km from Fungurume</t>
  </si>
  <si>
    <t>Iringa Road, 3.22 km from Kipera</t>
  </si>
  <si>
    <t>Iringa Road, Masukanzi</t>
  </si>
  <si>
    <t>T735DYR</t>
  </si>
  <si>
    <t>T821EBW</t>
  </si>
  <si>
    <t>SERENJE</t>
  </si>
  <si>
    <t>T221EBX</t>
  </si>
  <si>
    <t>T378DHG</t>
  </si>
  <si>
    <t>T438DHG</t>
  </si>
  <si>
    <t>T679ECP</t>
  </si>
  <si>
    <t>T803DYR</t>
  </si>
  <si>
    <t>Tanzam Road, 2.32 km from Mbeya</t>
  </si>
  <si>
    <t>T396ECN</t>
  </si>
  <si>
    <t>T604DTQ</t>
  </si>
  <si>
    <t>T856EBY</t>
  </si>
  <si>
    <t>Tanzam Road, Iwambi</t>
  </si>
  <si>
    <t>T594DTQ</t>
  </si>
  <si>
    <t>Iringa Road, Mahenge</t>
  </si>
  <si>
    <t>T799EBW</t>
  </si>
  <si>
    <t>T332DHG</t>
  </si>
  <si>
    <t>T256EBX</t>
  </si>
  <si>
    <t>Great North Road, 11.45 km from Kanona</t>
  </si>
  <si>
    <t>Rn39, 3.99 km from Fungurume</t>
  </si>
  <si>
    <t>T3, 4.98 km from Konkola</t>
  </si>
  <si>
    <t>T3, 4.07 km from Momba</t>
  </si>
  <si>
    <t>T589DYR</t>
  </si>
  <si>
    <t>Iringa Road, Tanzania, Morogoro, Kibaoni</t>
  </si>
  <si>
    <t>T520EBY</t>
  </si>
  <si>
    <t>T869EBY</t>
  </si>
  <si>
    <t>T733EBX</t>
  </si>
  <si>
    <t>Ndola - Kitwe Dual-Carriageway, Zambia, Copperbelt Province, Ndola</t>
  </si>
  <si>
    <t>T661DTQ</t>
  </si>
  <si>
    <t>T792EBW</t>
  </si>
  <si>
    <t>T822DDS</t>
  </si>
  <si>
    <t>T812EBW</t>
  </si>
  <si>
    <t>KASUMBALESA - SAKANIA RD</t>
  </si>
  <si>
    <t>T583DTQ</t>
  </si>
  <si>
    <t>2025-12-22 05:37:02</t>
  </si>
  <si>
    <t>IGURUSI</t>
  </si>
  <si>
    <t>2025-12-22 06:32:37</t>
  </si>
  <si>
    <t>0:55:35</t>
  </si>
  <si>
    <t>2025-12-22 20:43:15</t>
  </si>
  <si>
    <t>Rn39, 4.08 km from Fungurume</t>
  </si>
  <si>
    <t>2025-12-22 22:25:21</t>
  </si>
  <si>
    <t>Rn39, 3.57 km from Kafwaya</t>
  </si>
  <si>
    <t>0:15:26</t>
  </si>
  <si>
    <t>2025-12-22 23:03:00</t>
  </si>
  <si>
    <t>Rn39, 4.01 km from Fungurume</t>
  </si>
  <si>
    <t>2025-12-22 23:32:27</t>
  </si>
  <si>
    <t>Rn39, 3.65 km from Kafwaya</t>
  </si>
  <si>
    <t>0:22:15</t>
  </si>
  <si>
    <t>2025-12-22 05:39:20</t>
  </si>
  <si>
    <t>Morogoro Main Road, Mwendapole B</t>
  </si>
  <si>
    <t>2025-12-22 07:28:37</t>
  </si>
  <si>
    <t>CHALINZE</t>
  </si>
  <si>
    <t>1:49:17</t>
  </si>
  <si>
    <t>2025-12-22 23:47:40</t>
  </si>
  <si>
    <t>Rn39, 3.97 km from Fungurume</t>
  </si>
  <si>
    <t>2025-12-22 23:59:15</t>
  </si>
  <si>
    <t>Rn39, 3.60 km from Kafwaya</t>
  </si>
  <si>
    <t>0:11:35</t>
  </si>
  <si>
    <t>2025-12-22 22:17:05</t>
  </si>
  <si>
    <t>Great North Road, 7.28 km from Chimpati</t>
  </si>
  <si>
    <t>2025-12-22 23:29:21</t>
  </si>
  <si>
    <t>0:49:46</t>
  </si>
  <si>
    <t>2025-12-22 22:16:56</t>
  </si>
  <si>
    <t>Great North Road, 7.31 km from Chimpati</t>
  </si>
  <si>
    <t>2025-12-22 23:30:17</t>
  </si>
  <si>
    <t>0:47:40</t>
  </si>
  <si>
    <t>2025-12-22 05:22:04</t>
  </si>
  <si>
    <t>2025-12-22 07:54:05</t>
  </si>
  <si>
    <t>KIDAYI 'A'</t>
  </si>
  <si>
    <t>2:32:01</t>
  </si>
  <si>
    <t>2025-12-22 21:48:41</t>
  </si>
  <si>
    <t>2025-12-22 22:36:15</t>
  </si>
  <si>
    <t>Rn39, 3.63 km from Kafwaya</t>
  </si>
  <si>
    <t>0:22:19</t>
  </si>
  <si>
    <t>2025-12-22 22:37:22</t>
  </si>
  <si>
    <t>2025-12-22 22:54:44</t>
  </si>
  <si>
    <t>Rn39, 3.59 km from Kafwaya</t>
  </si>
  <si>
    <t>0:17:22</t>
  </si>
  <si>
    <t>2025-12-22 22:17:12</t>
  </si>
  <si>
    <t>Great North Road, 7.32 km from Chimpati</t>
  </si>
  <si>
    <t>2025-12-22 23:41:43</t>
  </si>
  <si>
    <t>1:01:07</t>
  </si>
  <si>
    <t>2025-12-23 20:46:15</t>
  </si>
  <si>
    <t>2025-12-23 20:56:20</t>
  </si>
  <si>
    <t>0:10:05</t>
  </si>
  <si>
    <t>2025-12-23 05:15:57</t>
  </si>
  <si>
    <t>Regional Hospital Road, 2.44 km from Mbeya</t>
  </si>
  <si>
    <t>2025-12-23 06:44:08</t>
  </si>
  <si>
    <t>T1, 7.02 km from Idiga Songwe</t>
  </si>
  <si>
    <t>1:14:50</t>
  </si>
  <si>
    <t>2025-12-23 05:05:43</t>
  </si>
  <si>
    <t>2025-12-23 18:47:49</t>
  </si>
  <si>
    <t>0:09:27</t>
  </si>
  <si>
    <t>2025-12-23 05:16:29</t>
  </si>
  <si>
    <t>2025-12-23 08:43:56</t>
  </si>
  <si>
    <t>TUNDUMA BORDER TZ SIDE</t>
  </si>
  <si>
    <t>3:19:58</t>
  </si>
  <si>
    <t>2025-12-23 20:35:52</t>
  </si>
  <si>
    <t>T3, 4.24 km from Momba</t>
  </si>
  <si>
    <t>2025-12-23 21:02:08</t>
  </si>
  <si>
    <t>T3, 5.00 km from Konkola</t>
  </si>
  <si>
    <t>0:08:31</t>
  </si>
  <si>
    <t>2025-12-23 21:46:26</t>
  </si>
  <si>
    <t>2025-12-23 21:53:55</t>
  </si>
  <si>
    <t>0:07:29</t>
  </si>
  <si>
    <t>2025-12-23 21:08:49</t>
  </si>
  <si>
    <t>2025-12-23 23:18:37</t>
  </si>
  <si>
    <t>1:04:33</t>
  </si>
  <si>
    <t>2025-12-23 05:32:47</t>
  </si>
  <si>
    <t>2025-12-23 22:47:25</t>
  </si>
  <si>
    <t>MBAGALA YARD</t>
  </si>
  <si>
    <t>4:42:34</t>
  </si>
  <si>
    <t>2025-12-23 20:33:20</t>
  </si>
  <si>
    <t>T3, 4.21 km from Momba</t>
  </si>
  <si>
    <t>2025-12-23 21:00:41</t>
  </si>
  <si>
    <t>T3, 4.99 km from Konkola</t>
  </si>
  <si>
    <t>0:09:08</t>
  </si>
  <si>
    <t>2025-12-24 05:37:21</t>
  </si>
  <si>
    <t>2025-12-24 21:06:16</t>
  </si>
  <si>
    <t>0:30:42</t>
  </si>
  <si>
    <t>2025-12-24 04:44:06</t>
  </si>
  <si>
    <t>Tanzam Road, 2.34 km from Mbeya</t>
  </si>
  <si>
    <t>2025-12-24 06:46:18</t>
  </si>
  <si>
    <t>T1, Mahenje Village</t>
  </si>
  <si>
    <t>2:02:12</t>
  </si>
  <si>
    <t>2025-12-24 21:49:33</t>
  </si>
  <si>
    <t>2025-12-24 22:53:09</t>
  </si>
  <si>
    <t>1:03:36</t>
  </si>
  <si>
    <t>2025-12-24 05:39:42</t>
  </si>
  <si>
    <t>Iringa Road, 1.37 km from Ruaha Mbuyumi</t>
  </si>
  <si>
    <t>2025-12-24 23:07:45</t>
  </si>
  <si>
    <t>5:40:08</t>
  </si>
  <si>
    <t>2025-12-25 05:22:25</t>
  </si>
  <si>
    <t>T2, 2.70 km from Mbwewe</t>
  </si>
  <si>
    <t>2025-12-25 20:04:13</t>
  </si>
  <si>
    <t>2:05:49</t>
  </si>
  <si>
    <t>2025-12-25 05:33:13</t>
  </si>
  <si>
    <t>Iringa Road, 2.78 km from Kidoma</t>
  </si>
  <si>
    <t>2025-12-25 10:33:11</t>
  </si>
  <si>
    <t>4:59:58</t>
  </si>
  <si>
    <t>2025-12-26 22:30:32</t>
  </si>
  <si>
    <t>2025-12-26 23:15:19</t>
  </si>
  <si>
    <t>0:10:02</t>
  </si>
  <si>
    <t>2025-12-26 21:22:29</t>
  </si>
  <si>
    <t>Iringa Road, 3.77 km from Matassi</t>
  </si>
  <si>
    <t>2025-12-26 21:40:28</t>
  </si>
  <si>
    <t>0:17:59</t>
  </si>
  <si>
    <t>2025-12-26 21:20:52</t>
  </si>
  <si>
    <t>Iringa Road, 3.78 km from Matassi</t>
  </si>
  <si>
    <t>2025-12-26 21:35:43</t>
  </si>
  <si>
    <t>0:14:51</t>
  </si>
  <si>
    <t>2025-12-26 21:23:23</t>
  </si>
  <si>
    <t>Iringa Road, 3.75 km from Matassi</t>
  </si>
  <si>
    <t>2025-12-26 21:41:03</t>
  </si>
  <si>
    <t>0:17:40</t>
  </si>
  <si>
    <t>2025-12-27 05:16:40</t>
  </si>
  <si>
    <t>2025-12-27 19:41:16</t>
  </si>
  <si>
    <t>Tanzam Road, 1.57 km from Mbalizi</t>
  </si>
  <si>
    <t>7:24:06</t>
  </si>
  <si>
    <t>2025-12-27 05:34:13</t>
  </si>
  <si>
    <t>2025-12-27 20:02:57</t>
  </si>
  <si>
    <t>1:05:18</t>
  </si>
  <si>
    <t>2025-12-27 05:02:35</t>
  </si>
  <si>
    <t>KIBAHA</t>
  </si>
  <si>
    <t>2025-12-27 06:14:42</t>
  </si>
  <si>
    <t>1:12:07</t>
  </si>
  <si>
    <t>2025-12-27 05:30:53</t>
  </si>
  <si>
    <t>2025-12-27 05:59:35</t>
  </si>
  <si>
    <t>IWAMBI, MBEYA</t>
  </si>
  <si>
    <t>0:28:42</t>
  </si>
  <si>
    <t>2025-12-28 05:10:10</t>
  </si>
  <si>
    <t>2025-12-28 06:41:29</t>
  </si>
  <si>
    <t>1:31:19</t>
  </si>
  <si>
    <t>2025-12-28 05:15:08</t>
  </si>
  <si>
    <t>2025-12-28 08:05:24</t>
  </si>
  <si>
    <t>T1, 3.82 km from Lunwa</t>
  </si>
  <si>
    <t>2:33:20</t>
  </si>
  <si>
    <t>2025-12-29 20:44:19</t>
  </si>
  <si>
    <t>2025-12-29 21:03:56</t>
  </si>
  <si>
    <t>0:19:37</t>
  </si>
  <si>
    <t>2025-12-29 22:03:22</t>
  </si>
  <si>
    <t>Kansoko Mine Road, 17.04 km from Kapata</t>
  </si>
  <si>
    <t>2025-12-29 22:16:02</t>
  </si>
  <si>
    <t>Rue De La Kamoa Mine, 17.46 km from Kapata</t>
  </si>
  <si>
    <t>0:12:40</t>
  </si>
  <si>
    <t>2025-12-29 20:43:52</t>
  </si>
  <si>
    <t>2025-12-29 21:00:37</t>
  </si>
  <si>
    <t>0:16:45</t>
  </si>
  <si>
    <t>2025-12-29 05:39:15</t>
  </si>
  <si>
    <t>2025-12-29 21:44:58</t>
  </si>
  <si>
    <t>1:22:06</t>
  </si>
  <si>
    <t>2025-12-31 05:39:51</t>
  </si>
  <si>
    <t>2025-12-31 06:08:26</t>
  </si>
  <si>
    <t>0:28:35</t>
  </si>
  <si>
    <t>2025-12-31 21:20:52</t>
  </si>
  <si>
    <t>2025-12-31 22:29:01</t>
  </si>
  <si>
    <t>Tanzam Road, Songwe Viwandani</t>
  </si>
  <si>
    <t>0:55:40</t>
  </si>
  <si>
    <t>2025-12-31 05:04:35</t>
  </si>
  <si>
    <t>2025-12-31 07:46:14</t>
  </si>
  <si>
    <t>2:41:39</t>
  </si>
  <si>
    <t>2025-12-31 04:56:42</t>
  </si>
  <si>
    <t>2025-12-31 06:27:20</t>
  </si>
  <si>
    <t>1:30:38</t>
  </si>
  <si>
    <t>2025-12-31 05:12:14</t>
  </si>
  <si>
    <t>2025-12-31 06:39:37</t>
  </si>
  <si>
    <t>T1, 4.23 km from Vigwaza</t>
  </si>
  <si>
    <t>1:27:23</t>
  </si>
  <si>
    <t>2025-12-31 05:29:44</t>
  </si>
  <si>
    <t>2025-12-31 08:23:59</t>
  </si>
  <si>
    <t>2:54:15</t>
  </si>
  <si>
    <t>2025-12-31 05:38:21</t>
  </si>
  <si>
    <t>2025-12-31 09:44:44</t>
  </si>
  <si>
    <t>3:55:54</t>
  </si>
  <si>
    <t>2026-01-01 05:20:17</t>
  </si>
  <si>
    <t>Great North Road, Mutumbo</t>
  </si>
  <si>
    <t>2026-01-01 19:23:08</t>
  </si>
  <si>
    <t>ZRA KAPIRI</t>
  </si>
  <si>
    <t>3:14:15</t>
  </si>
  <si>
    <t>2026-01-01 20:28:09</t>
  </si>
  <si>
    <t>2026-01-01 20:52:57</t>
  </si>
  <si>
    <t>0:24:48</t>
  </si>
  <si>
    <t>2026-01-02 05:21:32</t>
  </si>
  <si>
    <t>2026-01-02 10:08:29</t>
  </si>
  <si>
    <t>4:46:57</t>
  </si>
  <si>
    <t>2026-01-02 05:25:32</t>
  </si>
  <si>
    <t>2026-01-02 20:39:49</t>
  </si>
  <si>
    <t>Morogoro Main Road, Miyomboni</t>
  </si>
  <si>
    <t>4:44:37</t>
  </si>
  <si>
    <t>2026-01-02 05:30:05</t>
  </si>
  <si>
    <t>2026-01-02 07:48:15</t>
  </si>
  <si>
    <t>2:18:10</t>
  </si>
  <si>
    <t>2026-01-02 05:30:32</t>
  </si>
  <si>
    <t>2026-01-02 07:41:58</t>
  </si>
  <si>
    <t>2:11:26</t>
  </si>
  <si>
    <t>2026-01-02 05:31:44</t>
  </si>
  <si>
    <t>2026-01-02 10:49:43</t>
  </si>
  <si>
    <t>5:17:59</t>
  </si>
  <si>
    <t>2026-01-02 05:38:34</t>
  </si>
  <si>
    <t>2026-01-02 19:54:09</t>
  </si>
  <si>
    <t>2:33:24</t>
  </si>
  <si>
    <t>T259EBY</t>
  </si>
  <si>
    <t>2026-01-02 20:56:50</t>
  </si>
  <si>
    <t>2026-01-02 21:01:25</t>
  </si>
  <si>
    <t>0:04:35</t>
  </si>
  <si>
    <t>2026-01-03 05:09:56</t>
  </si>
  <si>
    <t>2026-01-03 07:28:01</t>
  </si>
  <si>
    <t>T1, 4.36 km from Ivugula</t>
  </si>
  <si>
    <t>1:57:32</t>
  </si>
  <si>
    <t>2026-01-03 05:11:22</t>
  </si>
  <si>
    <t>2026-01-03 07:27:26</t>
  </si>
  <si>
    <t>T1, 4.62 km from Ivugula</t>
  </si>
  <si>
    <t>1:53:51</t>
  </si>
  <si>
    <t>2026-01-03 20:47:07</t>
  </si>
  <si>
    <t>2026-01-03 21:47:10</t>
  </si>
  <si>
    <t>SABINA TRUCK PARK</t>
  </si>
  <si>
    <t>1:00:03</t>
  </si>
  <si>
    <t>2026-01-03 20:47:20</t>
  </si>
  <si>
    <t>2026-01-03 21:41:13</t>
  </si>
  <si>
    <t>0:53:53</t>
  </si>
  <si>
    <t>2026-01-03 21:08:44</t>
  </si>
  <si>
    <t>T3, 3.96 km from Bancroft</t>
  </si>
  <si>
    <t>2026-01-03 22:24:13</t>
  </si>
  <si>
    <t>T3, 3.55 km from Momba</t>
  </si>
  <si>
    <t>0:22:00</t>
  </si>
  <si>
    <t>2026-01-03 21:54:32</t>
  </si>
  <si>
    <t>M5, 10.95 km from Mufulira</t>
  </si>
  <si>
    <t>2026-01-03 22:48:56</t>
  </si>
  <si>
    <t>MOKAMBO ZM SIDE</t>
  </si>
  <si>
    <t>0:54:24</t>
  </si>
  <si>
    <t>01.01.2026 04:11:56 pm</t>
  </si>
  <si>
    <t>Great North Road, Muchinga Province, Zambia, 8.58 km from Two Leopards</t>
  </si>
  <si>
    <t>01.01.2026 06:36:40 am</t>
  </si>
  <si>
    <t>T1, Mbeya, Mbozi, Tanzania, 5.87 km from Idiga Songwe</t>
  </si>
  <si>
    <t>01.01.2026 07:12:22 am</t>
  </si>
  <si>
    <t>Tanzania To Zambia Road, Iringa, Mufindi, Tanzania, 2.20 km from Ugwachanya</t>
  </si>
  <si>
    <t>T518DEB</t>
  </si>
  <si>
    <t>01.01.2026 10:46:23 am</t>
  </si>
  <si>
    <t>02.01.2026 02:39:34 pm</t>
  </si>
  <si>
    <t>02.01.2026 02:53:58 pm</t>
  </si>
  <si>
    <t>Great North Road, Muchinga Province, Zambia, 20.01 km from Katibunga</t>
  </si>
  <si>
    <t>02.01.2026 03:31:29 pm</t>
  </si>
  <si>
    <t>M3, Luapula Province, Zambia, 8.49 km from Kalundu</t>
  </si>
  <si>
    <t>02.01.2026 04:28:47 pm</t>
  </si>
  <si>
    <t>02.01.2026 05:12:11 pm</t>
  </si>
  <si>
    <t>Great North Road, Muchinga Province, Zambia, Isoka</t>
  </si>
  <si>
    <t>02.01.2026 10:26:32 am</t>
  </si>
  <si>
    <t>Great North Road, Muchinga Province, Zambia, 10.10 km from Chinunda</t>
  </si>
  <si>
    <t>02.01.2026 11:04:54 am</t>
  </si>
  <si>
    <t>Great North Road, Muchinga Province, Zambia, 16.34 km from Mukukwe</t>
  </si>
  <si>
    <t>03.01.2026 04:24:57 pm</t>
  </si>
  <si>
    <t>03.01.2026 06:55:30 am</t>
  </si>
  <si>
    <t>T1, Mbeya, Mbozi, Tanzania, Mahenje Village</t>
  </si>
  <si>
    <t>03.01.2026 11:56:56 am</t>
  </si>
  <si>
    <t>03.01.2026 11:57:09 am</t>
  </si>
  <si>
    <t>T1, 4.80 km from Makwenje</t>
  </si>
  <si>
    <t>T873EBW</t>
  </si>
  <si>
    <t>T721DEB</t>
  </si>
  <si>
    <t>2026-01-01 06:56:42</t>
  </si>
  <si>
    <t>2026-01-01 07:26:43</t>
  </si>
  <si>
    <t>T930EBW =&gt; IDLING. At 01.01.2026 06:56:42 it moved with speed 0 km/h near 'T2, Tanga, Handeni, Tanzania, 1.45 km from Ugweno'.</t>
  </si>
  <si>
    <t>T2, 1.45 km from Ugweno</t>
  </si>
  <si>
    <t>2026-01-01 06:57:50</t>
  </si>
  <si>
    <t>2026-01-01 07:27:55</t>
  </si>
  <si>
    <t>T867EBY =&gt; IDLING. At 01.01.2026 06:57:50 it moved with speed 0 km/h near 'T2, Tanga, Handeni, Tanzania, 1.43 km from Ugweno'.</t>
  </si>
  <si>
    <t>T2, 1.43 km from Ugweno</t>
  </si>
  <si>
    <t>2026-01-01 07:36:20</t>
  </si>
  <si>
    <t>2026-01-01 08:06:20</t>
  </si>
  <si>
    <t>T439DHG =&gt; IDLING. At 01.01.2026 07:36:20 it moved with speed 0 km/h near 'Great North Road, Muchinga Province, Zambia, 5.18 km from Two Leopards'.</t>
  </si>
  <si>
    <t>Great North Road, 5.18 km from Two Leopards</t>
  </si>
  <si>
    <t>2026-01-01 07:51:55</t>
  </si>
  <si>
    <t>2026-01-01 08:21:59</t>
  </si>
  <si>
    <t>T378DHG =&gt; IDLING. At 01.01.2026 07:51:55 it moved with speed 0 km/h near 'T3, Copperbelt Province, Zambia, 51.96 km from Ndola'.</t>
  </si>
  <si>
    <t>T3, 51.96 km from Ndola</t>
  </si>
  <si>
    <t>2026-01-01 07:59:46</t>
  </si>
  <si>
    <t>2026-01-01 08:29:48</t>
  </si>
  <si>
    <t>T517EBY =&gt; IDLING. At 01.01.2026 07:59:46 it moved with speed 0 km/h near 'Mbala - Nakonde Road, Muchinga Province, Zambia, 5.25 km from Mwezo'.</t>
  </si>
  <si>
    <t>2026-01-01 08:08:53</t>
  </si>
  <si>
    <t>2026-01-01 08:38:56</t>
  </si>
  <si>
    <t>T799DYR =&gt; IDLING. At 01.01.2026 08:08:53 it moved with speed 0 km/h near 'Morogoro Main Road, Pwani, Kibaha, Tanzania, Mwendapole B'.</t>
  </si>
  <si>
    <t>2026-01-01 08:21:22</t>
  </si>
  <si>
    <t>2026-01-01 08:51:25</t>
  </si>
  <si>
    <t>T792EBW =&gt; IDLING. At 01.01.2026 08:21:22 it moved with speed 0 km/h near 'Great North Road, Central Province, Zambia, 11.45 km from Kanona'.</t>
  </si>
  <si>
    <t>2026-01-01 08:31:35</t>
  </si>
  <si>
    <t>2026-01-01 09:01:38</t>
  </si>
  <si>
    <t>T737DEB =&gt; IDLING. At 01.01.2026 08:31:35 it moved with speed 0 km/h near 'Rn1, Lualaba, Democratic Republic of the Congo, 2.56 km from Kaidi'.</t>
  </si>
  <si>
    <t>Rn1, 2.56 km from Kaidi</t>
  </si>
  <si>
    <t>2026-01-01 08:44:44</t>
  </si>
  <si>
    <t>2026-01-01 09:14:45</t>
  </si>
  <si>
    <t>T514EBY =&gt; IDLING. At 01.01.2026 08:44:44 it moved with speed 0 km/h near 'T1, Mbeya, Tanzania, Kongolo Mkola'.</t>
  </si>
  <si>
    <t>2026-01-01 09:00:49</t>
  </si>
  <si>
    <t>2026-01-01 09:30:52</t>
  </si>
  <si>
    <t>T907EBW =&gt; IDLING. At 01.01.2026 09:00:49 it moved with speed 0 km/h near 'Tanzam Road, Mbeya, Kalobe, Tanzania, 2.40 km from Mbeya'.</t>
  </si>
  <si>
    <t>Tanzam Road, 2.40 km from Mbeya</t>
  </si>
  <si>
    <t>2026-01-01 09:16:10</t>
  </si>
  <si>
    <t>2026-01-01 09:46:13</t>
  </si>
  <si>
    <t>T934EBW =&gt; IDLING. At 01.01.2026 09:16:10 it moved with speed 0 km/h near 'Great North Road, Muchinga Province, Zambia, Kalungu'.</t>
  </si>
  <si>
    <t>2026-01-01 09:36:51</t>
  </si>
  <si>
    <t>2026-01-01 10:06:54</t>
  </si>
  <si>
    <t>T799EBW =&gt; IDLING. At 01.01.2026 09:36:51 it moved with speed 0 km/h near 'Regional Hospital Road, Mbeya, Nzovwe, Tanzania, 2.40 km from Mbeya'.</t>
  </si>
  <si>
    <t>2026-01-01 09:41:56</t>
  </si>
  <si>
    <t>2026-01-01 10:11:56</t>
  </si>
  <si>
    <t>T871EBW =&gt; IDLING. At 01.01.2026 09:41:56 it moved with speed 0 km/h near 'Great North Road, Muchinga Province, Zambia, Kalungu'.</t>
  </si>
  <si>
    <t>2026-01-01 09:43:10</t>
  </si>
  <si>
    <t>2026-01-01 10:13:11</t>
  </si>
  <si>
    <t>T491DYR =&gt; IDLING. At 01.01.2026 09:43:10 it moved with speed 0 km/h near 'T1, Pwani, Bagamoyo, Tanzania, 1.76 km from Vigwaza'.</t>
  </si>
  <si>
    <t>T1, 1.76 km from Vigwaza</t>
  </si>
  <si>
    <t>2026-01-01 09:44:22</t>
  </si>
  <si>
    <t>2026-01-01 10:14:26</t>
  </si>
  <si>
    <t>T378ECN =&gt; IDLING. At 01.01.2026 09:44:22 it moved with speed 0 km/h near 'Great North Road, Muchinga Province, Zambia, Kalungu'.</t>
  </si>
  <si>
    <t>T591DTQ</t>
  </si>
  <si>
    <t>2026-01-01 10:34:13</t>
  </si>
  <si>
    <t>2026-01-01 11:04:13</t>
  </si>
  <si>
    <t>T591DTQ =&gt; IDLING. At 01.01.2026 10:34:13 it moved with speed 0 km/h near 'Tanzania To Zambia Road, Iringa, Mufindi, Tanzania, 1.83 km from Ifunda'.</t>
  </si>
  <si>
    <t>Tanzania To Zambia Road, 1.83 km from Ifunda</t>
  </si>
  <si>
    <t>2026-01-01 11:18:32</t>
  </si>
  <si>
    <t>2026-01-01 11:48:33</t>
  </si>
  <si>
    <t>T382ECN =&gt; IDLING. At 01.01.2026 11:18:32 it moved with speed 0 km/h near 'T1, Njombe, Tanzania, Igawa'.</t>
  </si>
  <si>
    <t>2026-01-01 11:55:03</t>
  </si>
  <si>
    <t>2026-01-01 12:25:07</t>
  </si>
  <si>
    <t>T396ECN =&gt; IDLING. At 01.01.2026 11:55:03 it moved with speed 0 km/h near 'Great North Road, Muchinga Province, Zambia, 6.12 km from Kalungu'.</t>
  </si>
  <si>
    <t>Great North Road, 6.12 km from Kalungu</t>
  </si>
  <si>
    <t>2026-01-01 11:57:14</t>
  </si>
  <si>
    <t>2026-01-01 12:27:17</t>
  </si>
  <si>
    <t>T416DCT =&gt; IDLING. At 01.01.2026 11:57:14 it moved with speed 0 km/h near 'T1, Mbeya, Tanzania, Mambi'.</t>
  </si>
  <si>
    <t>2026-01-01 12:03:25</t>
  </si>
  <si>
    <t>2026-01-01 12:33:29</t>
  </si>
  <si>
    <t>T728DYR =&gt; IDLING. At 01.01.2026 12:03:25 it moved with speed 0 km/h near 'T1, Njombe, Tanzania, 1.47 km from Nyololo'.</t>
  </si>
  <si>
    <t>2026-01-01 12:12:25</t>
  </si>
  <si>
    <t>2026-01-01 12:42:29</t>
  </si>
  <si>
    <t>T905EBW =&gt; IDLING. At 01.01.2026 12:12:25 it moved with speed 0 km/h near 'T1, Mbeya, Tanzania, 1.09 km from Lunwa'.</t>
  </si>
  <si>
    <t>T1, 1.09 km from Lunwa</t>
  </si>
  <si>
    <t>2026-01-01 12:20:33</t>
  </si>
  <si>
    <t>2026-01-01 12:50:36</t>
  </si>
  <si>
    <t>T337EBX =&gt; IDLING. At 01.01.2026 12:20:33 it moved with speed 0 km/h near 'Tanzania To Zambia Road, Iringa, Mufindi, Tanzania, 1.78 km from Ifunda'.</t>
  </si>
  <si>
    <t>Tanzania To Zambia Road, 1.78 km from Ifunda</t>
  </si>
  <si>
    <t>2026-01-01 12:28:41</t>
  </si>
  <si>
    <t>2026-01-01 12:58:43</t>
  </si>
  <si>
    <t>T266EBX =&gt; IDLING. At 01.01.2026 12:28:41 it moved with speed 0 km/h near 'Great North Road, Central Province, Zambia, 1.88 km from Mkushi River'.</t>
  </si>
  <si>
    <t>Great North Road, 1.88 km from Mkushi River</t>
  </si>
  <si>
    <t>2026-01-01 12:47:07</t>
  </si>
  <si>
    <t>2026-01-01 13:17:11</t>
  </si>
  <si>
    <t>T326ECN =&gt; IDLING. At 01.01.2026 12:47:07 it moved with speed 0 km/h near 'Great North Road, Muchinga Province, Zambia, 7.97 km from Mwezo'.</t>
  </si>
  <si>
    <t>Great North Road, 7.97 km from Mwezo</t>
  </si>
  <si>
    <t>2026-01-01 12:53:47</t>
  </si>
  <si>
    <t>2026-01-01 13:23:48</t>
  </si>
  <si>
    <t>T431DHG =&gt; IDLING. At 01.01.2026 12:53:47 it moved with speed 0 km/h near 'Iringa Road, Iringa, Tanzania, Mtandika 'A''.</t>
  </si>
  <si>
    <t>Iringa Road, Mtandika 'A'</t>
  </si>
  <si>
    <t>2026-01-01 14:27:59</t>
  </si>
  <si>
    <t>2026-01-01 14:58:02</t>
  </si>
  <si>
    <t>T595DTQ =&gt; IDLING. At 01.01.2026 14:27:59 it moved with speed 0 km/h near 'Tanzania To Zambia Road, Iringa, Mufindi, Tanzania, Kinyanambo'.</t>
  </si>
  <si>
    <t>Tanzania To Zambia Road, Kinyanambo</t>
  </si>
  <si>
    <t>2026-01-01 14:54:04</t>
  </si>
  <si>
    <t>2026-01-01 15:24:07</t>
  </si>
  <si>
    <t>T772DYR =&gt; IDLING. At 01.01.2026 14:54:04 it moved with speed 0 km/h near 'Tanzam Road, Mbeya, Kalobe, Tanzania, 2.33 km from Mbeya'.</t>
  </si>
  <si>
    <t>2026-01-01 15:29:29</t>
  </si>
  <si>
    <t>2026-01-01 15:59:30</t>
  </si>
  <si>
    <t>T564DEB =&gt; IDLING. At 01.01.2026 15:29:29 it moved with speed 0 km/h near 'Great North Road, Muchinga Province, Zambia, Kalungu'.</t>
  </si>
  <si>
    <t>2026-01-01 15:33:22</t>
  </si>
  <si>
    <t>2026-01-01 16:03:26</t>
  </si>
  <si>
    <t>T299DCT =&gt; IDLING. At 01.01.2026 15:33:22 it moved with speed 0 km/h near 'Great North Road, Muchinga Province, Zambia, Kalungu'.</t>
  </si>
  <si>
    <t>2026-01-01 15:35:57</t>
  </si>
  <si>
    <t>2026-01-01 16:06:02</t>
  </si>
  <si>
    <t>T584DTQ =&gt; IDLING. At 01.01.2026 15:35:57 it moved with speed 0 km/h near 'Tanzania To Zambia Road, Iringa, Mufindi, Tanzania, 1.65 km from Ifunda'.</t>
  </si>
  <si>
    <t>Tanzania To Zambia Road, 1.65 km from Ifunda</t>
  </si>
  <si>
    <t>2026-01-01 15:52:04</t>
  </si>
  <si>
    <t>2026-01-01 16:22:06</t>
  </si>
  <si>
    <t>T720DYR =&gt; IDLING. At 01.01.2026 15:52:04 it moved with speed 0 km/h near 'Tanzam Road, Mbeya, Kalobe, Tanzania, 2.31 km from Mbeya'.</t>
  </si>
  <si>
    <t>Tanzam Road, 2.31 km from Mbeya</t>
  </si>
  <si>
    <t>2026-01-01 16:37:13</t>
  </si>
  <si>
    <t>2026-01-01 17:07:13</t>
  </si>
  <si>
    <t>T724DYR =&gt; IDLING. At 01.01.2026 16:37:13 it moved with speed 0 km/h near 'Great North Road, Central Province, Zambia, 10.41 km from Tanemeka'.</t>
  </si>
  <si>
    <t>Great North Road, 10.41 km from Tanemeka</t>
  </si>
  <si>
    <t>2026-01-01 16:47:44</t>
  </si>
  <si>
    <t>2026-01-01 17:17:46</t>
  </si>
  <si>
    <t>T712DYR =&gt; IDLING. At 01.01.2026 16:47:44 it moved with speed 0 km/h near 'Tanzam Road, Mbeya, Kalobe, Tanzania, 2.29 km from Mbeya'.</t>
  </si>
  <si>
    <t>Tanzam Road, 2.29 km from Mbeya</t>
  </si>
  <si>
    <t>2026-01-02 05:06:31</t>
  </si>
  <si>
    <t>2026-01-02 05:36:31</t>
  </si>
  <si>
    <t>T373DHG =&gt; IDLING. At 02.01.2026 05:06:31 it moved with speed 0 km/h near 'Iringa Road, Lundamatwe, Iringa, Tanzania'.</t>
  </si>
  <si>
    <t>2026-01-02 06:24:32</t>
  </si>
  <si>
    <t>2026-01-02 06:54:36</t>
  </si>
  <si>
    <t>T728DYR =&gt; IDLING. At 02.01.2026 06:24:32 it moved with speed 0 km/h near 'Tanzam Road, Mbeya, Kalobe, Tanzania, 2.31 km from Mbeya'.</t>
  </si>
  <si>
    <t>2026-01-02 06:29:52</t>
  </si>
  <si>
    <t>2026-01-02 06:59:52</t>
  </si>
  <si>
    <t>T905EBW =&gt; IDLING. At 02.01.2026 06:29:52 it moved with speed 0 km/h near 'Tanzam Road, Mbeya, Kalobe, Tanzania, 2.37 km from Mbeya'.</t>
  </si>
  <si>
    <t>2026-01-02 06:30:24</t>
  </si>
  <si>
    <t>2026-01-02 07:00:28</t>
  </si>
  <si>
    <t>T444DHG =&gt; IDLING. At 02.01.2026 06:30:24 it moved with speed 0 km/h near 'T1, Mbeya, Tanzania, 4.97 km from Mswiswi'.</t>
  </si>
  <si>
    <t>2026-01-02 07:06:29</t>
  </si>
  <si>
    <t>2026-01-02 07:36:30</t>
  </si>
  <si>
    <t>T960DSX =&gt; IDLING. At 02.01.2026 07:06:29 it moved with speed 0 km/h near 'T1, Mbeya, Tanzania, 4.80 km from Makwenje'.</t>
  </si>
  <si>
    <t>2026-01-02 07:49:59</t>
  </si>
  <si>
    <t>2026-01-02 08:19:59</t>
  </si>
  <si>
    <t>T588DTQ =&gt; IDLING. At 02.01.2026 07:49:59 it moved with speed 0 km/h near 'T1, Mbeya, Tanzania, Makwenje'.</t>
  </si>
  <si>
    <t>2026-01-02 08:29:55</t>
  </si>
  <si>
    <t>2026-01-02 08:59:59</t>
  </si>
  <si>
    <t>T491DYR =&gt; IDLING. At 02.01.2026 08:29:55 it moved with speed 0 km/h near 'Iringa Road, Iringa, Tanzania, 1.19 km from Ruaha Mbuyumi'.</t>
  </si>
  <si>
    <t>Iringa Road, 1.19 km from Ruaha Mbuyumi</t>
  </si>
  <si>
    <t>2026-01-02 08:35:41</t>
  </si>
  <si>
    <t>2026-01-02 09:05:45</t>
  </si>
  <si>
    <t>T585DYR =&gt; IDLING. At 02.01.2026 08:35:41 it moved with speed 0 km/h near 'T3, Copperbelt Province, Zambia, 4.87 km from Konkola'.</t>
  </si>
  <si>
    <t>T3, 4.87 km from Konkola</t>
  </si>
  <si>
    <t>2026-01-02 08:36:50</t>
  </si>
  <si>
    <t>2026-01-02 09:06:50</t>
  </si>
  <si>
    <t>T977EBW =&gt; IDLING. At 02.01.2026 08:36:50 it moved with speed 0 km/h near 'Tanzam Road, Mbeya, Kalobe, Tanzania, 2.38 km from Mbeya'.</t>
  </si>
  <si>
    <t>2026-01-02 08:45:56</t>
  </si>
  <si>
    <t>2026-01-02 09:16:00</t>
  </si>
  <si>
    <t>T793DDS =&gt; IDLING. At 02.01.2026 08:45:56 it moved with speed 0 km/h near 'T3, Copperbelt Province, Zambia, 4.95 km from Konkola'.</t>
  </si>
  <si>
    <t>T3, 4.95 km from Konkola</t>
  </si>
  <si>
    <t>2026-01-02 08:57:28</t>
  </si>
  <si>
    <t>2026-01-02 09:27:28</t>
  </si>
  <si>
    <t>T332DHG =&gt; IDLING. At 02.01.2026 08:57:28 it moved with speed 0 km/h near 'T3, Copperbelt Province, Zambia, 4.98 km from Konkola'.</t>
  </si>
  <si>
    <t>2026-01-02 09:56:43</t>
  </si>
  <si>
    <t>2026-01-02 10:26:46</t>
  </si>
  <si>
    <t>T774EBW =&gt; IDLING. At 02.01.2026 09:56:43 it moved with speed 0 km/h near 'Great North Road, Central Province, Zambia, 3.30 km from Mkushi'.</t>
  </si>
  <si>
    <t>Great North Road, 3.30 km from Mkushi</t>
  </si>
  <si>
    <t>2026-01-02 10:38:31</t>
  </si>
  <si>
    <t>T794DDS =&gt; IDLING. At 02.01.2026 10:08:29 it moved with speed 0 km/h near 'Iringa Road, Morogoro, Kilosa, Tanzania, Kikwaraza'.</t>
  </si>
  <si>
    <t>2026-01-02 10:14:00</t>
  </si>
  <si>
    <t>2026-01-02 10:44:02</t>
  </si>
  <si>
    <t>T515EBY =&gt; IDLING. At 02.01.2026 10:14:00 it moved with speed 0 km/h near 'Rn38, Haut-Katanga, Democratic Republic of the Congo, 2.95 km from Kampemba Ii'.</t>
  </si>
  <si>
    <t>Rn38, 2.95 km from Kampemba Ii</t>
  </si>
  <si>
    <t>2026-01-02 10:16:28</t>
  </si>
  <si>
    <t>2026-01-02 10:46:32</t>
  </si>
  <si>
    <t>T746DEB =&gt; IDLING. At 02.01.2026 10:16:28 it moved with speed 0 km/h near 'Iringa Road, Morogoro, Kilosa, Tanzania, Tambuka Reli'.</t>
  </si>
  <si>
    <t>2026-01-02 10:22:01</t>
  </si>
  <si>
    <t>2026-01-02 10:52:04</t>
  </si>
  <si>
    <t>T696DEB =&gt; IDLING. At 02.01.2026 10:22:01 it moved with speed 0 km/h near 'T3, Copperbelt Province, Zambia, 4.76 km from Momba'.</t>
  </si>
  <si>
    <t>T3, 4.76 km from Momba</t>
  </si>
  <si>
    <t>2026-01-02 10:40:26</t>
  </si>
  <si>
    <t>2026-01-02 11:10:27</t>
  </si>
  <si>
    <t>T796DYR =&gt; IDLING. At 02.01.2026 10:40:26 it moved with speed 0 km/h near 'Rn38, Haut-Katanga, Democratic Republic of the Congo, 2.95 km from Kampemba Ii'.</t>
  </si>
  <si>
    <t>2026-01-02 11:06:28</t>
  </si>
  <si>
    <t>2026-01-02 11:36:32</t>
  </si>
  <si>
    <t>T337EBX =&gt; IDLING. At 02.01.2026 11:06:28 it moved with speed 0 km/h near 'Tanzam Road, Mbeya, Kalobe, Tanzania, 2.32 km from Mbeya'.</t>
  </si>
  <si>
    <t>2026-01-02 11:07:32</t>
  </si>
  <si>
    <t>2026-01-02 11:37:34</t>
  </si>
  <si>
    <t>T785EBW =&gt; IDLING. At 02.01.2026 11:07:32 it moved with speed 0 km/h near 'T2, Tanga, Handeni, Tanzania, Mkata'.</t>
  </si>
  <si>
    <t>T2, Mkata</t>
  </si>
  <si>
    <t>2026-01-02 11:38:58</t>
  </si>
  <si>
    <t>2026-01-02 12:09:00</t>
  </si>
  <si>
    <t>T980EBW =&gt; IDLING. At 02.01.2026 11:38:58 it moved with speed 0 km/h near 'Tanzam Road, Mbeya, Tanzania, Iwambi'.</t>
  </si>
  <si>
    <t>2026-01-02 11:58:30</t>
  </si>
  <si>
    <t>2026-01-02 12:28:33</t>
  </si>
  <si>
    <t>T732DEB =&gt; IDLING. At 02.01.2026 11:58:30 it moved with speed 0 km/h near 'M3, Luapula Province, Zambia, Chipili'.</t>
  </si>
  <si>
    <t>M3, Chipili</t>
  </si>
  <si>
    <t>2026-01-02 12:00:05</t>
  </si>
  <si>
    <t>2026-01-02 12:30:08</t>
  </si>
  <si>
    <t>T882EBW =&gt; IDLING. At 02.01.2026 12:00:05 it moved with speed 0 km/h near 'Great North Road, Muchinga Province, Zambia, 3.90 km from Chinkumba'.</t>
  </si>
  <si>
    <t>T406DHG</t>
  </si>
  <si>
    <t>2026-01-02 12:06:06</t>
  </si>
  <si>
    <t>2026-01-02 12:36:10</t>
  </si>
  <si>
    <t>T406DHG =&gt; IDLING. At 02.01.2026 12:06:06 it moved with speed 0 km/h near 'T1, Njombe, Makete, Tanzania, Mabadaga'.</t>
  </si>
  <si>
    <t>T1, Mabadaga</t>
  </si>
  <si>
    <t>2026-01-02 12:16:10</t>
  </si>
  <si>
    <t>2026-01-02 12:46:13</t>
  </si>
  <si>
    <t>T584DTQ =&gt; IDLING. At 02.01.2026 12:16:10 it moved with speed 0 km/h near 'Iringa Road, Morogoro, Tanzania, 1.67 km from Melela Mlandizi'.</t>
  </si>
  <si>
    <t>Iringa Road, 1.67 km from Melela Mlandizi</t>
  </si>
  <si>
    <t>2026-01-02 12:19:37</t>
  </si>
  <si>
    <t>2026-01-02 12:49:38</t>
  </si>
  <si>
    <t>T331EBX =&gt; IDLING. At 02.01.2026 12:19:37 it moved with speed 0 km/h near 'Iringa Road, Iringa, Tanzania, Ruaha Mbuyumi'.</t>
  </si>
  <si>
    <t>2026-01-02 12:31:40</t>
  </si>
  <si>
    <t>2026-01-02 13:01:43</t>
  </si>
  <si>
    <t>T416DCT =&gt; IDLING. At 02.01.2026 12:31:40 it moved with speed 0 km/h near 'Iringa Road, Morogoro, Tanzania, 3.23 km from Kipera'.</t>
  </si>
  <si>
    <t>Iringa Road, 3.23 km from Kipera</t>
  </si>
  <si>
    <t>2026-01-02 12:37:51</t>
  </si>
  <si>
    <t>2026-01-02 13:07:54</t>
  </si>
  <si>
    <t>T838EBY =&gt; IDLING. At 02.01.2026 12:37:51 it moved with speed 0 km/h near 'Iringa Road, Iringa, Tanzania, 1.15 km from Ruaha Mbuyumi'.</t>
  </si>
  <si>
    <t>Iringa Road, 1.15 km from Ruaha Mbuyumi</t>
  </si>
  <si>
    <t>T941EBW</t>
  </si>
  <si>
    <t>2026-01-02 12:50:55</t>
  </si>
  <si>
    <t>2026-01-02 13:20:57</t>
  </si>
  <si>
    <t>T941EBW =&gt; IDLING. At 02.01.2026 12:50:55 it moved with speed 0 km/h near 'Iringa Road, Morogoro, Kilosa, Tanzania, Tambuka Reli'.</t>
  </si>
  <si>
    <t>2026-01-02 13:44:52</t>
  </si>
  <si>
    <t>2026-01-02 14:14:56</t>
  </si>
  <si>
    <t>T645DHL =&gt; IDLING. At 02.01.2026 13:44:52 it moved with speed 0 km/h near 'Iringa Road, Morogoro, Tanzania, 3.23 km from Kipera'.</t>
  </si>
  <si>
    <t>2026-01-02 14:15:36</t>
  </si>
  <si>
    <t>2026-01-02 14:45:36</t>
  </si>
  <si>
    <t>T315EBX =&gt; IDLING. At 02.01.2026 14:15:36 it moved with speed 0 km/h near 'Oxford Road, Copperbelt Province, Zambia, 3.17 km from Kitwe'.</t>
  </si>
  <si>
    <t>Oxford Road, 3.17 km from Kitwe</t>
  </si>
  <si>
    <t>2026-01-02 14:28:22</t>
  </si>
  <si>
    <t>2026-01-02 15:12:24</t>
  </si>
  <si>
    <t>T221EBX =&gt; IDLING. At 02.01.2026 14:28:22 it moved with speed 0 km/h near 'Rn1, Haut-Katanga, Democratic Republic of the Congo, 9.45 km from Kasumbalesa'.</t>
  </si>
  <si>
    <t>Rn1, 9.45 km from Kasumbalesa</t>
  </si>
  <si>
    <t>2026-01-02 14:37:31</t>
  </si>
  <si>
    <t>2026-01-02 15:07:35</t>
  </si>
  <si>
    <t>T713DYR =&gt; IDLING. At 02.01.2026 14:37:31 it moved with speed 0 km/h near 'Rn1, Haut-Katanga, Democratic Republic of the Congo, 9.30 km from Kasumbalesa'.</t>
  </si>
  <si>
    <t>Rn1, 9.30 km from Kasumbalesa</t>
  </si>
  <si>
    <t>2026-01-02 14:41:38</t>
  </si>
  <si>
    <t>2026-01-02 15:11:39</t>
  </si>
  <si>
    <t>T945DSX =&gt; IDLING. At 02.01.2026 14:41:38 it moved with speed 0 km/h near 'Rn1, Haut-Katanga, Democratic Republic of the Congo, 9.30 km from Kasumbalesa'.</t>
  </si>
  <si>
    <t>2026-01-02 14:50:43</t>
  </si>
  <si>
    <t>2026-01-02 15:20:45</t>
  </si>
  <si>
    <t>T510EBY =&gt; IDLING. At 02.01.2026 14:50:43 it moved with speed 0 km/h near 'Tanzam Road, Mbeya, Kalobe, Tanzania, 2.33 km from Mbeya'.</t>
  </si>
  <si>
    <t>2026-01-02 14:52:33</t>
  </si>
  <si>
    <t>2026-01-02 15:22:35</t>
  </si>
  <si>
    <t>T319EBY =&gt; IDLING. At 02.01.2026 14:52:33 it moved with speed 0 km/h near 'Tanzam Road, Mbeya, Kalobe, Tanzania, 2.32 km from Mbeya'.</t>
  </si>
  <si>
    <t>2026-01-02 15:34:32</t>
  </si>
  <si>
    <t>2026-01-02 16:04:35</t>
  </si>
  <si>
    <t>T588DYR =&gt; IDLING. At 02.01.2026 15:34:32 it moved with speed 0 km/h near 'Rn1, Haut-Katanga, Democratic Republic of the Congo, 11.67 km from Sumbilili'.</t>
  </si>
  <si>
    <t>Rn1, 11.67 km from Sumbilili</t>
  </si>
  <si>
    <t>2026-01-02 16:43:47</t>
  </si>
  <si>
    <t>2026-01-02 17:13:50</t>
  </si>
  <si>
    <t>T335EBX =&gt; IDLING. At 02.01.2026 16:43:47 it moved with speed 0 km/h near 'T3, Copperbelt Province, Zambia, 2.02 km from Momba'.</t>
  </si>
  <si>
    <t>T3, 2.02 km from Momba</t>
  </si>
  <si>
    <t>2026-01-02 17:17:21</t>
  </si>
  <si>
    <t>2026-01-02 17:47:24</t>
  </si>
  <si>
    <t>T704DYR =&gt; IDLING. At 02.01.2026 17:17:21 it moved with speed 0 km/h near 'Rn1, Haut-Katanga, Democratic Republic of the Congo, 8.28 km from Kasumbalesa'.</t>
  </si>
  <si>
    <t>Rn1, 8.28 km from Kasumbalesa</t>
  </si>
  <si>
    <t>2026-01-03 06:29:57</t>
  </si>
  <si>
    <t>2026-01-03 06:59:57</t>
  </si>
  <si>
    <t>T750EBX =&gt; IDLING. At 03.01.2026 06:29:57 it moved with speed 0 km/h near 'T1, Pwani, Bagamoyo, Tanzania, Ruvu Darajani'.</t>
  </si>
  <si>
    <t>2026-01-03 07:11:31</t>
  </si>
  <si>
    <t>2026-01-03 07:41:32</t>
  </si>
  <si>
    <t>T315EBX =&gt; IDLING. At 03.01.2026 07:11:31 it moved with speed 0 km/h near 'T3, Copperbelt Province, Zambia, 4.78 km from Momba'.</t>
  </si>
  <si>
    <t>T3, 4.78 km from Momba</t>
  </si>
  <si>
    <t>2026-01-03 07:22:31</t>
  </si>
  <si>
    <t>2026-01-03 07:52:32</t>
  </si>
  <si>
    <t>T735DYR =&gt; IDLING. At 03.01.2026 07:22:31 it moved with speed 0 km/h near 'T3, Copperbelt Province, Zambia, 4.53 km from Momba'.</t>
  </si>
  <si>
    <t>T3, 4.53 km from Momba</t>
  </si>
  <si>
    <t>2026-01-03 07:32:38</t>
  </si>
  <si>
    <t>2026-01-03 08:02:40</t>
  </si>
  <si>
    <t>T511EBY =&gt; IDLING. At 03.01.2026 07:32:38 it moved with speed 0 km/h near 'T1, Morogoro, Tanzania, Bwawani'.</t>
  </si>
  <si>
    <t>2026-01-03 07:43:35</t>
  </si>
  <si>
    <t>2026-01-03 08:13:38</t>
  </si>
  <si>
    <t>T586DYR =&gt; IDLING. At 03.01.2026 07:43:35 it moved with speed 0 km/h near 'T1, Mbeya, Tanzania, Ilolo'.</t>
  </si>
  <si>
    <t>2026-01-03 07:46:30</t>
  </si>
  <si>
    <t>2026-01-03 08:16:34</t>
  </si>
  <si>
    <t>T335EBX =&gt; IDLING. At 03.01.2026 07:46:30 it moved with speed 0 km/h near 'T3, Copperbelt Province, Zambia, 4.49 km from Momba'.</t>
  </si>
  <si>
    <t>T3, 4.49 km from Momba</t>
  </si>
  <si>
    <t>2026-01-03 08:25:15</t>
  </si>
  <si>
    <t>2026-01-03 08:55:18</t>
  </si>
  <si>
    <t>T651DTQ =&gt; IDLING. At 03.01.2026 08:25:15 it moved with speed 0 km/h near 'Iringa Road, Morogoro, Tanzania, 3.22 km from Kipera'.</t>
  </si>
  <si>
    <t>2026-01-03 08:35:28</t>
  </si>
  <si>
    <t>2026-01-03 09:05:29</t>
  </si>
  <si>
    <t>T965EBW =&gt; IDLING. At 03.01.2026 08:35:28 it moved with speed 0 km/h near 'Dar Es Salaam Road, Morogoro, Tanzania'.</t>
  </si>
  <si>
    <t>2026-01-03 08:57:10</t>
  </si>
  <si>
    <t>2026-01-03 09:27:10</t>
  </si>
  <si>
    <t>T952DSX =&gt; IDLING. At 03.01.2026 08:57:10 it moved with speed 0 km/h near 'Iringa Road, Iringa, Tanzania, 1.16 km from Ruaha Mbuyumi'.</t>
  </si>
  <si>
    <t>Iringa Road, 1.16 km from Ruaha Mbuyumi</t>
  </si>
  <si>
    <t>2026-01-03 09:19:54</t>
  </si>
  <si>
    <t>2026-01-03 09:49:57</t>
  </si>
  <si>
    <t>T804DYR =&gt; IDLING. At 03.01.2026 09:19:54 it moved with speed 0 km/h near 'T1, Njombe, Tanzania, 1.53 km from Nyololo'.</t>
  </si>
  <si>
    <t>2026-01-03 09:32:42</t>
  </si>
  <si>
    <t>2026-01-03 10:02:44</t>
  </si>
  <si>
    <t>T520EBY =&gt; IDLING. At 03.01.2026 09:32:42 it moved with speed 0 km/h near 'Great North Road, Central Province, Zambia, 17.75 km from Mkushi River'.</t>
  </si>
  <si>
    <t>Great North Road, 17.75 km from Mkushi River</t>
  </si>
  <si>
    <t>2026-01-03 09:35:40</t>
  </si>
  <si>
    <t>2026-01-03 10:05:40</t>
  </si>
  <si>
    <t>T180EBX =&gt; IDLING. At 03.01.2026 09:35:40 it moved with speed 0 km/h near 'Great North Road, Central Province, Zambia, 16.27 km from Mkushi River'.</t>
  </si>
  <si>
    <t>Great North Road, 16.27 km from Mkushi River</t>
  </si>
  <si>
    <t>2026-01-03 09:58:03</t>
  </si>
  <si>
    <t>2026-01-03 10:28:06</t>
  </si>
  <si>
    <t>T754DEB =&gt; IDLING. At 03.01.2026 09:58:03 it moved with speed 0 km/h near 'T3, Copperbelt Province, Zambia, 1.77 km from Momba'.</t>
  </si>
  <si>
    <t>T3, 1.77 km from Momba</t>
  </si>
  <si>
    <t>2026-01-03 10:19:56</t>
  </si>
  <si>
    <t>2026-01-03 10:50:00</t>
  </si>
  <si>
    <t>T890EBW =&gt; IDLING. At 03.01.2026 10:19:56 it moved with speed 0 km/h near 'Great North Road, Central Province, Zambia, 2.69 km from Chimpati'.</t>
  </si>
  <si>
    <t>Great North Road, 2.69 km from Chimpati</t>
  </si>
  <si>
    <t>2026-01-03 10:26:10</t>
  </si>
  <si>
    <t>2026-01-03 10:56:10</t>
  </si>
  <si>
    <t>T856EBY =&gt; IDLING. At 03.01.2026 10:26:10 it moved with speed 0 km/h near 'Great North Road, Central Province, Zambia, 15.02 km from Chitiwa'.</t>
  </si>
  <si>
    <t>Great North Road, 15.02 km from Chitiwa</t>
  </si>
  <si>
    <t>2026-01-03 10:26:17</t>
  </si>
  <si>
    <t>2026-01-03 10:56:21</t>
  </si>
  <si>
    <t>T564DEB =&gt; IDLING. At 03.01.2026 10:26:17 it moved with speed 0 km/h near 'Great North Road, Central Province, Zambia, 15.00 km from Chitiwa'.</t>
  </si>
  <si>
    <t>Great North Road, 15.00 km from Chitiwa</t>
  </si>
  <si>
    <t>2026-01-03 10:45:22</t>
  </si>
  <si>
    <t>2026-01-03 11:15:24</t>
  </si>
  <si>
    <t>T871EBW =&gt; IDLING. At 03.01.2026 10:45:22 it moved with speed 0 km/h near 'Ndola - Kitwe Dual-Carriageway, Copperbelt Province, Zambia, 33.18 km from Ndola'.</t>
  </si>
  <si>
    <t>2026-01-03 10:57:49</t>
  </si>
  <si>
    <t>2026-01-03 11:27:51</t>
  </si>
  <si>
    <t>T588DTQ =&gt; IDLING. At 03.01.2026 10:57:49 it moved with speed 0 km/h near 'Iringa Road, Iringa, Tanzania, Ruaha Mbuyumi'.</t>
  </si>
  <si>
    <t>2026-01-03 11:07:49</t>
  </si>
  <si>
    <t>2026-01-03 11:37:53</t>
  </si>
  <si>
    <t>T590DTQ =&gt; IDLING. At 03.01.2026 11:07:49 it moved with speed 0 km/h near 'Tanzam Road, Mbeya, Kalobe, Tanzania, 2.88 km from Mbeya'.</t>
  </si>
  <si>
    <t>Tanzam Road, 2.88 km from Mbeya</t>
  </si>
  <si>
    <t>2026-01-03 11:18:40</t>
  </si>
  <si>
    <t>2026-01-03 11:48:43</t>
  </si>
  <si>
    <t>T517EBY =&gt; IDLING. At 03.01.2026 11:18:40 it moved with speed 0 km/h near 'Ndola - Kitwe Dual-Carriageway, Copperbelt Province, Zambia, 33.18 km from Ndola'.</t>
  </si>
  <si>
    <t>2026-01-03 11:51:01</t>
  </si>
  <si>
    <t>2026-01-03 12:21:01</t>
  </si>
  <si>
    <t>T875EBY =&gt; IDLING. At 03.01.2026 11:51:01 it moved with speed 0 km/h near 'Tanzam Road, Mbeya, Ilomba, Tanzania, Soweto Street - Mbeya'.</t>
  </si>
  <si>
    <t>Tanzam Road, Soweto Street - Mbeya</t>
  </si>
  <si>
    <t>2026-01-03 12:26:31</t>
  </si>
  <si>
    <t>2026-01-03 12:56:34</t>
  </si>
  <si>
    <t>T838EBY =&gt; IDLING. At 03.01.2026 12:26:31 it moved with speed 0 km/h near 'T1, Njombe, Tanzania, Igawa'.</t>
  </si>
  <si>
    <t>2026-01-03 13:10:04</t>
  </si>
  <si>
    <t>2026-01-03 13:40:06</t>
  </si>
  <si>
    <t>T491DYR =&gt; IDLING. At 03.01.2026 13:10:04 it moved with speed 0 km/h near 'T1, Mbeya, Tanzania, Kongolo Mkola'.</t>
  </si>
  <si>
    <t>2026-01-03 13:20:57</t>
  </si>
  <si>
    <t>2026-01-03 13:50:58</t>
  </si>
  <si>
    <t>T799DYR =&gt; IDLING. At 03.01.2026 13:20:57 it moved with speed 0 km/h near 'T1, Njombe, Tanzania, Igawa'.</t>
  </si>
  <si>
    <t>2026-01-03 13:23:49</t>
  </si>
  <si>
    <t>2026-01-03 13:53:53</t>
  </si>
  <si>
    <t>T331EBX =&gt; IDLING. At 03.01.2026 13:23:49 it moved with speed 0 km/h near 'T1, Mbeya, Tanzania, Kongolo Mkola'.</t>
  </si>
  <si>
    <t>2026-01-03 15:00:56</t>
  </si>
  <si>
    <t>2026-01-03 15:30:56</t>
  </si>
  <si>
    <t>T326ECN =&gt; IDLING. At 03.01.2026 15:00:56 it moved with speed 0 km/h near 'Ndola - Kitwe Dual-Carriageway, Copperbelt Province, Zambia, 33.19 km from Ndola'.</t>
  </si>
  <si>
    <t>2026-01-03 15:16:30</t>
  </si>
  <si>
    <t>2026-01-03 15:46:33</t>
  </si>
  <si>
    <t>T299DCT =&gt; IDLING. At 03.01.2026 15:16:30 it moved with speed 0 km/h near 'Ndola - Kitwe Dual-Carriageway, Copperbelt Province, Zambia, 33.18 km from Ndola'.</t>
  </si>
  <si>
    <t>2026-01-03 15:24:55</t>
  </si>
  <si>
    <t>2026-01-03 15:54:59</t>
  </si>
  <si>
    <t>T153EBX =&gt; IDLING. At 03.01.2026 15:24:55 it moved with speed 0 km/h near 'Great North Road, Muchinga Province, Zambia, Chisoso'.</t>
  </si>
  <si>
    <t>Great North Road, Chisoso</t>
  </si>
  <si>
    <t>T129EBX</t>
  </si>
  <si>
    <t>2026-01-03 15:25:52</t>
  </si>
  <si>
    <t>2026-01-03 15:55:56</t>
  </si>
  <si>
    <t>T129EBX =&gt; IDLING. At 03.01.2026 15:25:52 it moved with speed 0 km/h near 'Great North Road, Muchinga Province, Zambia, Chisoso'.</t>
  </si>
  <si>
    <t>2026-01-03 15:27:04</t>
  </si>
  <si>
    <t>2026-01-03 15:57:06</t>
  </si>
  <si>
    <t>T318EBX =&gt; IDLING. At 03.01.2026 15:27:04 it moved with speed 0 km/h near 'Great North Road, Muchinga Province, Zambia, Chisoso'.</t>
  </si>
  <si>
    <t>2026-01-03 17:04:01</t>
  </si>
  <si>
    <t>2026-01-03 17:34:01</t>
  </si>
  <si>
    <t>T882EBW =&gt; IDLING. At 03.01.2026 17:04:01 it moved with speed 0 km/h near 'Ndola - Kitwe Dual-Carriageway, Copperbelt Province, Zambia, 33.20 km from Ndola'.</t>
  </si>
  <si>
    <t>2026-01-03 17:04:21</t>
  </si>
  <si>
    <t>2026-01-03 17:34:21</t>
  </si>
  <si>
    <t>T224EBX =&gt; IDLING. At 03.01.2026 17:04:21 it moved with speed 0 km/h near 'Tanzam Road, Mbeya, Kalobe, Tanzania, 2.37 km from Mbeya'.</t>
  </si>
  <si>
    <t>Tanzania To Zambia Road, Tanzania, Iringa, Mufindi, Ihemi</t>
  </si>
  <si>
    <t>2026-01-01 05:58:42</t>
  </si>
  <si>
    <t>T728DYR: Harsh braking has been activated. At 01.01.2026 05:58:42 it moved with speed 75 km/h near 'Iringa Road, Iringa, Tanzania, Kware'.</t>
  </si>
  <si>
    <t>Iringa Road, Tanzania, Iringa, Kware</t>
  </si>
  <si>
    <t>2026-01-01 06:06:27</t>
  </si>
  <si>
    <t>T334EBX: Harsh braking has been activated. At 01.01.2026 06:06:27 it moved with speed 74 km/h near 'Tanzania To Zambia Road, Iringa, Mufindi, Tanzania, 1.81 km from Kinyanambo'.</t>
  </si>
  <si>
    <t>Tanzania To Zambia Road, Tanzania, Iringa, Mufindi, 1.81 km from Kinyanambo</t>
  </si>
  <si>
    <t>2026-01-01 07:01:29</t>
  </si>
  <si>
    <t>T335EBX: Harsh braking has been activated. At 01.01.2026 07:01:29 it moved with speed 56 km/h near 'Great North Road, Muchinga Province, Zambia, 8.99 km from Mwezo'.</t>
  </si>
  <si>
    <t>Great North Road, Zambia, Muchinga Province, 8.99 km from Mwezo</t>
  </si>
  <si>
    <t>2026-01-01 07:18:37</t>
  </si>
  <si>
    <t>T724DYR: Harsh braking has been activated. At 01.01.2026 07:18:37 it moved with speed 61 km/h near 'T3, Copperbelt Province, Zambia, 9.45 km from Chingola'.</t>
  </si>
  <si>
    <t>T3, Zambia, Copperbelt Province, 9.45 km from Chingola</t>
  </si>
  <si>
    <t>2026-01-01 07:47:22</t>
  </si>
  <si>
    <t>T869EBY: Harsh braking has been activated. At 01.01.2026 07:47:22 it moved with speed 54 km/h near 'Great North Road, Central Province, Zambia, 12.79 km from Kanona'.</t>
  </si>
  <si>
    <t>Great North Road, Zambia, Central Province, 12.79 km from Kanona</t>
  </si>
  <si>
    <t>2026-01-01 08:04:49</t>
  </si>
  <si>
    <t>T315EBX: Harsh braking has been activated. At 01.01.2026 08:04:49 it moved with speed 59 km/h near 'Great North Road, Muchinga Province, Zambia, 8.98 km from Kalungu'.</t>
  </si>
  <si>
    <t>Great North Road, Zambia, Muchinga Province, 8.98 km from Kalungu</t>
  </si>
  <si>
    <t>2026-01-01 08:30:20</t>
  </si>
  <si>
    <t>T712DYR: Harsh braking has been activated. At 01.01.2026 08:30:20 it moved with speed 66 km/h near 'Tanzania To Zambia Road, Iringa, Mufindi, Tanzania, Ihemi'.</t>
  </si>
  <si>
    <t>2026-01-01 09:07:34</t>
  </si>
  <si>
    <t>T510EBY: Harsh braking has been activated. At 01.01.2026 09:07:34 it moved with speed 69 km/h near 'Iringa Road, Iringa, Tanzania, 6.37 km from Mahenge'.</t>
  </si>
  <si>
    <t>Iringa Road, Tanzania, Iringa, 6.37 km from Mahenge</t>
  </si>
  <si>
    <t>2026-01-01 09:31:19</t>
  </si>
  <si>
    <t>T710EBX: Harsh braking has been activated. At 01.01.2026 09:31:19 it moved with speed 56 km/h near 'T2, Pwani, Bagamoyo, Tanzania, 5.05 km from Mandera'.</t>
  </si>
  <si>
    <t>T2, Tanzania, Pwani, Bagamoyo, 5.05 km from Mandera</t>
  </si>
  <si>
    <t>2026-01-01 09:45:52</t>
  </si>
  <si>
    <t>T792EBW: Harsh braking has been activated. At 01.01.2026 09:45:52 it moved with speed 53 km/h near 'Great North Road, Muchinga Province, Zambia, 10.40 km from Godfrey Kunda'.</t>
  </si>
  <si>
    <t>Great North Road, Zambia, Muchinga Province, 10.40 km from Godfrey Kunda</t>
  </si>
  <si>
    <t>2026-01-01 09:56:22</t>
  </si>
  <si>
    <t>T585DYR: Harsh braking has been activated. At 01.01.2026 09:56:22 it moved with speed 51 km/h near 'Great North Road, Central Province, Zambia, 2.04 km from Kanona'.</t>
  </si>
  <si>
    <t>Great North Road, Zambia, Central Province, 2.04 km from Kanona</t>
  </si>
  <si>
    <t>2026-01-01 11:35:08</t>
  </si>
  <si>
    <t>T314DDJ: Harsh braking has been activated. At 01.01.2026 11:35:08 it moved with speed 71 km/h near 'Great North Road, Muchinga Province, Zambia, 2.17 km from Musata'.</t>
  </si>
  <si>
    <t>Great North Road, Zambia, Muchinga Province, 2.17 km from Musata</t>
  </si>
  <si>
    <t>2026-01-01 12:51:40</t>
  </si>
  <si>
    <t>T756EBX: Harsh braking has been activated. At 01.01.2026 12:51:40 it moved with speed 52 km/h near 'Great North Road, Central Province, Zambia, 11.14 km from Tanemeka'.</t>
  </si>
  <si>
    <t>Great North Road, Zambia, Central Province, 11.14 km from Tanemeka</t>
  </si>
  <si>
    <t>2026-01-01 13:36:53</t>
  </si>
  <si>
    <t>T517EBY: Harsh braking has been activated. At 01.01.2026 13:36:53 it moved with speed 57 km/h near 'Great North Road, Muchinga Province, Zambia, 6.63 km from Isoka'.</t>
  </si>
  <si>
    <t>Great North Road, Zambia, Muchinga Province, 6.63 km from Isoka</t>
  </si>
  <si>
    <t>2026-01-01 15:19:05</t>
  </si>
  <si>
    <t>T318EBX: Harsh braking has been activated. At 01.01.2026 15:19:05 it moved with speed 52 km/h near 'T3, Copperbelt Province, Zambia, 1.43 km from Chingola'.</t>
  </si>
  <si>
    <t>T3, Zambia, Copperbelt Province, 1.43 km from Chingola</t>
  </si>
  <si>
    <t>2026-01-01 18:47:40</t>
  </si>
  <si>
    <t>T696DEB: Harsh braking has been activated. At 01.01.2026 18:47:40 it moved with speed 71 km/h near 'Fisenge Bypass, Copperbelt Province, Zambia, Ndola'.</t>
  </si>
  <si>
    <t>Fisenge Bypass, Zambia, Copperbelt Province, Ndola</t>
  </si>
  <si>
    <t>2026-01-02 07:13:30</t>
  </si>
  <si>
    <t>T411ECN: Harsh braking has been activated. At 02.01.2026 07:13:30 it moved with speed 62 km/h near 'Great North Road, Muchinga Province, Zambia, 11.16 km from Chinkumba'.</t>
  </si>
  <si>
    <t>Great North Road, Zambia, Muchinga Province, 11.16 km from Chinkumba</t>
  </si>
  <si>
    <t>2026-01-02 07:20:06</t>
  </si>
  <si>
    <t>T645DHL: Harsh braking has been activated. At 02.01.2026 07:20:06 it moved with speed 61 km/h near 'Iringa Road, Iringa, Tanzania, 2.65 km from Mahenge'.</t>
  </si>
  <si>
    <t>Iringa Road, Tanzania, Iringa, 2.65 km from Mahenge</t>
  </si>
  <si>
    <t>2026-01-02 07:30:14</t>
  </si>
  <si>
    <t>T517EBY: Harsh braking has been activated. At 02.01.2026 07:30:14 it moved with speed 64 km/h near 'Great North Road, Muchinga Province, Zambia, 19.94 km from Katibunga'.</t>
  </si>
  <si>
    <t>Great North Road, Zambia, Muchinga Province, 19.94 km from Katibunga</t>
  </si>
  <si>
    <t>2026-01-02 07:56:07</t>
  </si>
  <si>
    <t>T724DYR: Harsh braking has been activated. At 02.01.2026 07:56:07 it moved with speed 71 km/h near 'Great North Road, Central Province, Zambia, 13.78 km from Kanona'.</t>
  </si>
  <si>
    <t>Great North Road, Zambia, Central Province, 13.78 km from Kanona</t>
  </si>
  <si>
    <t>2026-01-02 08:52:08</t>
  </si>
  <si>
    <t>T315EBX: Harsh braking has been activated. At 02.01.2026 08:52:08 it moved with speed 73 km/h near 'Great North Road, Central Province, Zambia, 7.17 km from Mkushi'.</t>
  </si>
  <si>
    <t>Great North Road, Zambia, Central Province, 7.17 km from Mkushi</t>
  </si>
  <si>
    <t>2026-01-02 09:03:54</t>
  </si>
  <si>
    <t>T934EBW: Harsh braking has been activated. At 02.01.2026 09:03:54 it moved with speed 66 km/h near 'Great North Road, Muchinga Province, Zambia, 5.46 km from Musata'.</t>
  </si>
  <si>
    <t>Great North Road, Zambia, Muchinga Province, 5.46 km from Musata</t>
  </si>
  <si>
    <t>2026-01-02 09:20:54</t>
  </si>
  <si>
    <t>T756EBX: Harsh braking has been activated. At 02.01.2026 09:20:54 it moved with speed 58 km/h near 'Great North Road, Muchinga Province, Zambia, 12.39 km from Mukwikile'.</t>
  </si>
  <si>
    <t>Great North Road, Zambia, Muchinga Province, 12.39 km from Mukwikile</t>
  </si>
  <si>
    <t>2026-01-02 10:23:36</t>
  </si>
  <si>
    <t>T604DTQ: Harsh braking has been activated. At 02.01.2026 10:23:36 it moved with speed 59 km/h near 'Rn1, Haut-Katanga, Democratic Republic of the Congo, 7.69 km from Kasumbalesa'.</t>
  </si>
  <si>
    <t>Rn1, Democratic Republic of the Congo, Haut-Katanga, 7.69 km from Kasumbalesa</t>
  </si>
  <si>
    <t>2026-01-02 10:54:11</t>
  </si>
  <si>
    <t>T890EBW: Harsh braking has been activated. At 02.01.2026 10:54:11 it moved with speed 52 km/h near 'Great North Road, Muchinga Province, Zambia, 8.82 km from Kalungu'.</t>
  </si>
  <si>
    <t>Great North Road, Zambia, Muchinga Province, 8.82 km from Kalungu</t>
  </si>
  <si>
    <t>2026-01-02 12:50:34</t>
  </si>
  <si>
    <t>T603DTQ: Harsh braking has been activated. At 02.01.2026 12:50:34 it moved with speed 60 km/h near 'Rn1, Haut-Katanga, Democratic Republic of the Congo, 21.41 km from Tumbwe'.</t>
  </si>
  <si>
    <t>Rn1, Democratic Republic of the Congo, Haut-Katanga, 21.41 km from Tumbwe</t>
  </si>
  <si>
    <t>2026-01-02 12:55:25</t>
  </si>
  <si>
    <t>T930EBW: Harsh braking has been activated. At 02.01.2026 12:55:25 it moved with speed 59 km/h near 'Iringa Road, Morogoro, Tanzania, Mangaye'.</t>
  </si>
  <si>
    <t>Iringa Road, Tanzania, Morogoro, Mangaye</t>
  </si>
  <si>
    <t>2026-01-02 16:13:57</t>
  </si>
  <si>
    <t>T520EBY: Harsh braking has been activated. At 02.01.2026 16:13:57 it moved with speed 57 km/h near 'Great North Road, Muchinga Province, Zambia, 3.99 km from Chilonga'.</t>
  </si>
  <si>
    <t>Great North Road, Zambia, Muchinga Province, 3.99 km from Chilonga</t>
  </si>
  <si>
    <t>2026-01-02 16:48:32</t>
  </si>
  <si>
    <t>T754DEB: Harsh braking has been activated. At 02.01.2026 16:48:32 it moved with speed 56 km/h near 'Ndola - Kitwe Dual-Carriageway, Copperbelt Province, Zambia, Ndola'.</t>
  </si>
  <si>
    <t>2026-01-03 07:18:31</t>
  </si>
  <si>
    <t>T224EBX: Harsh braking has been activated. At 03.01.2026 07:18:31 it moved with speed 52 km/h near 'Tanzania To Zambia Road, Iringa, Mufindi, Tanzania, 1.61 km from Ifunda'.</t>
  </si>
  <si>
    <t>Tanzania To Zambia Road, Tanzania, Iringa, Mufindi, 1.61 km from Ifunda</t>
  </si>
  <si>
    <t>2026-01-03 07:49:15</t>
  </si>
  <si>
    <t>T890EBW: Harsh braking has been activated. At 03.01.2026 07:49:15 it moved with speed 55 km/h near 'Great North Road, Central Province, Zambia, 7.40 km from Kanona'.</t>
  </si>
  <si>
    <t>2026-01-03 14:19:23</t>
  </si>
  <si>
    <t>T282EBY: Harsh braking has been activated. At 03.01.2026 14:19:23 it moved with speed 57 km/h near 'Great North Road, Muchinga Province, Zambia, 16.57 km from Mukukwe'.</t>
  </si>
  <si>
    <t>Great North Road, Zambia, Muchinga Province, 16.57 km from Mukukwe</t>
  </si>
  <si>
    <t>2026-01-03 14:31:25</t>
  </si>
  <si>
    <t>T153EBX: Harsh braking has been activated. At 03.01.2026 14:31:25 it moved with speed 62 km/h near 'Great North Road, Muchinga Province, Zambia, 18.41 km from Katibunga'.</t>
  </si>
  <si>
    <t>Great North Road, Zambia, Muchinga Province, 18.41 km from Katibunga</t>
  </si>
  <si>
    <t>2026-01-03 16:05:14</t>
  </si>
  <si>
    <t>T263EBX: Harsh braking has been activated. At 03.01.2026 16:05:14 it moved with speed 51 km/h near 'Nelson Mandela Road, Dar Es Salaam, Buguruni, Tanzania'.</t>
  </si>
  <si>
    <t>Dar Es Salaam, Nelson Mandela Road, Tanzania, Buguruni</t>
  </si>
  <si>
    <t>2026-01-03 17:54:20</t>
  </si>
  <si>
    <t>T568DYR: Harsh braking has been activated. At 03.01.2026 17:54:20 it moved with speed 57 km/h near 'Radio Tanzania Road, Dar Es Salaam, Temeke, Tanzania'.</t>
  </si>
  <si>
    <t>Dar Es Salaam, Radio Tanzania Road, Tanzania, Temeke</t>
  </si>
  <si>
    <t>2026-01-04 07:02:04</t>
  </si>
  <si>
    <t>2026-01-04 07:32:08</t>
  </si>
  <si>
    <t>T315EBX =&gt; IDLING. At 04.01.2026 07:02:04 it moved with speed 0 km/h near 'T3, Copperbelt Province, Zambia, 4.38 km from Konkola'.</t>
  </si>
  <si>
    <t>T3, 4.38 km from Konkola</t>
  </si>
  <si>
    <t>2026-01-04 08:07:23</t>
  </si>
  <si>
    <t>2026-01-04 08:37:27</t>
  </si>
  <si>
    <t>T350DHG =&gt; IDLING. At 04.01.2026 08:07:23 it moved with speed 0 km/h near 'Iringa Road, Iringa, Tanzania, Masukanzi'.</t>
  </si>
  <si>
    <t>2026-01-04 10:46:09</t>
  </si>
  <si>
    <t>2026-01-04 11:16:11</t>
  </si>
  <si>
    <t>T509EBY =&gt; IDLING. At 04.01.2026 10:46:09 it moved with speed 0 km/h near 'Rn39, Lualaba, Democratic Republic of the Congo, 3.76 km from Kafwaya'.</t>
  </si>
  <si>
    <t>Rn39, 3.76 km from Kafwaya</t>
  </si>
  <si>
    <t>2026-01-04 10:36:23</t>
  </si>
  <si>
    <t>2026-01-04 11:06:24</t>
  </si>
  <si>
    <t>T517EBY =&gt; IDLING. At 04.01.2026 10:36:23 it moved with speed 0 km/h near 'T3, Copperbelt Province, Zambia, 4.07 km from Momba'.</t>
  </si>
  <si>
    <t>2026-01-04 09:41:05</t>
  </si>
  <si>
    <t>2026-01-04 10:11:08</t>
  </si>
  <si>
    <t>T583DTQ =&gt; IDLING. At 04.01.2026 09:41:05 it moved with speed 0 km/h near 'T1, Morogoro, Tanzania, Bwawani'.</t>
  </si>
  <si>
    <t>2026-01-04 12:08:32</t>
  </si>
  <si>
    <t>2026-01-04 12:38:33</t>
  </si>
  <si>
    <t>T598DTQ =&gt; IDLING. At 04.01.2026 12:08:32 it moved with speed 0 km/h near 'T3, Copperbelt Province, Zambia, 7.20 km from Konkola'.</t>
  </si>
  <si>
    <t>T3, 7.20 km from Konkola</t>
  </si>
  <si>
    <t>2026-01-04 08:44:21</t>
  </si>
  <si>
    <t>2026-01-04 09:14:21</t>
  </si>
  <si>
    <t>T712EBX =&gt; IDLING. At 04.01.2026 08:44:21 it moved with speed 0 km/h near 'T3, Copperbelt Province, Zambia, 5.32 km from Bancroft'.</t>
  </si>
  <si>
    <t>T3, 5.32 km from Bancroft</t>
  </si>
  <si>
    <t>2026-01-04 11:13:28</t>
  </si>
  <si>
    <t>2026-01-04 11:43:32</t>
  </si>
  <si>
    <t>T733EBX =&gt; IDLING. At 04.01.2026 11:13:28 it moved with speed 0 km/h near 'Ndola - Kitwe Dual-Carriageway, Copperbelt Province, Zambia, 33.18 km from Ndola'.</t>
  </si>
  <si>
    <t>2026-01-04 12:19:14</t>
  </si>
  <si>
    <t>2026-01-04 12:49:15</t>
  </si>
  <si>
    <t>T734EBX =&gt; IDLING. At 04.01.2026 12:19:14 it moved with speed 0 km/h near 'Iringa Road, Morogoro, Tanzania, 3.15 km from Kipera'.</t>
  </si>
  <si>
    <t>Iringa Road, 3.15 km from Kipera</t>
  </si>
  <si>
    <t>2026-01-04 09:41:06</t>
  </si>
  <si>
    <t>T750EBX =&gt; IDLING. At 04.01.2026 09:41:06 it moved with speed 0 km/h near 'Tanzania To Zambia Road, Iringa, Mufindi, Tanzania, Kibena'.</t>
  </si>
  <si>
    <t>2026-01-04 08:08:30</t>
  </si>
  <si>
    <t>2026-01-04 08:38:32</t>
  </si>
  <si>
    <t>T754DEB =&gt; IDLING. At 04.01.2026 08:08:30 it moved with speed 0 km/h near 'T3, Copperbelt Province, Zambia, 4.76 km from Konkola'.</t>
  </si>
  <si>
    <t>T3, 4.76 km from Konkola</t>
  </si>
  <si>
    <t>2026-01-04 18:24:04</t>
  </si>
  <si>
    <t>2026-01-04 18:54:06</t>
  </si>
  <si>
    <t>T778DYR =&gt; IDLING. At 04.01.2026 18:24:04 it moved with speed 0 km/h near 'Tanzam Road, Mbeya, Ilomba, Tanzania, 1.67 km from Soweto Street - Mbeya'.</t>
  </si>
  <si>
    <t>Tanzam Road, 1.67 km from Soweto Street - Mbeya</t>
  </si>
  <si>
    <t>2026-01-04 09:57:41</t>
  </si>
  <si>
    <t>2026-01-04 10:27:43</t>
  </si>
  <si>
    <t>T797EBW =&gt; IDLING. At 04.01.2026 09:57:41 it moved with speed 0 km/h near 'Ndola - Kitwe Dual-Carriageway, Copperbelt Province, Zambia, 33.21 km from Ndola'.</t>
  </si>
  <si>
    <t>2026-01-04 10:12:28</t>
  </si>
  <si>
    <t>2026-01-04 10:42:31</t>
  </si>
  <si>
    <t>T820DDS =&gt; IDLING. At 04.01.2026 10:12:28 it moved with speed 0 km/h near 'Great North Road, Muchinga Province, Zambia, 4.11 km from Isoka'.</t>
  </si>
  <si>
    <t>Great North Road, 4.11 km from Isoka</t>
  </si>
  <si>
    <t>2026-01-04 10:52:56</t>
  </si>
  <si>
    <t>2026-01-04 11:22:57</t>
  </si>
  <si>
    <t>T862EBY =&gt; IDLING. At 04.01.2026 10:52:56 it moved with speed 0 km/h near 'Ndola - Kitwe Dual-Carriageway, Copperbelt Province, Zambia, 33.24 km from Ndola'.</t>
  </si>
  <si>
    <t>2026-01-04 06:15:10</t>
  </si>
  <si>
    <t>2026-01-04 06:45:12</t>
  </si>
  <si>
    <t>T867EBY =&gt; IDLING. At 04.01.2026 06:15:10 it moved with speed 0 km/h near 'Tanzam Road, Mbeya, Kalobe, Tanzania, 2.37 km from Mbeya'.</t>
  </si>
  <si>
    <t>2026-01-04 08:44:26</t>
  </si>
  <si>
    <t>2026-01-04 09:44:49</t>
  </si>
  <si>
    <t>T882EBW =&gt; IDLING. At 04.01.2026 08:44:26 it moved with speed 0 km/h near 'T3, Copperbelt Province, Zambia, 5.34 km from Bancroft'.</t>
  </si>
  <si>
    <t>T3, 5.34 km from Bancroft</t>
  </si>
  <si>
    <t>2026-01-04 07:17:19</t>
  </si>
  <si>
    <t>2026-01-04 07:47:20</t>
  </si>
  <si>
    <t>T930EBW =&gt; IDLING. At 04.01.2026 07:17:19 it moved with speed 0 km/h near 'T1, Mbeya, Tanzania, Makwenje'.</t>
  </si>
  <si>
    <t>2026-01-04 11:58:28</t>
  </si>
  <si>
    <t>2026-01-04 12:28:31</t>
  </si>
  <si>
    <t>T964EBW =&gt; IDLING. At 04.01.2026 11:58:28 it moved with speed 0 km/h near 'T1, Njombe, Tanzania, Igawa'.</t>
  </si>
  <si>
    <t>2026-01-04 08:00:13</t>
  </si>
  <si>
    <t>T282EBY: Harsh braking has been activated. At 04.01.2026 08:00:13 it moved with speed 53 km/h near 'Great North Road, Muchinga Province, Zambia, 11.36 km from Chikwanda'.</t>
  </si>
  <si>
    <t>Great North Road, Zambia, Muchinga Province, 11.36 km from Chikwanda</t>
  </si>
  <si>
    <t>2026-01-04 07:02:52</t>
  </si>
  <si>
    <t>T402ECN: Harsh braking has been activated. At 04.01.2026 07:02:52 it moved with speed 65 km/h near 'Iringa Road, Morogoro, Kilosa, Tanzania, 10.35 km from Msimba'.</t>
  </si>
  <si>
    <t>Iringa Road, Tanzania, Morogoro, Kilosa, 10.35 km from Msimba</t>
  </si>
  <si>
    <t>2026-01-04 16:28:55</t>
  </si>
  <si>
    <t>T413DHG: Harsh braking has been activated. At 04.01.2026 16:28:55 it moved with speed 64 km/h near 'M16, Copperbelt Province, Zambia, 7.61 km from Kalulushi'.</t>
  </si>
  <si>
    <t>M16, Zambia, Copperbelt Province, 7.61 km from Kalulushi</t>
  </si>
  <si>
    <t>2026-01-04 14:33:40</t>
  </si>
  <si>
    <t>T494DYR: Harsh braking has been activated. At 04.01.2026 14:33:40 it moved with speed 63 km/h near 'T3, Copperbelt Province, Zambia, 4.78 km from Konkola'.</t>
  </si>
  <si>
    <t>T3, Zambia, Copperbelt Province, 4.78 km from Konkola</t>
  </si>
  <si>
    <t>2026-01-04 01:57:01</t>
  </si>
  <si>
    <t>T524EBY: Harsh braking has been activated. At 04.01.2026 01:57:01 it moved with speed 59 km/h near 'Nelson Mandela Road, Dar Es Salaam, Buguruni, Tanzania'.</t>
  </si>
  <si>
    <t>2026-01-04 06:18:04</t>
  </si>
  <si>
    <t>T957DSX: Harsh braking has been activated. At 04.01.2026 06:18:04 it moved with speed 55 km/h near 'Iringa Road, Morogoro, Tanzania, Kibaoni'.</t>
  </si>
  <si>
    <t>04.01.2026 06:54:06 am</t>
  </si>
  <si>
    <t>T1, Njombe, Tanzania, 1.25 km from Kinegemb</t>
  </si>
  <si>
    <t>04.01.2026 07:56:31 am</t>
  </si>
  <si>
    <t>Great North Road, Muchinga Province, Zambia, 13.35 km from Chikwanda</t>
  </si>
  <si>
    <t>04.01.2026 01:39:34 pm</t>
  </si>
  <si>
    <t>04.01.2026 06:11:18 am</t>
  </si>
  <si>
    <t>Iringa Road, Morogoro, Tanzania, 3.58 km from Kipera</t>
  </si>
  <si>
    <t>2026-01-05 08:19:11</t>
  </si>
  <si>
    <t>Great North Road, Zambia, Muchinga Province, 13.05 km from Mkasi</t>
  </si>
  <si>
    <t>2026-01-05 13:22:11</t>
  </si>
  <si>
    <t>T3, Zambia, Copperbelt Province, 9.86 km from Pukota</t>
  </si>
  <si>
    <t>2026-01-05 13:11:35</t>
  </si>
  <si>
    <t>T3, Zambia, Copperbelt Province, 5.25 km from Pukota</t>
  </si>
  <si>
    <t>2026-01-05 07:56:01</t>
  </si>
  <si>
    <t>2026-01-05 11:59:02</t>
  </si>
  <si>
    <t>Great North Road, Zambia, Muchinga Province, 4.87 km from Chinunda</t>
  </si>
  <si>
    <t>T271EBY: Harsh braking has been activated. At 05.01.2026 08:19:11 it moved with speed 65 km/h near 'Great North Road, Muchinga Province, Zambia, 13.05 km from Mkasi'.</t>
  </si>
  <si>
    <t>T413DHG: Harsh braking has been activated. At 05.01.2026 13:22:11 it moved with speed 68 km/h near 'T3, Copperbelt Province, Zambia, 9.86 km from Pukota'.</t>
  </si>
  <si>
    <t>T494DYR: Harsh braking has been activated. At 05.01.2026 13:11:35 it moved with speed 55 km/h near 'T3, Copperbelt Province, Zambia, 5.25 km from Pukota'.</t>
  </si>
  <si>
    <t>T499DYR: Harsh braking has been activated. At 05.01.2026 07:56:01 it moved with speed 54 km/h near 'Iringa Road, Morogoro, Tanzania'.</t>
  </si>
  <si>
    <t>T820DDS: Harsh braking has been activated. At 05.01.2026 11:59:02 it moved with speed 62 km/h near 'Great North Road, Muchinga Province, Zambia, 4.87 km from Chinunda'.</t>
  </si>
  <si>
    <t>2026-01-05 10:53:07</t>
  </si>
  <si>
    <t>2026-01-05 11:23:09</t>
  </si>
  <si>
    <t>T227EBX</t>
  </si>
  <si>
    <t>2026-01-05 10:21:51</t>
  </si>
  <si>
    <t>2026-01-05 10:51:52</t>
  </si>
  <si>
    <t>M3, 2.77 km from Chembe</t>
  </si>
  <si>
    <t>2026-01-05 10:38:11</t>
  </si>
  <si>
    <t>2026-01-05 11:08:11</t>
  </si>
  <si>
    <t>2026-01-05 09:58:20</t>
  </si>
  <si>
    <t>2026-01-05 10:28:22</t>
  </si>
  <si>
    <t>T3, 6.57 km from Bancroft</t>
  </si>
  <si>
    <t>2026-01-05 10:02:32</t>
  </si>
  <si>
    <t>2026-01-05 10:32:33</t>
  </si>
  <si>
    <t>2026-01-05 10:33:09</t>
  </si>
  <si>
    <t>2026-01-05 11:03:10</t>
  </si>
  <si>
    <t>M3, 2.83 km from Chembe</t>
  </si>
  <si>
    <t>2026-01-05 09:06:16</t>
  </si>
  <si>
    <t>2026-01-05 09:36:18</t>
  </si>
  <si>
    <t>2026-01-05 10:33:19</t>
  </si>
  <si>
    <t>2026-01-05 11:03:20</t>
  </si>
  <si>
    <t>M3, 2.75 km from Chembe</t>
  </si>
  <si>
    <t>2026-01-05 10:39:30</t>
  </si>
  <si>
    <t>2026-01-05 11:09:31</t>
  </si>
  <si>
    <t>M3, 2.74 km from Chembe</t>
  </si>
  <si>
    <t>2026-01-05 13:46:02</t>
  </si>
  <si>
    <t>2026-01-05 14:16:04</t>
  </si>
  <si>
    <t>Tanzam Road, 1.15 km from Soweto Street - Mbeya</t>
  </si>
  <si>
    <t>2026-01-05 10:30:21</t>
  </si>
  <si>
    <t>2026-01-05 11:00:25</t>
  </si>
  <si>
    <t>Rn39, 3.74 km from Kafwaya</t>
  </si>
  <si>
    <t>2026-01-05 11:33:30</t>
  </si>
  <si>
    <t>2026-01-05 12:03:31</t>
  </si>
  <si>
    <t>Ndola - Kitwe Dual-Carriageway, 33.27 km from Ndola</t>
  </si>
  <si>
    <t>2026-01-05 10:32:49</t>
  </si>
  <si>
    <t>2026-01-05 11:02:50</t>
  </si>
  <si>
    <t>M3, 2.84 km from Chembe</t>
  </si>
  <si>
    <t>2026-01-05 10:33:08</t>
  </si>
  <si>
    <t>Tanzania To Zambia Road, 1.76 km from Ifunda</t>
  </si>
  <si>
    <t>2026-01-05 08:16:09</t>
  </si>
  <si>
    <t>2026-01-05 08:46:12</t>
  </si>
  <si>
    <t>Tanzania To Zambia Road, 1.79 km from Ifunda</t>
  </si>
  <si>
    <t>2026-01-05 11:57:38</t>
  </si>
  <si>
    <t>2026-01-05 12:27:42</t>
  </si>
  <si>
    <t>2026-01-05 09:08:48</t>
  </si>
  <si>
    <t>2026-01-05 09:38:48</t>
  </si>
  <si>
    <t>2026-01-05 08:50:45</t>
  </si>
  <si>
    <t>2026-01-05 09:20:46</t>
  </si>
  <si>
    <t>2026-01-05 08:35:29</t>
  </si>
  <si>
    <t>2026-01-05 09:05:30</t>
  </si>
  <si>
    <t>2026-01-05 07:29:05</t>
  </si>
  <si>
    <t>2026-01-05 07:59:06</t>
  </si>
  <si>
    <t>Great North Road, 12.54 km from Mkasi</t>
  </si>
  <si>
    <t>2026-01-05 11:39:05</t>
  </si>
  <si>
    <t>2026-01-05 12:09:06</t>
  </si>
  <si>
    <t>2026-01-05 10:43:40</t>
  </si>
  <si>
    <t>2026-01-05 11:13:43</t>
  </si>
  <si>
    <t>M3, 2.73 km from Chembe</t>
  </si>
  <si>
    <t>2026-01-05 09:04:25</t>
  </si>
  <si>
    <t>2026-01-05 09:34:28</t>
  </si>
  <si>
    <t>Kabwe Dust, Mbeya</t>
  </si>
  <si>
    <t>2026-01-05 08:09:35</t>
  </si>
  <si>
    <t>2026-01-05 08:39:37</t>
  </si>
  <si>
    <t>T3, 4.25 km from Momba</t>
  </si>
  <si>
    <t>2026-01-05 10:42:22</t>
  </si>
  <si>
    <t>2026-01-05 11:12:23</t>
  </si>
  <si>
    <t>2026-01-05 13:05:39</t>
  </si>
  <si>
    <t>2026-01-05 13:35:43</t>
  </si>
  <si>
    <t>Great North Road, 11.11 km from Kanona</t>
  </si>
  <si>
    <t>2026-01-05 13:18:28</t>
  </si>
  <si>
    <t>2026-01-05 13:48:28</t>
  </si>
  <si>
    <t>2026-01-05 08:49:58</t>
  </si>
  <si>
    <t>2026-01-05 09:20:01</t>
  </si>
  <si>
    <t>2026-01-05 09:58:42</t>
  </si>
  <si>
    <t>2026-01-05 10:28:42</t>
  </si>
  <si>
    <t>Tanzam Road, 1.11 km from Uyole</t>
  </si>
  <si>
    <t>2026-01-05 13:18:12</t>
  </si>
  <si>
    <t>2026-01-05 13:48:13</t>
  </si>
  <si>
    <t>T188EBX =&gt; IDLING. At 05.01.2026 10:53:07 it moved with speed 0 km/h near 'Ndola - Kitwe Dual-Carriageway, Copperbelt Province, Zambia, 33.20 km from Ndola'.</t>
  </si>
  <si>
    <t>T227EBX =&gt; IDLING. At 05.01.2026 10:21:51 it moved with speed 0 km/h near 'M3, Luapula Province, Zambia, 2.77 km from Chembe'.</t>
  </si>
  <si>
    <t>T276DDJ =&gt; IDLING. At 05.01.2026 10:38:11 it moved with speed 0 km/h near 'Ndola - Kitwe Dual-Carriageway, Copperbelt Province, Zambia, 33.19 km from Ndola'.</t>
  </si>
  <si>
    <t>T282EBY =&gt; IDLING. At 05.01.2026 09:58:20 it moved with speed 0 km/h near 'T3, Copperbelt Province, Zambia, 6.57 km from Bancroft'.</t>
  </si>
  <si>
    <t>T402ECN =&gt; IDLING. At 05.01.2026 10:02:32 it moved with speed 0 km/h near 'T1, Mbeya, Uyole, Tanzania, Itewe'.</t>
  </si>
  <si>
    <t>T427DHG =&gt; IDLING. At 05.01.2026 10:33:09 it moved with speed 0 km/h near 'M3, Luapula Province, Zambia, 2.83 km from Chembe'.</t>
  </si>
  <si>
    <t>T499DYR =&gt; IDLING. At 05.01.2026 09:06:16 it moved with speed 0 km/h near 'Iringa Road, Morogoro, Tanzania, Doma'.</t>
  </si>
  <si>
    <t>T515EBY =&gt; IDLING. At 05.01.2026 10:33:19 it moved with speed 0 km/h near 'M3, Luapula Province, Zambia, 2.75 km from Chembe'.</t>
  </si>
  <si>
    <t>T571DYR =&gt; IDLING. At 05.01.2026 10:39:30 it moved with speed 0 km/h near 'M3, Luapula Province, Zambia, 2.74 km from Chembe'.</t>
  </si>
  <si>
    <t>T577DTQ =&gt; IDLING. At 05.01.2026 13:46:02 it moved with speed 0 km/h near 'Tanzam Road, Mbeya, Ilomba, Tanzania, 1.15 km from Soweto Street - Mbeya'.</t>
  </si>
  <si>
    <t>T579DYR =&gt; IDLING. At 05.01.2026 10:30:21 it moved with speed 0 km/h near 'Rn39, Lualaba, Democratic Republic of the Congo, 3.74 km from Kafwaya'.</t>
  </si>
  <si>
    <t>T583DYR =&gt; IDLING. At 05.01.2026 11:33:30 it moved with speed 0 km/h near 'Ndola - Kitwe Dual-Carriageway, Copperbelt Province, Zambia, 33.27 km from Ndola'.</t>
  </si>
  <si>
    <t>T584DYR =&gt; IDLING. At 05.01.2026 10:32:49 it moved with speed 0 km/h near 'M3, Luapula Province, Zambia, 2.84 km from Chembe'.</t>
  </si>
  <si>
    <t>T590DTQ =&gt; IDLING. At 05.01.2026 10:33:08 it moved with speed 0 km/h near 'Tanzania To Zambia Road, Iringa, Mufindi, Tanzania, 1.76 km from Ifunda'.</t>
  </si>
  <si>
    <t>T592DTQ =&gt; IDLING. At 05.01.2026 08:16:09 it moved with speed 0 km/h near 'T1, Njombe, Tanzania, Igawa'.</t>
  </si>
  <si>
    <t>T594DTQ =&gt; IDLING. At 05.01.2026 10:33:19 it moved with speed 0 km/h near 'Tanzania To Zambia Road, Iringa, Mufindi, Tanzania, 1.79 km from Ifunda'.</t>
  </si>
  <si>
    <t>T732DEB =&gt; IDLING. At 05.01.2026 11:57:38 it moved with speed 0 km/h near 'Tanzam Road, Mbeya, Mbozi, Tanzania, Songwe Viwandani'.</t>
  </si>
  <si>
    <t>T733EBX =&gt; IDLING. At 05.01.2026 09:08:48 it moved with speed 0 km/h near 'T3, Copperbelt Province, Zambia, 2.40 km from Momba'.</t>
  </si>
  <si>
    <t>T734EBX =&gt; IDLING. At 05.01.2026 08:50:45 it moved with speed 0 km/h near 'Iringa Road, Lundamatwe, Iringa, Tanzania'.</t>
  </si>
  <si>
    <t>T756EBX =&gt; IDLING. At 05.01.2026 08:35:29 it moved with speed 0 km/h near 'Tanzam Road, Mbeya, Mbozi, Tanzania, Mbalizi'.</t>
  </si>
  <si>
    <t>T770DYR =&gt; IDLING. At 05.01.2026 07:29:05 it moved with speed 0 km/h near 'Great North Road, Muchinga Province, Zambia, 12.54 km from Mkasi'.</t>
  </si>
  <si>
    <t>T772DYR =&gt; IDLING. At 05.01.2026 11:39:05 it moved with speed 0 km/h near 'Ndola - Kitwe Dual-Carriageway, Copperbelt Province, Zambia, 33.27 km from Ndola'.</t>
  </si>
  <si>
    <t>T796DYR =&gt; IDLING. At 05.01.2026 10:43:40 it moved with speed 0 km/h near 'M3, Luapula Province, Zambia, 2.73 km from Chembe'.</t>
  </si>
  <si>
    <t>T797DYR =&gt; IDLING. At 05.01.2026 09:04:25 it moved with speed 0 km/h near 'Kabwe Dust, Mbeya, Iyela, Tanzania, Mbeya'.</t>
  </si>
  <si>
    <t>T797EBW =&gt; IDLING. At 05.01.2026 08:09:35 it moved with speed 0 km/h near 'T3, Copperbelt Province, Zambia, 4.25 km from Momba'.</t>
  </si>
  <si>
    <t>T806DYR =&gt; IDLING. At 05.01.2026 10:42:22 it moved with speed 0 km/h near 'M3, Luapula Province, Zambia, 2.75 km from Chembe'.</t>
  </si>
  <si>
    <t>T820DDS =&gt; IDLING. At 05.01.2026 13:05:39 it moved with speed 0 km/h near 'Great North Road, Central Province, Zambia, 11.11 km from Kanona'.</t>
  </si>
  <si>
    <t>T850EBY =&gt; IDLING. At 05.01.2026 13:18:28 it moved with speed 0 km/h near 'Tanzam Road, Mbeya, Kalobe, Tanzania, 2.29 km from Mbeya'.</t>
  </si>
  <si>
    <t>T909EBW =&gt; IDLING. At 05.01.2026 08:49:58 it moved with speed 0 km/h near 'Tanzam Road, Mbeya, Mbozi, Tanzania, Mbalizi'.</t>
  </si>
  <si>
    <t>T957DSX =&gt; IDLING. At 05.01.2026 09:58:42 it moved with speed 0 km/h near 'Tanzam Road, Mbeya, Ilomba, Tanzania, 1.11 km from Uyole'.</t>
  </si>
  <si>
    <t>T965EBW =&gt; IDLING. At 05.01.2026 13:18:12 it moved with speed 0 km/h near 'Tanzam Road, Mbeya, Kalobe, Tanzania, 2.31 km from Mbeya'.</t>
  </si>
  <si>
    <t>86 km/h</t>
  </si>
  <si>
    <t>T1, Morogoro, Tanzania, 1.51 km from Maseyu</t>
  </si>
  <si>
    <t>81 km/h</t>
  </si>
  <si>
    <t>85 km/h</t>
  </si>
  <si>
    <t>Fisenge Bypass, Copperbelt Province, Zambia, 33.31 km from Ndola</t>
  </si>
  <si>
    <t>91 km/h</t>
  </si>
  <si>
    <t>Iringa Road, Morogoro, Kilosa, Tanzania, 15.33 km from Msimba</t>
  </si>
  <si>
    <t>89 km/h</t>
  </si>
  <si>
    <t>M3, Northern Province, Zambia, 13.28 km from Luwingu</t>
  </si>
  <si>
    <t>90 km/h</t>
  </si>
  <si>
    <t>M3, Luapula Province, Zambia, 9.19 km from Kalundu</t>
  </si>
  <si>
    <t>Iringa Road, Iringa, Tanzania, 1.71 km from Mahenge</t>
  </si>
  <si>
    <t>T1, Mbeya, Tanzania, 3.57 km from Igawa</t>
  </si>
  <si>
    <t>T1, Mbeya, Tanzania, 6.54 km from Igawa</t>
  </si>
  <si>
    <t>05.01.2026</t>
  </si>
  <si>
    <t>05.01.2026 06:51:19 am</t>
  </si>
  <si>
    <t>05.01.2026 19:27:29 pm</t>
  </si>
  <si>
    <t>05.01.2026 14:02:41 pm</t>
  </si>
  <si>
    <t>05.01.2026 19:20:48 pm</t>
  </si>
  <si>
    <t>05.01.2026 18:30:58 pm</t>
  </si>
  <si>
    <t>05.01.2026 07:12:59 am</t>
  </si>
  <si>
    <t>05.01.2026 08:33:29 am</t>
  </si>
  <si>
    <t>05.01.2026 14:34:35 pm</t>
  </si>
  <si>
    <t>2026-01-05 21:37:33</t>
  </si>
  <si>
    <t>2026-01-05 21:52:59</t>
  </si>
  <si>
    <t>6.60 km</t>
  </si>
  <si>
    <t>06.01.2026 10:13:47 am</t>
  </si>
  <si>
    <t>Great North Road, Central Province, Zambia, 4.39 km from Manjolo</t>
  </si>
  <si>
    <t>06.01.2026 08:19:21 am</t>
  </si>
  <si>
    <t>87 km/h</t>
  </si>
  <si>
    <t>Great North Road, Central Province, Zambia, 12.45 km from Chitiwa</t>
  </si>
  <si>
    <t>93 km/h</t>
  </si>
  <si>
    <t>M3, Northern Province, Zambia, Chiwembe</t>
  </si>
  <si>
    <t>06.01.2026 13:47:27 pm</t>
  </si>
  <si>
    <t>06.01.2026 08:16:31 am</t>
  </si>
  <si>
    <t>06.01.2026 11:15:57 am</t>
  </si>
  <si>
    <t>92 km/h</t>
  </si>
  <si>
    <t>T2, Pwani, Bagamoyo, Tanzania, Mboga</t>
  </si>
  <si>
    <t>06.01.2026 08:44:44 am</t>
  </si>
  <si>
    <t>2026-01-06 12:33:30</t>
  </si>
  <si>
    <t>2026-01-06 13:09:00</t>
  </si>
  <si>
    <t>T107EBX =&gt; IDLING. At 06.01.2026 12:33:30 it moved with speed 0 km/h near 'Great North Road, Muchinga Province, Zambia, 12.18 km from Chikwanda'.</t>
  </si>
  <si>
    <t>Great North Road, 12.18 km from Chikwanda</t>
  </si>
  <si>
    <t>2026-01-06 11:19:35</t>
  </si>
  <si>
    <t>2026-01-06 11:54:50</t>
  </si>
  <si>
    <t>T126EBX =&gt; IDLING. At 06.01.2026 11:19:35 it moved with speed 0 km/h near 'Iringa Road, Morogoro, Kilosa, Tanzania, Kidayi 'A''.</t>
  </si>
  <si>
    <t>Iringa Road, Kidayi 'A'</t>
  </si>
  <si>
    <t>2026-01-06 11:27:01</t>
  </si>
  <si>
    <t>2026-01-06 11:57:05</t>
  </si>
  <si>
    <t>T263DDJ =&gt; IDLING. At 06.01.2026 11:27:01 it moved with speed 0 km/h near 'Ndola - Kitwe Dual-Carriageway, Copperbelt Province, Zambia, 33.22 km from Ndola'.</t>
  </si>
  <si>
    <t>2026-01-06 08:13:05</t>
  </si>
  <si>
    <t>2026-01-06 08:43:05</t>
  </si>
  <si>
    <t>T282EBY =&gt; IDLING. At 06.01.2026 08:13:05 it moved with speed 0 km/h near 'T3, Copperbelt Province, Zambia, 3.74 km from Momba'.</t>
  </si>
  <si>
    <t>T3, 3.74 km from Momba</t>
  </si>
  <si>
    <t>2026-01-06 11:04:44</t>
  </si>
  <si>
    <t>2026-01-06 11:34:47</t>
  </si>
  <si>
    <t>T336ECN =&gt; IDLING. At 06.01.2026 11:04:44 it moved with speed 0 km/h near 'Great North Road, Central Province, Zambia, 7.50 km from Mkushi'.</t>
  </si>
  <si>
    <t>Great North Road, 7.50 km from Mkushi</t>
  </si>
  <si>
    <t>2026-01-06 09:25:21</t>
  </si>
  <si>
    <t>2026-01-06 09:55:21</t>
  </si>
  <si>
    <t>T343EBX =&gt; IDLING. At 06.01.2026 09:25:21 it moved with speed 0 km/h near 'Great North Road, Muchinga Province, Zambia, Chinunda'.</t>
  </si>
  <si>
    <t>2026-01-06 08:00:24</t>
  </si>
  <si>
    <t>2026-01-06 08:30:27</t>
  </si>
  <si>
    <t>T384ECN =&gt; IDLING. At 06.01.2026 08:00:24 it moved with speed 0 km/h near 'T3, Copperbelt Province, Zambia, 3.87 km from Momba'.</t>
  </si>
  <si>
    <t>T3, 3.87 km from Momba</t>
  </si>
  <si>
    <t>2026-01-06 02:07:24</t>
  </si>
  <si>
    <t>2026-01-06 02:37:25</t>
  </si>
  <si>
    <t>T386ECN =&gt; IDLING. At 06.01.2026 02:07:24 it moved with speed 0 km/h near 'Morogoro Main Road, Pwani, Kibaha, Tanzania, 23.67 km from Dar Es Salaam'.</t>
  </si>
  <si>
    <t>Morogoro Main Road, 23.67 km from Dar Es Salaam</t>
  </si>
  <si>
    <t>2026-01-06 12:51:27</t>
  </si>
  <si>
    <t>2026-01-06 13:31:42</t>
  </si>
  <si>
    <t>T413DHE =&gt; IDLING. At 06.01.2026 12:51:27 it moved with speed 0 km/h near 'Ndola - Kitwe Dual-Carriageway, Copperbelt Province, Zambia, 33.21 km from Ndola'.</t>
  </si>
  <si>
    <t>2026-01-06 09:24:01</t>
  </si>
  <si>
    <t>2026-01-06 09:54:01</t>
  </si>
  <si>
    <t>T494DYR =&gt; IDLING. At 06.01.2026 09:24:01 it moved with speed 0 km/h near 'Great North Road, Muchinga Province, Zambia, Chinunda'.</t>
  </si>
  <si>
    <t>2026-01-06 13:05:25</t>
  </si>
  <si>
    <t>2026-01-06 13:35:28</t>
  </si>
  <si>
    <t>T499DYR =&gt; IDLING. At 06.01.2026 13:05:25 it moved with speed 0 km/h near 'T1, Mbeya, Tanzania, Isitu'.</t>
  </si>
  <si>
    <t>2026-01-06 11:29:27</t>
  </si>
  <si>
    <t>2026-01-06 11:59:30</t>
  </si>
  <si>
    <t>T513EBY =&gt; IDLING. At 06.01.2026 11:29:27 it moved with speed 0 km/h near 'T1, Njombe, Tanzania, Igawa'.</t>
  </si>
  <si>
    <t>2026-01-06 15:37:18</t>
  </si>
  <si>
    <t>2026-01-06 16:07:20</t>
  </si>
  <si>
    <t>T561DYR =&gt; IDLING. At 06.01.2026 15:37:18 it moved with speed 0 km/h near 'Great North Road, Muchinga Province, Zambia, 5.57 km from Two Leopards'.</t>
  </si>
  <si>
    <t>Great North Road, 5.57 km from Two Leopards</t>
  </si>
  <si>
    <t>2026-01-06 16:04:14</t>
  </si>
  <si>
    <t>2026-01-06 16:34:17</t>
  </si>
  <si>
    <t>T572DYR =&gt; IDLING. At 06.01.2026 16:04:14 it moved with speed 0 km/h near 'T3, Copperbelt Province, Zambia, 10.50 km from Chambishi'.</t>
  </si>
  <si>
    <t>T3, 10.50 km from Chambishi</t>
  </si>
  <si>
    <t>2026-01-06 06:44:34</t>
  </si>
  <si>
    <t>2026-01-06 07:14:34</t>
  </si>
  <si>
    <t>T590DTQ =&gt; IDLING. At 06.01.2026 06:44:34 it moved with speed 0 km/h near 'Iringa Road, Morogoro, Kilosa, Tanzania, Kikwaraza'.</t>
  </si>
  <si>
    <t>2026-01-06 11:18:36</t>
  </si>
  <si>
    <t>2026-01-06 11:48:38</t>
  </si>
  <si>
    <t>T661DTQ =&gt; IDLING. At 06.01.2026 11:18:36 it moved with speed 0 km/h near 'Dar - Mbeya Highway, Iringa, Tanzania, Ndiuka'.</t>
  </si>
  <si>
    <t>2026-01-06 11:42:31</t>
  </si>
  <si>
    <t>2026-01-06 12:12:32</t>
  </si>
  <si>
    <t>T710EBX =&gt; IDLING. At 06.01.2026 11:42:31 it moved with speed 0 km/h near 'Tanzam Road, Mbeya, Kalobe, Tanzania, 2.37 km from Mbeya'.</t>
  </si>
  <si>
    <t>2026-01-06 12:31:13</t>
  </si>
  <si>
    <t>2026-01-06 13:30:32</t>
  </si>
  <si>
    <t>T721DEB =&gt; IDLING. At 06.01.2026 12:31:13 it moved with speed 0 km/h near 'Great North Road, Muchinga Province, Zambia, 12.20 km from Chikwanda'.</t>
  </si>
  <si>
    <t>Great North Road, 12.20 km from Chikwanda</t>
  </si>
  <si>
    <t>2026-01-06 12:15:17</t>
  </si>
  <si>
    <t>2026-01-06 12:45:19</t>
  </si>
  <si>
    <t>T734EBX =&gt; IDLING. At 06.01.2026 12:15:17 it moved with speed 0 km/h near 'T1, Mbeya, Tanzania, Kongolo Mkola'.</t>
  </si>
  <si>
    <t>2026-01-06 09:08:52</t>
  </si>
  <si>
    <t>2026-01-06 09:38:52</t>
  </si>
  <si>
    <t>T797EBW =&gt; IDLING. At 06.01.2026 09:08:52 it moved with speed 0 km/h near 'T3, Copperbelt Province, Zambia, 4.84 km from Konkola'.</t>
  </si>
  <si>
    <t>T3, 4.84 km from Konkola</t>
  </si>
  <si>
    <t>2026-01-06 12:04:10</t>
  </si>
  <si>
    <t>2026-01-06 12:34:12</t>
  </si>
  <si>
    <t>T802DYR =&gt; IDLING. At 06.01.2026 12:04:10 it moved with speed 0 km/h near 'Great North Road, Central Province, Zambia, 11.51 km from Kanona'.</t>
  </si>
  <si>
    <t>Great North Road, 11.51 km from Kanona</t>
  </si>
  <si>
    <t>2026-01-06 12:29:44</t>
  </si>
  <si>
    <t>2026-01-06 12:59:47</t>
  </si>
  <si>
    <t>T812EBW =&gt; IDLING. At 06.01.2026 12:29:44 it moved with speed 0 km/h near 'Great North Road, Muchinga Province, Zambia, 12.20 km from Chikwanda'.</t>
  </si>
  <si>
    <t>2026-01-06 12:32:19</t>
  </si>
  <si>
    <t>2026-01-06 13:02:23</t>
  </si>
  <si>
    <t>T820DDS =&gt; IDLING. At 06.01.2026 12:32:19 it moved with speed 0 km/h near 'Ndola - Kitwe Dual-Carriageway, Copperbelt Province, Zambia, 33.19 km from Ndola'.</t>
  </si>
  <si>
    <t>2026-01-06 11:07:08</t>
  </si>
  <si>
    <t>2026-01-06 11:37:11</t>
  </si>
  <si>
    <t>T878EBW =&gt; IDLING. At 06.01.2026 11:07:08 it moved with speed 0 km/h near 'Great North Road, Central Province, Zambia, 7.48 km from Mkushi'.</t>
  </si>
  <si>
    <t>2026-01-06 14:13:51</t>
  </si>
  <si>
    <t>2026-01-06 14:43:52</t>
  </si>
  <si>
    <t>T954EBW =&gt; IDLING. At 06.01.2026 14:13:51 it moved with speed 0 km/h near 'T1, Pwani, Bagamoyo, Tanzania, Ruvu Darajani'.</t>
  </si>
  <si>
    <t>2026-01-06 08:43:01</t>
  </si>
  <si>
    <t>2026-01-06 09:13:03</t>
  </si>
  <si>
    <t>T975EBW =&gt; IDLING. At 06.01.2026 08:43:01 it moved with speed 0 km/h near 'T1, Mbeya, Tanzania, Mangere'.</t>
  </si>
  <si>
    <t>2026-01-06 05:39:14</t>
  </si>
  <si>
    <t>2026-01-06 09:14:55</t>
  </si>
  <si>
    <t>3:35:41</t>
  </si>
  <si>
    <t>147.33 km</t>
  </si>
  <si>
    <t>2026-01-06 22:33:21</t>
  </si>
  <si>
    <t>T1, Vigwaza</t>
  </si>
  <si>
    <t>2026-01-06 23:48:44</t>
  </si>
  <si>
    <t>T2, Lunga</t>
  </si>
  <si>
    <t>1:15:23</t>
  </si>
  <si>
    <t>51.56 km</t>
  </si>
  <si>
    <t>2026-01-06 08:05:34</t>
  </si>
  <si>
    <t>T104EBX: Harsh braking has been activated. At 06.01.2026 08:05:34 it moved with speed 60 km/h near 'Great North Road, Central Province, Zambia, 12.49 km from Chitiwa'.</t>
  </si>
  <si>
    <t>Great North Road, Zambia, Central Province, 12.49 km from Chitiwa</t>
  </si>
  <si>
    <t>2026-01-06 11:18:16</t>
  </si>
  <si>
    <t>T107EBX: Harsh braking has been activated. At 06.01.2026 11:18:16 it moved with speed 74 km/h near 'Great North Road, Muchinga Province, Zambia, 3.33 km from Kaole'.</t>
  </si>
  <si>
    <t>Great North Road, Zambia, Muchinga Province, 3.33 km from Kaole</t>
  </si>
  <si>
    <t>2026-01-06 07:39:17</t>
  </si>
  <si>
    <t>T271EBY: Harsh braking has been activated. At 06.01.2026 07:39:17 it moved with speed 56 km/h near 'Great North Road, Muchinga Province, Zambia, 2.16 km from Godfrey Kunda'.</t>
  </si>
  <si>
    <t>Great North Road, Zambia, Muchinga Province, 2.16 km from Godfrey Kunda</t>
  </si>
  <si>
    <t>2026-01-06 09:50:11</t>
  </si>
  <si>
    <t>T499DYR: Harsh braking has been activated. At 06.01.2026 09:50:11 it moved with speed 58 km/h near 'T1, Njombe, Tanzania, Edetelo'.</t>
  </si>
  <si>
    <t>2026-01-06 09:19:16</t>
  </si>
  <si>
    <t>T578DTQ: Harsh braking has been activated. At 06.01.2026 09:19:16 it moved with speed 57 km/h near 'Great North Road, Central Province, Zambia, Ndabala'.</t>
  </si>
  <si>
    <t>Great North Road, Zambia, Central Province, Ndabala</t>
  </si>
  <si>
    <t>2026-01-06 13:21:16</t>
  </si>
  <si>
    <t>T652DTQ: Harsh braking has been activated. At 06.01.2026 13:21:16 it moved with speed 58 km/h near 'Iringa Road, Iringa, Tanzania, 1.82 km from Comfort'.</t>
  </si>
  <si>
    <t>Iringa Road, Tanzania, Iringa, 1.82 km from Comfort</t>
  </si>
  <si>
    <t>2026-01-06 09:37:32</t>
  </si>
  <si>
    <t>T661DTQ: Harsh braking has been activated. At 06.01.2026 09:37:32 it moved with speed 55 km/h near 'Tanzania To Zambia Road, Iringa, Mufindi, Tanzania, Muwimbi'.</t>
  </si>
  <si>
    <t>Tanzania To Zambia Road, Tanzania, Iringa, Mufindi, Muwimbi</t>
  </si>
  <si>
    <t>2026-01-06 09:24:26</t>
  </si>
  <si>
    <t>T797DYR: Harsh braking has been activated. At 06.01.2026 09:24:26 it moved with speed 61 km/h near 'Iringa Road, Iringa, Tanzania, 1.74 km from Comfort'.</t>
  </si>
  <si>
    <t>Iringa Road, Tanzania, Iringa, 1.74 km from Comfort</t>
  </si>
  <si>
    <t>2026-01-06 07:18:22</t>
  </si>
  <si>
    <t>T812EBW: Harsh braking has been activated. At 06.01.2026 07:18:22 it moved with speed 60 km/h near 'Great North Road, Central Province, Zambia, 15.21 km from Muchinka'.</t>
  </si>
  <si>
    <t>Great North Road, Zambia, Central Province, 15.21 km from Muchinka</t>
  </si>
  <si>
    <t>2026-01-06 10:30:51</t>
  </si>
  <si>
    <t>T820DDS: Harsh braking has been activated. At 06.01.2026 10:30:51 it moved with speed 54 km/h near 'T3, Copperbelt Province, Zambia, 9.42 km from Pukota'.</t>
  </si>
  <si>
    <t>T3, Zambia, Copperbelt Province, 9.42 km from Pukota</t>
  </si>
  <si>
    <t>2026-01-06 09:19:06</t>
  </si>
  <si>
    <t>T861EBY: Harsh braking has been activated. At 06.01.2026 09:19:06 it moved with speed 52 km/h near 'Great North Road, Central Province, Zambia, 17.79 km from Mkushi River'.</t>
  </si>
  <si>
    <t>Great North Road, Zambia, Central Province, 17.79 km from Mkushi River</t>
  </si>
  <si>
    <t>2026-01-06 07:41:27</t>
  </si>
  <si>
    <t>T868EBW: Harsh braking has been activated. At 06.01.2026 07:41:27 it moved with speed 67 km/h near 'Great North Road, Muchinga Province, Zambia, 6.25 km from Musata'.</t>
  </si>
  <si>
    <t>Great North Road, Zambia, Muchinga Province, 6.25 km from Musata</t>
  </si>
  <si>
    <t>2026-01-06 08:02:10</t>
  </si>
  <si>
    <t>T873EBY: Harsh braking has been activated. At 06.01.2026 08:02:10 it moved with speed 54 km/h near 'Morogoro Main Road, Dar Es Salaam, Tanzania'.</t>
  </si>
  <si>
    <t>2026-01-06 09:20:38</t>
  </si>
  <si>
    <t>T909EBW: Harsh braking has been activated. At 06.01.2026 09:20:38 it moved with speed 57 km/h near 'Iringa Road, Iringa, Tanzania, Matassi'.</t>
  </si>
  <si>
    <t>Iringa Road, Tanzania, Iringa, Matassi</t>
  </si>
  <si>
    <t>2026-01-06 08:55:06</t>
  </si>
  <si>
    <t>T939EBW: Harsh braking has been activated. At 06.01.2026 08:55:06 it moved with speed 52 km/h near 'Great North Road, Central Province, Zambia, 11.83 km from Bwale'.</t>
  </si>
  <si>
    <t>Great North Road, Zambia, Central Province, 11.83 km from Bwale</t>
  </si>
  <si>
    <t>2026-01-07 10:48:19</t>
  </si>
  <si>
    <t>T178EBX: Harsh braking has been activated. At 07.01.2026 10:48:19 it moved with speed 54 km/h near 'Morogoro Main Road, Dar Es Salaam, Tanzania'.</t>
  </si>
  <si>
    <t>2026-01-07 15:29:06</t>
  </si>
  <si>
    <t>T314DDJ: Harsh braking has been activated. At 07.01.2026 15:29:06 it moved with speed 57 km/h near 'Iringa Road, Morogoro, Kilosa, Tanzania, 14.97 km from Igagala'.</t>
  </si>
  <si>
    <t>Iringa Road, Tanzania, Morogoro, Kilosa, 14.97 km from Igagala</t>
  </si>
  <si>
    <t>2026-01-07 12:37:46</t>
  </si>
  <si>
    <t>T360DHG: Harsh braking has been activated. At 07.01.2026 12:37:46 it moved with speed 56 km/h near 'Great North Road, Central Province, Zambia, 2.88 km from Serenje'.</t>
  </si>
  <si>
    <t>Great North Road, Zambia, Central Province, 2.88 km from Serenje</t>
  </si>
  <si>
    <t>2026-01-07 07:07:21</t>
  </si>
  <si>
    <t>T510EBY: Harsh braking has been activated. At 07.01.2026 07:07:21 it moved with speed 64 km/h near 'Great North Road, Muchinga Province, Zambia, 8.80 km from Mwezo'.</t>
  </si>
  <si>
    <t>Great North Road, Zambia, Muchinga Province, 8.80 km from Mwezo</t>
  </si>
  <si>
    <t>2026-01-07 06:31:11</t>
  </si>
  <si>
    <t>T712DYR: Harsh braking has been activated. At 07.01.2026 06:31:11 it moved with speed 60 km/h near 'Great North Road, Muchinga Province, Zambia, 13.15 km from Mkasi'.</t>
  </si>
  <si>
    <t>Great North Road, Zambia, Muchinga Province, 13.15 km from Mkasi</t>
  </si>
  <si>
    <t>2026-01-07 13:14:49</t>
  </si>
  <si>
    <t>T724DYR: Harsh braking has been activated. At 07.01.2026 13:14:49 it moved with speed 58 km/h near 'T1, Mbeya, Tanzania, 2.52 km from Lunwa'.</t>
  </si>
  <si>
    <t>T1, Tanzania, Mbeya, 2.52 km from Lunwa</t>
  </si>
  <si>
    <t>2026-01-07 11:27:18</t>
  </si>
  <si>
    <t>T907EBW: Harsh braking has been activated. At 07.01.2026 11:27:18 it moved with speed 69 km/h near 'Great North Road, Muchinga Province, Zambia, 1.68 km from Chifumbula'.</t>
  </si>
  <si>
    <t>Great North Road, Zambia, Muchinga Province, 1.68 km from Chifumbula</t>
  </si>
  <si>
    <t>2026-01-07 07:59:20</t>
  </si>
  <si>
    <t>2026-01-07 08:29:23</t>
  </si>
  <si>
    <t>T127EBX =&gt; IDLING. At 07.01.2026 07:59:20 it moved with speed 0 km/h near 'President, Copperbelt Province, Zambia, 1.97 km from Kalulushi'.</t>
  </si>
  <si>
    <t>President, 1.97 km from Kalulushi</t>
  </si>
  <si>
    <t>2026-01-07 09:44:28</t>
  </si>
  <si>
    <t>2026-01-07 10:14:28</t>
  </si>
  <si>
    <t>T188EBX =&gt; IDLING. At 07.01.2026 09:44:28 it moved with speed 0 km/h near 'T3, Copperbelt Province, Zambia, 2.67 km from Momba'.</t>
  </si>
  <si>
    <t>2026-01-07 10:01:06</t>
  </si>
  <si>
    <t>2026-01-07 10:31:10</t>
  </si>
  <si>
    <t>T232EBX =&gt; IDLING. At 07.01.2026 10:01:06 it moved with speed 0 km/h near 'Route De La Mine Deziwa, Lualaba, Democratic Republic of the Congo, 5.72 km from Kisenda'.</t>
  </si>
  <si>
    <t>2026-01-07 12:51:54</t>
  </si>
  <si>
    <t>2026-01-07 13:30:46</t>
  </si>
  <si>
    <t>T263DDJ =&gt; IDLING. At 07.01.2026 12:51:54 it moved with speed 0 km/h near 'Great North Road, Central Province, Zambia, 4.59 km from Chifwefwe B'.</t>
  </si>
  <si>
    <t>Great North Road, 4.59 km from Chifwefwe B</t>
  </si>
  <si>
    <t>2026-01-07 13:17:01</t>
  </si>
  <si>
    <t>2026-01-07 13:47:01</t>
  </si>
  <si>
    <t>T314DDJ =&gt; IDLING. At 07.01.2026 13:17:01 it moved with speed 0 km/h near 'Iringa Road, Iringa, Tanzania, Ruaha Mbuyumi'.</t>
  </si>
  <si>
    <t>2026-01-07 07:47:15</t>
  </si>
  <si>
    <t>2026-01-07 08:17:15</t>
  </si>
  <si>
    <t>T379ECN =&gt; IDLING. At 07.01.2026 07:47:15 it moved with speed 0 km/h near 'Ndola - Kitwe Dual-Carriageway, Copperbelt Province, Zambia, 33.20 km from Ndola'.</t>
  </si>
  <si>
    <t>2026-01-07 07:38:55</t>
  </si>
  <si>
    <t>2026-01-07 08:08:58</t>
  </si>
  <si>
    <t>T386ECN =&gt; IDLING. At 07.01.2026 07:38:55 it moved with speed 0 km/h near 'Dar Es Salaam Road, Morogoro, Tanzania'.</t>
  </si>
  <si>
    <t>2026-01-07 14:51:16</t>
  </si>
  <si>
    <t>2026-01-07 15:21:18</t>
  </si>
  <si>
    <t>T387ECN =&gt; IDLING. At 07.01.2026 14:51:16 it moved with speed 0 km/h near 'Rn39, Lualaba, Democratic Republic of the Congo, 3.85 km from Kafwaya'.</t>
  </si>
  <si>
    <t>Rn39, 3.85 km from Kafwaya</t>
  </si>
  <si>
    <t>2026-01-07 07:30:36</t>
  </si>
  <si>
    <t>2026-01-07 08:00:38</t>
  </si>
  <si>
    <t>T404DHG =&gt; IDLING. At 07.01.2026 07:30:36 it moved with speed 0 km/h near 'T3, Copperbelt Province, Zambia, 4.70 km from Bancroft'.</t>
  </si>
  <si>
    <t>T3, 4.70 km from Bancroft</t>
  </si>
  <si>
    <t>2026-01-07 09:13:39</t>
  </si>
  <si>
    <t>2026-01-07 09:43:43</t>
  </si>
  <si>
    <t>T406DHG =&gt; IDLING. At 07.01.2026 09:13:39 it moved with speed 0 km/h near 'Great North Road, Muchinga Province, Zambia, Mutumbo'.</t>
  </si>
  <si>
    <t>2026-01-07 10:44:45</t>
  </si>
  <si>
    <t>2026-01-07 11:14:47</t>
  </si>
  <si>
    <t>T413DHE =&gt; IDLING. At 07.01.2026 10:44:45 it moved with speed 0 km/h near 'T3, Copperbelt Province, Zambia, 5.86 km from Bancroft'.</t>
  </si>
  <si>
    <t>T3, 5.86 km from Bancroft</t>
  </si>
  <si>
    <t>2026-01-07 08:08:02</t>
  </si>
  <si>
    <t>2026-01-07 08:38:03</t>
  </si>
  <si>
    <t>T443DHG =&gt; IDLING. At 07.01.2026 08:08:02 it moved with speed 0 km/h near 'President, Copperbelt Province, Zambia, 1.89 km from Kalulushi'.</t>
  </si>
  <si>
    <t>President, 1.89 km from Kalulushi</t>
  </si>
  <si>
    <t>2026-01-07 12:42:00</t>
  </si>
  <si>
    <t>2026-01-07 13:12:02</t>
  </si>
  <si>
    <t>T571DYR =&gt; IDLING. At 07.01.2026 12:42:00 it moved with speed 0 km/h near 'T1, Mbeya, Tanzania, Makwenje'.</t>
  </si>
  <si>
    <t>2026-01-07 06:34:07</t>
  </si>
  <si>
    <t>2026-01-07 07:04:11</t>
  </si>
  <si>
    <t>T572DYR =&gt; IDLING. At 07.01.2026 06:34:07 it moved with speed 0 km/h near 'T3, Copperbelt Province, Zambia, 8.95 km from Chingola'.</t>
  </si>
  <si>
    <t>T3, 8.95 km from Chingola</t>
  </si>
  <si>
    <t>2026-01-07 08:11:07</t>
  </si>
  <si>
    <t>2026-01-07 08:41:07</t>
  </si>
  <si>
    <t>T583DYR =&gt; IDLING. At 07.01.2026 08:11:07 it moved with speed 0 km/h near 'T3, Copperbelt Province, Zambia, 4.21 km from Momba'.</t>
  </si>
  <si>
    <t>2026-01-07 11:50:28</t>
  </si>
  <si>
    <t>2026-01-07 12:20:30</t>
  </si>
  <si>
    <t>T712DYR =&gt; IDLING. At 07.01.2026 11:50:28 it moved with speed 0 km/h near 'Great North Road, Muchinga Province, Zambia, 3.88 km from Chinkumba'.</t>
  </si>
  <si>
    <t>Great North Road, 3.88 km from Chinkumba</t>
  </si>
  <si>
    <t>2026-01-07 08:02:35</t>
  </si>
  <si>
    <t>2026-01-07 08:32:36</t>
  </si>
  <si>
    <t>T716DYR =&gt; IDLING. At 07.01.2026 08:02:35 it moved with speed 0 km/h near 'President, Copperbelt Province, Zambia, 1.91 km from Kalulushi'.</t>
  </si>
  <si>
    <t>President, 1.91 km from Kalulushi</t>
  </si>
  <si>
    <t>2026-01-07 07:59:15</t>
  </si>
  <si>
    <t>2026-01-07 08:29:18</t>
  </si>
  <si>
    <t>T732DYR =&gt; IDLING. At 07.01.2026 07:59:15 it moved with speed 0 km/h near 'President, Copperbelt Province, Zambia, 1.95 km from Kalulushi'.</t>
  </si>
  <si>
    <t>President, 1.95 km from Kalulushi</t>
  </si>
  <si>
    <t>2026-01-07 11:26:18</t>
  </si>
  <si>
    <t>2026-01-07 11:56:18</t>
  </si>
  <si>
    <t>T737DEB =&gt; IDLING. At 07.01.2026 11:26:18 it moved with speed 0 km/h near 'Central Street, Copperbelt Province, Zambia, 3.52 km from Kitwe'.</t>
  </si>
  <si>
    <t>Central Street, 3.52 km from Kitwe</t>
  </si>
  <si>
    <t>2026-01-07 09:57:23</t>
  </si>
  <si>
    <t>2026-01-07 10:27:25</t>
  </si>
  <si>
    <t>T745EBX =&gt; IDLING. At 07.01.2026 09:57:23 it moved with speed 0 km/h near 'Tanzania To Zambia Road, Iringa, Mufindi, Tanzania, 3.96 km from Ihefu'.</t>
  </si>
  <si>
    <t>Tanzania To Zambia Road, 3.96 km from Ihefu</t>
  </si>
  <si>
    <t>2026-01-07 09:14:01</t>
  </si>
  <si>
    <t>2026-01-07 09:44:03</t>
  </si>
  <si>
    <t>T770DYR =&gt; IDLING. At 07.01.2026 09:14:01 it moved with speed 0 km/h near 'President, Copperbelt Province, Zambia, 1.97 km from Kalulushi'.</t>
  </si>
  <si>
    <t>2026-01-07 08:11:05</t>
  </si>
  <si>
    <t>T772DYR =&gt; IDLING. At 07.01.2026 08:11:05 it moved with speed 0 km/h near 'T3, Copperbelt Province, Zambia, 4.23 km from Momba'.</t>
  </si>
  <si>
    <t>T3, 4.23 km from Momba</t>
  </si>
  <si>
    <t>2026-01-07 18:21:10</t>
  </si>
  <si>
    <t>2026-01-07 18:51:11</t>
  </si>
  <si>
    <t>T776EBW =&gt; IDLING. At 07.01.2026 18:21:10 it moved with speed 0 km/h near 'Iringa Road, Morogoro, Kilosa, Tanzania, Kikwaraza'.</t>
  </si>
  <si>
    <t>2026-01-07 10:42:54</t>
  </si>
  <si>
    <t>2026-01-07 11:12:56</t>
  </si>
  <si>
    <t>T820DDS =&gt; IDLING. At 07.01.2026 10:42:54 it moved with speed 0 km/h near 'T3, Copperbelt Province, Zambia, 5.84 km from Bancroft'.</t>
  </si>
  <si>
    <t>T3, 5.84 km from Bancroft</t>
  </si>
  <si>
    <t>2026-01-07 07:32:00</t>
  </si>
  <si>
    <t>2026-01-07 08:02:03</t>
  </si>
  <si>
    <t>T835EBY =&gt; IDLING. At 07.01.2026 07:32:00 it moved with speed 0 km/h near 'Iringa Road, Morogoro, Tanzania, 3.18 km from Kipera'.</t>
  </si>
  <si>
    <t>2026-01-07 14:38:26</t>
  </si>
  <si>
    <t>2026-01-07 15:08:30</t>
  </si>
  <si>
    <t>T866EBY =&gt; IDLING. At 07.01.2026 14:38:26 it moved with speed 0 km/h near 'Rn39, Lualaba, Democratic Republic of the Congo, 3.85 km from Kafwaya'.</t>
  </si>
  <si>
    <t>2026-01-07 08:10:11</t>
  </si>
  <si>
    <t>2026-01-07 08:40:12</t>
  </si>
  <si>
    <t>T868EBW =&gt; IDLING. At 07.01.2026 08:10:11 it moved with speed 0 km/h near 'Ndola - Kitwe Dual-Carriageway, Copperbelt Province, Zambia, 33.24 km from Ndola'.</t>
  </si>
  <si>
    <t>2026-01-07 11:16:38</t>
  </si>
  <si>
    <t>2026-01-07 11:46:41</t>
  </si>
  <si>
    <t>T910EBW =&gt; IDLING. At 07.01.2026 11:16:38 it moved with speed 0 km/h near 'Ndola - Kitwe Dual-Carriageway, Copperbelt Province, Zambia, 33.22 km from Ndola'.</t>
  </si>
  <si>
    <t>2026-01-07 06:45:29</t>
  </si>
  <si>
    <t>2026-01-07 07:15:32</t>
  </si>
  <si>
    <t>T939EBW =&gt; IDLING. At 07.01.2026 06:45:29 it moved with speed 0 km/h near 'Ndola - Kitwe Dual-Carriageway, Copperbelt Province, Zambia, 33.22 km from Ndola'.</t>
  </si>
  <si>
    <t>2026-01-07 10:22:19</t>
  </si>
  <si>
    <t>2026-01-07 10:52:21</t>
  </si>
  <si>
    <t>T950EBW =&gt; IDLING. At 07.01.2026 10:22:19 it moved with speed 0 km/h near 'Iringa Road, Morogoro, Tanzania, 3.21 km from Kipera'.</t>
  </si>
  <si>
    <t>Iringa Road, 3.21 km from Kipera</t>
  </si>
  <si>
    <t>2026-01-07 09:55:30</t>
  </si>
  <si>
    <t>2026-01-07 10:25:30</t>
  </si>
  <si>
    <t>T993EBW =&gt; IDLING. At 07.01.2026 09:55:30 it moved with speed 0 km/h near 'T3, Copperbelt Province, Zambia, 7.85 km from Chingola'.</t>
  </si>
  <si>
    <t>T3, 7.85 km from Chingola</t>
  </si>
  <si>
    <t>07.01.2026 10:44:06 am</t>
  </si>
  <si>
    <t>KIBAMBA NEAR KIBAHA</t>
  </si>
  <si>
    <t>07.01.2026 03:50:08 pm</t>
  </si>
  <si>
    <t>Great North Road, Central Province, Zambia, 9.13 km from Serenje</t>
  </si>
  <si>
    <t>07.01.2026 07:51:55 am</t>
  </si>
  <si>
    <t>Great North Road, Muchinga Province, Zambia, 6.57 km from Mwezo</t>
  </si>
  <si>
    <t>07.01.2026 10:49:41 am</t>
  </si>
  <si>
    <t>Great North Road, Muchinga Province, Zambia, 9.28 km from Two Leopards</t>
  </si>
  <si>
    <t>07.01.2026 04:48:51 pm</t>
  </si>
  <si>
    <t>Great North Road, Muchinga Province, Zambia, 5.86 km from Rumbuka</t>
  </si>
  <si>
    <t>07.01.2026 12:51:47 pm</t>
  </si>
  <si>
    <t>Great North Road, Muchinga Province, Zambia, 19.30 km from Mukukwe</t>
  </si>
  <si>
    <t>07.01.2026 07:03:47 am</t>
  </si>
  <si>
    <t>Great North Road, Central Province, Zambia, 9.72 km from Serenje</t>
  </si>
  <si>
    <t>07.01.2026 06:50:13 pm</t>
  </si>
  <si>
    <t>07.01.2026 07:06:47 am</t>
  </si>
  <si>
    <t>Great North Road, Muchinga Province, Zambia, 9.49 km from Mwezo</t>
  </si>
  <si>
    <t>99 km/h</t>
  </si>
  <si>
    <t>88 km/h</t>
  </si>
  <si>
    <t>100 km/h</t>
  </si>
  <si>
    <t>98 km/h</t>
  </si>
  <si>
    <t>2026-01-07 05:38:39</t>
  </si>
  <si>
    <t>2026-01-07 10:06:50</t>
  </si>
  <si>
    <t>Iringa Road, 1.40 km from Igagala</t>
  </si>
  <si>
    <t>4:28:11</t>
  </si>
  <si>
    <t>173.81 km</t>
  </si>
  <si>
    <t>2026-01-07 05:22:55</t>
  </si>
  <si>
    <t>2026-01-07 09:21:32</t>
  </si>
  <si>
    <t>3:40:44</t>
  </si>
  <si>
    <t>139.94 km</t>
  </si>
  <si>
    <t>2026-01-07 05:32:29</t>
  </si>
  <si>
    <t>KIPERA FUEL SPOT</t>
  </si>
  <si>
    <t>1:59:31</t>
  </si>
  <si>
    <t>69.87 km</t>
  </si>
  <si>
    <t>JANUARY MONTH 2026</t>
  </si>
  <si>
    <t>T804EBW</t>
  </si>
  <si>
    <t>T927EBW</t>
  </si>
  <si>
    <t>2026-01-08 08:38:26</t>
  </si>
  <si>
    <t>2026-01-08 09:08:26</t>
  </si>
  <si>
    <t>T314DDJ =&gt; IDLING. At 08.01.2026 08:38:26 it moved with speed 0 km/h near 'T1, Morogoro, Tanzania, Bwawani'.</t>
  </si>
  <si>
    <t>2026-01-08 09:30:36</t>
  </si>
  <si>
    <t>2026-01-08 10:00:36</t>
  </si>
  <si>
    <t>T337EBX =&gt; IDLING. At 08.01.2026 09:30:36 it moved with speed 0 km/h near 'Great North Road, Muchinga Province, Zambia, 16.57 km from Godfrey Kunda'.</t>
  </si>
  <si>
    <t>Great North Road, 16.57 km from Godfrey Kunda</t>
  </si>
  <si>
    <t>2026-01-08 08:49:32</t>
  </si>
  <si>
    <t>2026-01-08 09:19:34</t>
  </si>
  <si>
    <t>T350DHG =&gt; IDLING. At 08.01.2026 08:49:32 it moved with speed 0 km/h near 'T1, Morogoro, Tanzania, 3.60 km from Bwawani'.</t>
  </si>
  <si>
    <t>T1, 3.60 km from Bwawani</t>
  </si>
  <si>
    <t>2026-01-08 11:03:46</t>
  </si>
  <si>
    <t>2026-01-08 11:33:50</t>
  </si>
  <si>
    <t>T360DHG =&gt; IDLING. At 08.01.2026 11:03:46 it moved with speed 0 km/h near 'Ndola - Kitwe Dual-Carriageway, Copperbelt Province, Zambia, 33.18 km from Ndola'.</t>
  </si>
  <si>
    <t>2026-01-08 09:00:49</t>
  </si>
  <si>
    <t>2026-01-08 09:38:03</t>
  </si>
  <si>
    <t>T386ECN =&gt; IDLING. At 08.01.2026 09:00:49 it moved with speed 0 km/h near 'Tanzania To Zambia Road, Iringa, Mufindi, Tanzania, Tanangozi'.</t>
  </si>
  <si>
    <t>2026-01-08 09:15:48</t>
  </si>
  <si>
    <t>2026-01-08 09:45:48</t>
  </si>
  <si>
    <t>T425DHG =&gt; IDLING. At 08.01.2026 09:15:48 it moved with speed 0 km/h near 'Tanzam Road, Mbeya, Kalobe, Tanzania, 2.40 km from Mbeya'.</t>
  </si>
  <si>
    <t>2026-01-08 10:47:03</t>
  </si>
  <si>
    <t>2026-01-08 11:17:04</t>
  </si>
  <si>
    <t>T510EBY =&gt; IDLING. At 08.01.2026 10:47:03 it moved with speed 0 km/h near 'Great North Road, Central Province, Zambia, 3.30 km from Mkushi'.</t>
  </si>
  <si>
    <t>2026-01-08 13:29:57</t>
  </si>
  <si>
    <t>2026-01-08 14:00:01</t>
  </si>
  <si>
    <t>T518EBY =&gt; IDLING. At 08.01.2026 13:29:57 it moved with speed 0 km/h near 'T1, Pwani, Bagamoyo, Tanzania, Msolwa'.</t>
  </si>
  <si>
    <t>2026-01-08 18:36:40</t>
  </si>
  <si>
    <t>2026-01-08 19:06:41</t>
  </si>
  <si>
    <t>T579DTQ =&gt; IDLING. At 08.01.2026 18:36:40 it moved with speed 0 km/h near 'Morogoro Main Road, Dar Es Salaam, Tanzania'.</t>
  </si>
  <si>
    <t>2026-01-08 09:48:12</t>
  </si>
  <si>
    <t>2026-01-08 10:18:14</t>
  </si>
  <si>
    <t>T584DYR =&gt; IDLING. At 08.01.2026 09:48:12 it moved with speed 0 km/h near 'Iringa Road, Iringa, Tanzania, 6.97 km from Mahenge'.</t>
  </si>
  <si>
    <t>Iringa Road, 6.97 km from Mahenge</t>
  </si>
  <si>
    <t>2026-01-08 11:03:40</t>
  </si>
  <si>
    <t>2026-01-08 11:33:40</t>
  </si>
  <si>
    <t>T678EBX =&gt; IDLING. At 08.01.2026 11:03:40 it moved with speed 0 km/h near 'Ndola - Kitwe Dual-Carriageway, Copperbelt Province, Zambia, 33.20 km from Ndola'.</t>
  </si>
  <si>
    <t>2026-01-08 10:06:49</t>
  </si>
  <si>
    <t>2026-01-08 10:36:49</t>
  </si>
  <si>
    <t>T721DEB =&gt; IDLING. At 08.01.2026 10:06:49 it moved with speed 0 km/h near 'T1, Mbeya, Mbozi, Tanzania, 2.37 km from Idiga Songwe'.</t>
  </si>
  <si>
    <t>T1, 2.37 km from Idiga Songwe</t>
  </si>
  <si>
    <t>2026-01-08 09:49:35</t>
  </si>
  <si>
    <t>2026-01-08 10:19:36</t>
  </si>
  <si>
    <t>T724DYR =&gt; IDLING. At 08.01.2026 09:49:35 it moved with speed 0 km/h near 'Iringa Road, Iringa, Tanzania, Masukanzi'.</t>
  </si>
  <si>
    <t>2026-01-08 13:21:00</t>
  </si>
  <si>
    <t>2026-01-08 13:51:00</t>
  </si>
  <si>
    <t>T770DYR =&gt; IDLING. At 08.01.2026 13:21:00 it moved with speed 0 km/h near 'T3, Copperbelt Province, Zambia, 4.56 km from Momba'.</t>
  </si>
  <si>
    <t>T3, 4.56 km from Momba</t>
  </si>
  <si>
    <t>2026-01-08 08:15:04</t>
  </si>
  <si>
    <t>2026-01-08 08:45:06</t>
  </si>
  <si>
    <t>T804EBW =&gt; IDLING. At 08.01.2026 08:15:04 it moved with speed 0 km/h near 'Tanzam Road, Mbeya, Kalobe, Tanzania, 2.37 km from Mbeya'.</t>
  </si>
  <si>
    <t>2026-01-08 10:06:51</t>
  </si>
  <si>
    <t>2026-01-08 10:36:54</t>
  </si>
  <si>
    <t>T873EBW =&gt; IDLING. At 08.01.2026 10:06:51 it moved with speed 0 km/h near 'T1, Mbeya, Mbozi, Tanzania, 2.35 km from Idiga Songwe'.</t>
  </si>
  <si>
    <t>T1, 2.35 km from Idiga Songwe</t>
  </si>
  <si>
    <t>2026-01-08 08:03:39</t>
  </si>
  <si>
    <t>2026-01-08 08:33:40</t>
  </si>
  <si>
    <t>T910EBW =&gt; IDLING. At 08.01.2026 08:03:39 it moved with speed 0 km/h near 'T3, Copperbelt Province, Zambia, 4.48 km from Momba'.</t>
  </si>
  <si>
    <t>T3, 4.48 km from Momba</t>
  </si>
  <si>
    <t>2026-01-08 09:21:06</t>
  </si>
  <si>
    <t>2026-01-08 09:51:10</t>
  </si>
  <si>
    <t>T927EBW =&gt; IDLING. At 08.01.2026 09:21:06 it moved with speed 0 km/h near 'Iringa Road, Morogoro, Tanzania, 3.23 km from Kipera'.</t>
  </si>
  <si>
    <t>2026-01-08 14:50:42</t>
  </si>
  <si>
    <t>2026-01-08 15:20:44</t>
  </si>
  <si>
    <t>T950EBW =&gt; IDLING. At 08.01.2026 14:50:42 it moved with speed 0 km/h near 'T1, Njombe, Tanzania, 2.34 km from Iyai'.</t>
  </si>
  <si>
    <t>T1, 2.34 km from Iyai</t>
  </si>
  <si>
    <t>2026-01-08 18:32:18</t>
  </si>
  <si>
    <t>2026-01-08 19:02:19</t>
  </si>
  <si>
    <t>T955DSX =&gt; IDLING. At 08.01.2026 18:32:18 it moved with speed 0 km/h near 'Ndola - Kitwe Dual-Carriageway, Copperbelt Province, Zambia, 33.22 km from Ndola'.</t>
  </si>
  <si>
    <t>2026-01-08 15:30:40</t>
  </si>
  <si>
    <t>2026-01-08 16:00:40</t>
  </si>
  <si>
    <t>T959DSX =&gt; IDLING. At 08.01.2026 15:30:40 it moved with speed 0 km/h near 'Tanzam Road, Mbeya, Mbozi, Tanzania, Mbalizi'.</t>
  </si>
  <si>
    <t>2026-01-08 07:53:58</t>
  </si>
  <si>
    <t>2026-01-08 08:24:03</t>
  </si>
  <si>
    <t>T993EBW =&gt; IDLING. At 08.01.2026 07:53:58 it moved with speed 0 km/h near 'T3, Copperbelt Province, Zambia, 4.69 km from Momba'.</t>
  </si>
  <si>
    <t>T3, 4.69 km from Momba</t>
  </si>
  <si>
    <t>2026-01-08 09:17:31</t>
  </si>
  <si>
    <t>T127EBX: Harsh braking has been activated. At 08.01.2026 09:17:31 it moved with speed 56 km/h near 'Great North Road, Central Province, Zambia, 2.15 km from Kanona'.</t>
  </si>
  <si>
    <t>Great North Road, Zambia, Central Province, 2.15 km from Kanona</t>
  </si>
  <si>
    <t>2026-01-08 12:47:45</t>
  </si>
  <si>
    <t>T153EBX: Harsh braking has been activated. At 08.01.2026 12:47:45 it moved with speed 56 km/h near 'Iringa Road, Morogoro, Kilosa, Tanzania, 2.50 km from Msosa'.</t>
  </si>
  <si>
    <t>Iringa Road, Tanzania, Morogoro, Kilosa, 2.50 km from Msosa</t>
  </si>
  <si>
    <t>2026-01-08 15:54:07</t>
  </si>
  <si>
    <t>T510EBY: Harsh braking has been activated. At 08.01.2026 15:54:07 it moved with speed 52 km/h near 'T3, Copperbelt Province, Zambia, 2.15 km from Tonde'.</t>
  </si>
  <si>
    <t>T3, Zambia, Copperbelt Province, 2.15 km from Tonde</t>
  </si>
  <si>
    <t>2026-01-08 06:49:09</t>
  </si>
  <si>
    <t>T518EBY: Harsh braking has been activated. At 08.01.2026 06:49:09 it moved with speed 63 km/h near 'Iringa Road, Morogoro, Kilosa, Tanzania, 6.51 km from Igagala'.</t>
  </si>
  <si>
    <t>Iringa Road, Tanzania, Morogoro, Kilosa, 6.51 km from Igagala</t>
  </si>
  <si>
    <t>2026-01-08 09:31:16</t>
  </si>
  <si>
    <t>T712DYR: Harsh braking has been activated. At 08.01.2026 09:31:16 it moved with speed 60 km/h near 'Great North Road, Central Province, Zambia, 8.42 km from Ndabala'.</t>
  </si>
  <si>
    <t>Great North Road, Zambia, Central Province, 8.42 km from Ndabala</t>
  </si>
  <si>
    <t>2026-01-08 11:16:22</t>
  </si>
  <si>
    <t>T720DYR: Harsh braking has been activated. At 08.01.2026 11:16:22 it moved with speed 54 km/h near 'Great North Road, Muchinga Province, Zambia, 4.12 km from Chifumbula'.</t>
  </si>
  <si>
    <t>Great North Road, Zambia, Muchinga Province, 4.12 km from Chifumbula</t>
  </si>
  <si>
    <t>2026-01-08 08:52:37</t>
  </si>
  <si>
    <t>T724DYR: Harsh braking has been activated. At 08.01.2026 08:52:37 it moved with speed 56 km/h near 'Dar - Mbeya Highway, Iringa, Tanzania, 1.57 km from Igumbilo'.</t>
  </si>
  <si>
    <t>Dar - Mbeya Highway, Tanzania, Iringa, 1.57 km from Igumbilo</t>
  </si>
  <si>
    <t>2026-01-08 10:01:08</t>
  </si>
  <si>
    <t>T728DYR: Harsh braking has been activated. At 08.01.2026 10:01:08 it moved with speed 53 km/h near 'Great North Road, Central Province, Zambia, 6.60 km from Mkushi River'.</t>
  </si>
  <si>
    <t>Great North Road, Zambia, Central Province, 6.60 km from Mkushi River</t>
  </si>
  <si>
    <t>2026-01-08 06:08:48</t>
  </si>
  <si>
    <t>T796DYR: Harsh braking has been activated. At 08.01.2026 06:08:48 it moved with speed 60 km/h near 'T1, Mbeya, Tanzania, 2.50 km from Lunwa'.</t>
  </si>
  <si>
    <t>T1, Tanzania, Mbeya, 2.50 km from Lunwa</t>
  </si>
  <si>
    <t>2026-01-08 10:06:10</t>
  </si>
  <si>
    <t>T907EBW: Harsh braking has been activated. At 08.01.2026 10:06:10 it moved with speed 51 km/h near 'Great North Road, Muchinga Province, Zambia, 10.51 km from Godfrey Kunda'.</t>
  </si>
  <si>
    <t>Great North Road, Zambia, Muchinga Province, 10.51 km from Godfrey Kunda</t>
  </si>
  <si>
    <t>2026-01-08 11:10:26</t>
  </si>
  <si>
    <t>T954EBW: Harsh braking has been activated. At 08.01.2026 11:10:26 it moved with speed 55 km/h near 'T1, Njombe, Tanzania, Idofi'.</t>
  </si>
  <si>
    <t>T1, Tanzania, Njombe, Idofi</t>
  </si>
  <si>
    <t>08.01.2026 01:12:27 pm</t>
  </si>
  <si>
    <t>Great North Road, Muchinga Province, Zambia, 16.00 km from Mukwikile</t>
  </si>
  <si>
    <t>08.01.2026 07:17:09 am</t>
  </si>
  <si>
    <t>CHILONGA ZAMBIA</t>
  </si>
  <si>
    <t>08.01.2026 01:36:18 pm</t>
  </si>
  <si>
    <t>08.01.2026 07:44:16 am</t>
  </si>
  <si>
    <t>Great North Road, Muchinga Province, Zambia, 16.62 km from Mukukwe</t>
  </si>
  <si>
    <t>08.01.2026 09:41:38 am</t>
  </si>
  <si>
    <t>Iringa Road, Morogoro, Tanzania, 4.47 km from Mtipule</t>
  </si>
  <si>
    <t>08.01.2026 04:19:02 pm</t>
  </si>
  <si>
    <t>T1, Morogoro, Tanzania, 2.07 km from Bwawani</t>
  </si>
  <si>
    <t>08.01.2026 11:57:37 am</t>
  </si>
  <si>
    <t>08.01.2026 08:37:21 am</t>
  </si>
  <si>
    <t>Great North Road, Muchinga Province, Zambia, 19.17 km from Mukukwe</t>
  </si>
  <si>
    <t>08.01.2026 11:16:58 am</t>
  </si>
  <si>
    <t>T1, Njombe, Tanzania, 7.00 km from Nyololo</t>
  </si>
  <si>
    <t>08.01.2026 01:03:04 pm</t>
  </si>
  <si>
    <t>Great North Road, Muchinga Province, Zambia, Rumbuka</t>
  </si>
  <si>
    <t>T287DDJ</t>
  </si>
  <si>
    <t>2026-01-08 05:08:17</t>
  </si>
  <si>
    <t>T8, Luala</t>
  </si>
  <si>
    <t>2026-01-08 08:41:35</t>
  </si>
  <si>
    <t>T8, 1.64 km from Kiwanja</t>
  </si>
  <si>
    <t>3:33:18</t>
  </si>
  <si>
    <t>2026-01-08 05:25:52</t>
  </si>
  <si>
    <t>Tanzam Road, 2.73 km from Mbeya</t>
  </si>
  <si>
    <t>2026-01-08 08:53:19</t>
  </si>
  <si>
    <t>T1, 2.28 km from Iyai</t>
  </si>
  <si>
    <t>3:27:27</t>
  </si>
  <si>
    <t>2026-01-08 04:55:44</t>
  </si>
  <si>
    <t>Morogoro Main Road, 1.51 km from Karabaka</t>
  </si>
  <si>
    <t>2026-01-08 06:38:50</t>
  </si>
  <si>
    <t>1:43:06</t>
  </si>
  <si>
    <t>2026-01-08 05:34:35</t>
  </si>
  <si>
    <t>Morogoro Main Road, 1.52 km from Karabaka</t>
  </si>
  <si>
    <t>0:55:44</t>
  </si>
  <si>
    <t>2026-01-08 05:44:33</t>
  </si>
  <si>
    <t>2026-01-08 07:56:24</t>
  </si>
  <si>
    <t>T1, Mayale</t>
  </si>
  <si>
    <t>2:11:51</t>
  </si>
  <si>
    <t>2026-01-08 05:26:56</t>
  </si>
  <si>
    <t>2026-01-08 19:23:07</t>
  </si>
  <si>
    <t>1:47:43</t>
  </si>
  <si>
    <t>08.01.2026</t>
  </si>
  <si>
    <t>2026-01-08</t>
  </si>
  <si>
    <t>T175EBX</t>
  </si>
  <si>
    <t>2026-01-09 09:12:16</t>
  </si>
  <si>
    <t>T175EBX: Harsh braking has been activated. At 09.01.2026 09:12:16 it moved with speed 68 km/h near 'Iringa Road, Morogoro, Kilosa, Tanzania, 13.69 km from Maharaka'.</t>
  </si>
  <si>
    <t>Iringa Road, Tanzania, Morogoro, Kilosa, 13.69 km from Maharaka</t>
  </si>
  <si>
    <t>2026-01-09 08:26:10</t>
  </si>
  <si>
    <t>T319EBY: Harsh braking has been activated. At 09.01.2026 08:26:10 it moved with speed 62 km/h near 'Great North Road, Muchinga Province, Zambia, 9.02 km from Musata'.</t>
  </si>
  <si>
    <t>Great North Road, Zambia, Muchinga Province, 9.02 km from Musata</t>
  </si>
  <si>
    <t>2026-01-09 08:58:57</t>
  </si>
  <si>
    <t>T331EBX: Harsh braking has been activated. At 09.01.2026 08:58:57 it moved with speed 51 km/h near 'T3, Copperbelt Province, Zambia, 3.27 km from Pukota'.</t>
  </si>
  <si>
    <t>T3, Zambia, Copperbelt Province, 3.27 km from Pukota</t>
  </si>
  <si>
    <t>T508EBY</t>
  </si>
  <si>
    <t>2026-01-09 12:57:36</t>
  </si>
  <si>
    <t>T508EBY: Harsh braking has been activated. At 09.01.2026 12:57:36 it moved with speed 51 km/h near 'Rn1, Haut-Katanga, Democratic Republic of the Congo, 44.23 km from Lubumbashi'.</t>
  </si>
  <si>
    <t>Rn1, Democratic Republic of the Congo, Haut-Katanga, 44.23 km from Lubumbashi</t>
  </si>
  <si>
    <t>T521EBY</t>
  </si>
  <si>
    <t>2026-01-09 07:06:30</t>
  </si>
  <si>
    <t>T521EBY: Harsh braking has been activated. At 09.01.2026 07:06:30 it moved with speed 53 km/h near 'Great North Road, Muchinga Province, Zambia, 10.36 km from Godfrey Kunda'.</t>
  </si>
  <si>
    <t>Great North Road, Zambia, Muchinga Province, 10.36 km from Godfrey Kunda</t>
  </si>
  <si>
    <t>T663DTQ</t>
  </si>
  <si>
    <t>2026-01-09 15:58:55</t>
  </si>
  <si>
    <t>T663DTQ: Harsh braking has been activated. At 09.01.2026 15:58:55 it moved with speed 65 km/h near 'T1, Morogoro, Tanzania, 2.77 km from Bwawani'.</t>
  </si>
  <si>
    <t>T1, Tanzania, Morogoro, 2.77 km from Bwawani</t>
  </si>
  <si>
    <t>2026-01-09 10:47:58</t>
  </si>
  <si>
    <t>T720DYR: Harsh braking has been activated. At 09.01.2026 10:47:58 it moved with speed 66 km/h near 'Great North Road, Muchinga Province, Zambia, 10.65 km from Chinunda'.</t>
  </si>
  <si>
    <t>Great North Road, Zambia, Muchinga Province, 10.65 km from Chinunda</t>
  </si>
  <si>
    <t>T732EBX</t>
  </si>
  <si>
    <t>2026-01-09 08:13:30</t>
  </si>
  <si>
    <t>T732EBX: Harsh braking has been activated. At 09.01.2026 08:13:30 it moved with speed 59 km/h near 'T3, Copperbelt Province, Zambia, 53.11 km from Ndola'.</t>
  </si>
  <si>
    <t>T3, Zambia, Copperbelt Province, 53.11 km from Ndola</t>
  </si>
  <si>
    <t>2026-01-09 06:33:23</t>
  </si>
  <si>
    <t>T796DYR: Harsh braking has been activated. At 09.01.2026 06:33:23 it moved with speed 53 km/h near 'Iringa Road, Morogoro, Kilosa, Tanzania, 3.99 km from Tambuka Reli'.</t>
  </si>
  <si>
    <t>Iringa Road, Tanzania, Morogoro, Kilosa, 3.99 km from Tambuka Reli</t>
  </si>
  <si>
    <t>2026-01-09 11:29:20</t>
  </si>
  <si>
    <t>T803EBW: Harsh braking has been activated. At 09.01.2026 11:29:20 it moved with speed 57 km/h near 'Rn1, Haut-Katanga, Democratic Republic of the Congo, 4.56 km from Lwambo'.</t>
  </si>
  <si>
    <t>Rn1, Democratic Republic of the Congo, Haut-Katanga, 4.56 km from Lwambo</t>
  </si>
  <si>
    <t>2026-01-09 08:44:04</t>
  </si>
  <si>
    <t>T812EBW: Harsh braking has been activated. At 09.01.2026 08:44:04 it moved with speed 56 km/h near 'T1, Njombe, Tanzania, 2.36 km from Idofi'.</t>
  </si>
  <si>
    <t>T1, Tanzania, Njombe, 2.36 km from Idofi</t>
  </si>
  <si>
    <t>2026-01-09 12:38:17</t>
  </si>
  <si>
    <t>T871EBW: Harsh braking has been activated. At 09.01.2026 12:38:17 it moved with speed 61 km/h near 'Rn1, Haut-Katanga, Democratic Republic of the Congo, 21.03 km from Tumbwe'.</t>
  </si>
  <si>
    <t>Rn1, Democratic Republic of the Congo, Haut-Katanga, 21.03 km from Tumbwe</t>
  </si>
  <si>
    <t>2026-01-09 17:14:30</t>
  </si>
  <si>
    <t>T873EBW: Harsh braking has been activated. At 09.01.2026 17:14:30 it moved with speed 80 km/h near 'Iringa Road, Morogoro, Kilosa, Tanzania, 8.71 km from Igagala'.</t>
  </si>
  <si>
    <t>Iringa Road, Tanzania, Morogoro, Kilosa, 8.71 km from Igagala</t>
  </si>
  <si>
    <t>2026-01-09 07:50:55</t>
  </si>
  <si>
    <t>T873EBY: Harsh braking has been activated. At 09.01.2026 07:50:55 it moved with speed 55 km/h near 'T2, Tanga, Handeni, Tanzania, Kitumbi'.</t>
  </si>
  <si>
    <t>T2, Tanzania, Tanga, Handeni, Kitumbi</t>
  </si>
  <si>
    <t>2026-01-09 06:59:00</t>
  </si>
  <si>
    <t>T907EBW: Harsh braking has been activated. At 09.01.2026 06:59:00 it moved with speed 67 km/h near 'Great North Road, Central Province, Zambia, 5.36 km from Kapiri Mposhi'.</t>
  </si>
  <si>
    <t>Great North Road, Zambia, Central Province, 5.36 km from Kapiri Mposhi</t>
  </si>
  <si>
    <t>2026-01-09 10:04:19</t>
  </si>
  <si>
    <t>2026-01-09 10:34:19</t>
  </si>
  <si>
    <t>T107EBX =&gt; IDLING. At 09.01.2026 10:04:19 it moved with speed 0 km/h near 'T1, Njombe, Tanzania, 1.48 km from Nyololo'.</t>
  </si>
  <si>
    <t>T1, 1.48 km from Nyololo</t>
  </si>
  <si>
    <t>T149EBX</t>
  </si>
  <si>
    <t>2026-01-09 06:47:51</t>
  </si>
  <si>
    <t>2026-01-09 07:17:55</t>
  </si>
  <si>
    <t>T149EBX =&gt; IDLING. At 09.01.2026 06:47:51 it moved with speed 0 km/h near 'T1, Mbeya, Tanzania, Makwenje'.</t>
  </si>
  <si>
    <t>T154EBX</t>
  </si>
  <si>
    <t>2026-01-09 12:16:41</t>
  </si>
  <si>
    <t>2026-01-09 12:46:43</t>
  </si>
  <si>
    <t>T154EBX =&gt; IDLING. At 09.01.2026 12:16:41 it moved with speed 0 km/h near 'Iringa Road, Lundamatwe, Iringa, Tanzania'.</t>
  </si>
  <si>
    <t>T335ECN</t>
  </si>
  <si>
    <t>2026-01-09 15:34:25</t>
  </si>
  <si>
    <t>2026-01-09 16:04:28</t>
  </si>
  <si>
    <t>T335ECN =&gt; IDLING. At 09.01.2026 15:34:25 it moved with speed 0 km/h near 'Rue De La Kamoa Mine, Lualaba, Democratic Republic of the Congo, 26.77 km from Kapata'.</t>
  </si>
  <si>
    <t>Rue De La Kamoa Mine, 26.77 km from Kapata</t>
  </si>
  <si>
    <t>2026-01-09 08:32:08</t>
  </si>
  <si>
    <t>2026-01-09 09:02:11</t>
  </si>
  <si>
    <t>T342DHG =&gt; IDLING. At 09.01.2026 08:32:08 it moved with speed 0 km/h near 'T1, Mbeya, Mbozi, Tanzania, Mlowo'.</t>
  </si>
  <si>
    <t>2026-01-09 09:35:49</t>
  </si>
  <si>
    <t>2026-01-09 10:05:49</t>
  </si>
  <si>
    <t>T343EBX =&gt; IDLING. At 09.01.2026 09:35:49 it moved with speed 0 km/h near 'Tanzam Road, Mbeya, Mbozi, Tanzania, 1.60 km from Mbalizi'.</t>
  </si>
  <si>
    <t>Tanzam Road, 1.60 km from Mbalizi</t>
  </si>
  <si>
    <t>2026-01-09 07:56:50</t>
  </si>
  <si>
    <t>2026-01-09 08:26:52</t>
  </si>
  <si>
    <t>T360DHG =&gt; IDLING. At 09.01.2026 07:56:50 it moved with speed 0 km/h near 'T3, Copperbelt Province, Zambia, 4.85 km from Momba'.</t>
  </si>
  <si>
    <t>T3, 4.85 km from Momba</t>
  </si>
  <si>
    <t>T407DHE</t>
  </si>
  <si>
    <t>2026-01-09 15:36:59</t>
  </si>
  <si>
    <t>2026-01-09 16:07:03</t>
  </si>
  <si>
    <t>T407DHE =&gt; IDLING. At 09.01.2026 15:36:59 it moved with speed 0 km/h near 'Rue De La Kamoa Mine, Lualaba, Democratic Republic of the Congo, 26.81 km from Kapata'.</t>
  </si>
  <si>
    <t>Rue De La Kamoa Mine, 26.81 km from Kapata</t>
  </si>
  <si>
    <t>T416DHG</t>
  </si>
  <si>
    <t>2026-01-09 08:02:02</t>
  </si>
  <si>
    <t>2026-01-09 08:32:02</t>
  </si>
  <si>
    <t>T416DHG =&gt; IDLING. At 09.01.2026 08:02:02 it moved with speed 0 km/h near 'Iringa Road, Morogoro, Kilosa, Tanzania, Kikwaraza'.</t>
  </si>
  <si>
    <t>2026-01-09 10:09:06</t>
  </si>
  <si>
    <t>2026-01-09 10:39:06</t>
  </si>
  <si>
    <t>T444DHG =&gt; IDLING. At 09.01.2026 10:09:06 it moved with speed 0 km/h near 'Ndola - Kitwe Dual-Carriageway, Copperbelt Province, Zambia, 33.18 km from Ndola'.</t>
  </si>
  <si>
    <t>T528EBY</t>
  </si>
  <si>
    <t>2026-01-09 10:37:35</t>
  </si>
  <si>
    <t>2026-01-09 11:07:38</t>
  </si>
  <si>
    <t>T528EBY =&gt; IDLING. At 09.01.2026 10:37:35 it moved with speed 0 km/h near 'Iringa Road, Morogoro, Tanzania, Doma'.</t>
  </si>
  <si>
    <t>T576DTQ</t>
  </si>
  <si>
    <t>2026-01-09 12:52:00</t>
  </si>
  <si>
    <t>2026-01-09 13:22:00</t>
  </si>
  <si>
    <t>T576DTQ =&gt; IDLING. At 09.01.2026 12:52:00 it moved with speed 0 km/h near 'T3, Central Province, Zambia, 6.95 km from Kapiri Mposhi'.</t>
  </si>
  <si>
    <t>T3, 6.95 km from Kapiri Mposhi</t>
  </si>
  <si>
    <t>2026-01-09 01:40:59</t>
  </si>
  <si>
    <t>2026-01-09 02:10:59</t>
  </si>
  <si>
    <t>T579DTQ =&gt; IDLING. At 09.01.2026 01:40:59 it moved with speed 0 km/h near 'Morogoro Main Road, Dar Es Salaam, Tanzania'.</t>
  </si>
  <si>
    <t>T600DTQ</t>
  </si>
  <si>
    <t>2026-01-09 07:28:24</t>
  </si>
  <si>
    <t>2026-01-09 07:58:28</t>
  </si>
  <si>
    <t>T600DTQ =&gt; IDLING. At 09.01.2026 07:28:24 it moved with speed 0 km/h near 'Tanzania To Zambia Road, Iringa, Mufindi, Tanzania, Kinyanambo'.</t>
  </si>
  <si>
    <t>T676EBX</t>
  </si>
  <si>
    <t>2026-01-09 12:16:56</t>
  </si>
  <si>
    <t>2026-01-09 12:46:58</t>
  </si>
  <si>
    <t>T676EBX =&gt; IDLING. At 09.01.2026 12:16:56 it moved with speed 0 km/h near 'Iringa Road, Lundamatwe, Iringa, Tanzania'.</t>
  </si>
  <si>
    <t>T680EBX</t>
  </si>
  <si>
    <t>2026-01-09 00:22:09</t>
  </si>
  <si>
    <t>2026-01-09 00:52:11</t>
  </si>
  <si>
    <t>T680EBX =&gt; IDLING. At 09.01.2026 00:22:09 it moved with speed 0 km/h near 'Iringa Road, Morogoro, Tanzania, Melela Mlandizi'.</t>
  </si>
  <si>
    <t>T703EBX</t>
  </si>
  <si>
    <t>2026-01-09 12:46:08</t>
  </si>
  <si>
    <t>2026-01-09 13:16:08</t>
  </si>
  <si>
    <t>T703EBX =&gt; IDLING. At 09.01.2026 12:46:08 it moved with speed 0 km/h near 'T3, Central Province, Zambia, 6.93 km from Kapiri Mposhi'.</t>
  </si>
  <si>
    <t>T3, 6.93 km from Kapiri Mposhi</t>
  </si>
  <si>
    <t>2026-01-09 01:29:21</t>
  </si>
  <si>
    <t>2026-01-09 01:59:22</t>
  </si>
  <si>
    <t>T728DYR =&gt; IDLING. At 09.01.2026 01:29:21 it moved with speed 0 km/h near 'T3, Copperbelt Province, Zambia, 6.13 km from Bancroft'.</t>
  </si>
  <si>
    <t>T3, 6.13 km from Bancroft</t>
  </si>
  <si>
    <t>2026-01-09 13:37:32</t>
  </si>
  <si>
    <t>2026-01-09 14:07:32</t>
  </si>
  <si>
    <t>T735EBX =&gt; IDLING. At 09.01.2026 13:37:32 it moved with speed 0 km/h near 'Rn1, Haut-Katanga, Democratic Republic of the Congo, 4.19 km from Lwambo'.</t>
  </si>
  <si>
    <t>Rn1, 4.19 km from Lwambo</t>
  </si>
  <si>
    <t>T781EBW</t>
  </si>
  <si>
    <t>2026-01-09 10:48:51</t>
  </si>
  <si>
    <t>2026-01-09 11:18:51</t>
  </si>
  <si>
    <t>T781EBW =&gt; IDLING. At 09.01.2026 10:48:51 it moved with speed 0 km/h near 'Route De Likasi, Lubumbashi, Haut-Katanga, Democratic Republic of the Congo'.</t>
  </si>
  <si>
    <t>Lubumbashi, Route De Likasi</t>
  </si>
  <si>
    <t>2026-01-09 09:10:08</t>
  </si>
  <si>
    <t>2026-01-09 09:40:11</t>
  </si>
  <si>
    <t>T796DYR =&gt; IDLING. At 09.01.2026 09:10:08 it moved with speed 0 km/h near 'T1, Morogoro, Tanzania, Mkambarani'.</t>
  </si>
  <si>
    <t>T1, Mkambarani</t>
  </si>
  <si>
    <t>T816DDS</t>
  </si>
  <si>
    <t>2026-01-09 11:49:52</t>
  </si>
  <si>
    <t>2026-01-09 12:19:54</t>
  </si>
  <si>
    <t>T816DDS =&gt; IDLING. At 09.01.2026 11:49:52 it moved with speed 0 km/h near 'T1, Morogoro, Tanzania, 1.60 km from Ubenazomozi'.</t>
  </si>
  <si>
    <t>T1, 1.60 km from Ubenazomozi</t>
  </si>
  <si>
    <t>2026-01-09 09:47:52</t>
  </si>
  <si>
    <t>2026-01-09 10:17:54</t>
  </si>
  <si>
    <t>T835EBY =&gt; IDLING. At 09.01.2026 09:47:52 it moved with speed 0 km/h near 'Tanzam Road, Mbeya, Kalobe, Tanzania, 2.37 km from Mbeya'.</t>
  </si>
  <si>
    <t>2026-01-09 10:25:47</t>
  </si>
  <si>
    <t>2026-01-09 10:55:47</t>
  </si>
  <si>
    <t>T873EBY =&gt; IDLING. At 09.01.2026 10:25:47 it moved with speed 0 km/h near 'T2, Pwani, Bagamoyo, Tanzania, Lugoba'.</t>
  </si>
  <si>
    <t>T2, Lugoba</t>
  </si>
  <si>
    <t>2026-01-09 11:50:00</t>
  </si>
  <si>
    <t>2026-01-09 12:20:05</t>
  </si>
  <si>
    <t>T907EBW =&gt; IDLING. At 09.01.2026 11:50:00 it moved with speed 0 km/h near 'Ndola - Kitwe Dual-Carriageway, Copperbelt Province, Zambia, 33.22 km from Ndola'.</t>
  </si>
  <si>
    <t>2026-01-09 13:03:59</t>
  </si>
  <si>
    <t>2026-01-09 13:34:00</t>
  </si>
  <si>
    <t>T927EBW =&gt; IDLING. At 09.01.2026 13:03:59 it moved with speed 0 km/h near 'T1, Njombe, Tanzania, Igawa'.</t>
  </si>
  <si>
    <t>T942DSX</t>
  </si>
  <si>
    <t>2026-01-09 10:06:48</t>
  </si>
  <si>
    <t>2026-01-09 10:36:50</t>
  </si>
  <si>
    <t>T942DSX =&gt; IDLING. At 09.01.2026 10:06:48 it moved with speed 0 km/h near 'Dar - Mbeya Highway, Iringa, Tanzania, Ndiuka'.</t>
  </si>
  <si>
    <t>2026-01-09 09:18:45</t>
  </si>
  <si>
    <t>2026-01-09 09:48:45</t>
  </si>
  <si>
    <t>T950EBW =&gt; IDLING. At 09.01.2026 09:18:45 it moved with speed 0 km/h near 'Regional Hospital Road, Mbeya, Nzovwe, Tanzania, 2.40 km from Mbeya'.</t>
  </si>
  <si>
    <t>T955DSX =&gt; IDLING. At 09.01.2026 12:52:00 it moved with speed 0 km/h near 'T3, Central Province, Zambia, 6.90 km from Kapiri Mposhi'.</t>
  </si>
  <si>
    <t>T3, 6.90 km from Kapiri Mposhi</t>
  </si>
  <si>
    <t>2026-01-09 10:14:14</t>
  </si>
  <si>
    <t>2026-01-09 10:44:16</t>
  </si>
  <si>
    <t>T960DSX =&gt; IDLING. At 09.01.2026 10:14:14 it moved with speed 0 km/h near 'Ndola - Kitwe Dual-Carriageway, Copperbelt Province, Zambia, 33.22 km from Ndola'.</t>
  </si>
  <si>
    <t>09.01.2026 11:16:51 am</t>
  </si>
  <si>
    <t>2</t>
  </si>
  <si>
    <t>09.01.2026 05:37:47 pm</t>
  </si>
  <si>
    <t>CHINGOLA, ZAMBIA</t>
  </si>
  <si>
    <t>4</t>
  </si>
  <si>
    <t>09.01.2026 06:11:17 am</t>
  </si>
  <si>
    <t>104 km/h</t>
  </si>
  <si>
    <t>1</t>
  </si>
  <si>
    <t>T741EBX</t>
  </si>
  <si>
    <t>09.01.2026 10:45:07 am</t>
  </si>
  <si>
    <t>T791EBW</t>
  </si>
  <si>
    <t>09.01.2026 06:35:28 am</t>
  </si>
  <si>
    <t>Rn39, Lualaba, Democratic Republic of the Congo, Postolo</t>
  </si>
  <si>
    <t>T864EBY</t>
  </si>
  <si>
    <t>09.01.2026 05:26:40 pm</t>
  </si>
  <si>
    <t>09.01.2026 12:09:04 pm</t>
  </si>
  <si>
    <t>MKUSHI - MSHIMPOLU</t>
  </si>
  <si>
    <t>3</t>
  </si>
  <si>
    <t>T951DSX</t>
  </si>
  <si>
    <t>09.01.2026 06:36:21 am</t>
  </si>
  <si>
    <t>Rn39, Lualaba, Democratic Republic of the Congo, Kimilombe</t>
  </si>
  <si>
    <t>2026-01-09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</si>
</sst>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0"/>
    <numFmt numFmtId="165" formatCode="[$]hh:mm:ss;@" x16r2:formatCode16="[$-en-TZ,1]hh:mm:ss;@"/>
    <numFmt numFmtId="166" formatCode="[$-409]mmmm\-yy;@"/>
    <numFmt numFmtId="167" formatCode="[$-409]dd\-mmm\-yy;@"/>
    <numFmt numFmtId="168" formatCode="dd\.mm\.yyyy\ hh:mm:ss"/>
    <numFmt numFmtId="169" formatCode="#0&quot; km/h&quot;"/>
    <numFmt numFmtId="170" formatCode="[h]&quot; hours &quot;m&quot; minutes&quot;"/>
    <numFmt numFmtId="171" formatCode="0.00&quot; km&quot;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8"/>
      <color theme="1"/>
      <name val="Century Gothic"/>
      <family val="2"/>
    </font>
    <font>
      <sz val="8"/>
      <name val="Century Gothic"/>
      <family val="2"/>
    </font>
    <font>
      <sz val="8"/>
      <color theme="1" tint="0.14999847407452621"/>
      <name val="Century Gothic"/>
      <family val="2"/>
    </font>
    <font>
      <sz val="11"/>
      <color theme="1" tint="0.14999847407452621"/>
      <name val="Aptos Narrow"/>
      <family val="2"/>
      <scheme val="minor"/>
    </font>
    <font>
      <sz val="9"/>
      <color theme="1" tint="0.14999847407452621"/>
      <name val="Century Gothic"/>
      <family val="2"/>
    </font>
    <font>
      <sz val="8"/>
      <color theme="1" tint="0.1499984740745262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rgb="FFE1E1E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E1E1E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6" borderId="0" xfId="0" applyFill="1"/>
    <xf numFmtId="0" fontId="0" fillId="0" borderId="0" xfId="0" applyAlignment="1">
      <alignment horizontal="left"/>
    </xf>
    <xf numFmtId="0" fontId="3" fillId="0" borderId="0" xfId="0" applyFont="1"/>
    <xf numFmtId="0" fontId="4" fillId="5" borderId="1" xfId="0" applyFont="1" applyFill="1" applyBorder="1" applyAlignment="1">
      <alignment horizontal="left"/>
    </xf>
    <xf numFmtId="166" fontId="4" fillId="0" borderId="1" xfId="0" applyNumberFormat="1" applyFont="1" applyBorder="1" applyAlignment="1">
      <alignment horizontal="left"/>
    </xf>
    <xf numFmtId="167" fontId="4" fillId="0" borderId="1" xfId="0" applyNumberFormat="1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8" borderId="1" xfId="0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6" borderId="0" xfId="0" applyFill="1" applyAlignment="1">
      <alignment horizontal="center"/>
    </xf>
    <xf numFmtId="3" fontId="4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0" fillId="0" borderId="0" xfId="0" pivotButton="1"/>
    <xf numFmtId="0" fontId="5" fillId="0" borderId="0" xfId="0" applyFont="1"/>
    <xf numFmtId="164" fontId="5" fillId="11" borderId="5" xfId="0" applyNumberFormat="1" applyFont="1" applyFill="1" applyBorder="1" applyAlignment="1">
      <alignment horizontal="left" vertical="center"/>
    </xf>
    <xf numFmtId="164" fontId="5" fillId="11" borderId="1" xfId="0" applyNumberFormat="1" applyFont="1" applyFill="1" applyBorder="1" applyAlignment="1">
      <alignment horizontal="left" vertical="center"/>
    </xf>
    <xf numFmtId="168" fontId="5" fillId="11" borderId="5" xfId="0" applyNumberFormat="1" applyFont="1" applyFill="1" applyBorder="1" applyAlignment="1">
      <alignment horizontal="left" vertical="center"/>
    </xf>
    <xf numFmtId="168" fontId="5" fillId="11" borderId="1" xfId="0" applyNumberFormat="1" applyFont="1" applyFill="1" applyBorder="1" applyAlignment="1">
      <alignment horizontal="left" vertical="center"/>
    </xf>
    <xf numFmtId="170" fontId="5" fillId="11" borderId="1" xfId="0" applyNumberFormat="1" applyFont="1" applyFill="1" applyBorder="1" applyAlignment="1">
      <alignment horizontal="left" vertical="center"/>
    </xf>
    <xf numFmtId="171" fontId="5" fillId="11" borderId="1" xfId="0" applyNumberFormat="1" applyFont="1" applyFill="1" applyBorder="1" applyAlignment="1">
      <alignment horizontal="left" vertical="center"/>
    </xf>
    <xf numFmtId="170" fontId="5" fillId="11" borderId="5" xfId="0" applyNumberFormat="1" applyFont="1" applyFill="1" applyBorder="1" applyAlignment="1">
      <alignment horizontal="left" vertical="center"/>
    </xf>
    <xf numFmtId="171" fontId="5" fillId="11" borderId="5" xfId="0" applyNumberFormat="1" applyFont="1" applyFill="1" applyBorder="1" applyAlignment="1">
      <alignment horizontal="left" vertical="center"/>
    </xf>
    <xf numFmtId="164" fontId="7" fillId="12" borderId="3" xfId="0" applyNumberFormat="1" applyFont="1" applyFill="1" applyBorder="1" applyAlignment="1">
      <alignment horizontal="left" vertical="center" wrapText="1"/>
    </xf>
    <xf numFmtId="165" fontId="7" fillId="12" borderId="3" xfId="0" applyNumberFormat="1" applyFont="1" applyFill="1" applyBorder="1" applyAlignment="1">
      <alignment horizontal="left" vertical="center" wrapText="1"/>
    </xf>
    <xf numFmtId="1" fontId="7" fillId="12" borderId="3" xfId="0" applyNumberFormat="1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164" fontId="7" fillId="12" borderId="2" xfId="0" applyNumberFormat="1" applyFont="1" applyFill="1" applyBorder="1" applyAlignment="1">
      <alignment horizontal="left" vertical="center" wrapText="1"/>
    </xf>
    <xf numFmtId="164" fontId="5" fillId="11" borderId="8" xfId="0" applyNumberFormat="1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/>
    </xf>
    <xf numFmtId="164" fontId="5" fillId="6" borderId="8" xfId="0" applyNumberFormat="1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left" vertical="center"/>
    </xf>
    <xf numFmtId="168" fontId="5" fillId="6" borderId="1" xfId="0" applyNumberFormat="1" applyFont="1" applyFill="1" applyBorder="1" applyAlignment="1">
      <alignment horizontal="left" vertical="center"/>
    </xf>
    <xf numFmtId="170" fontId="5" fillId="6" borderId="1" xfId="0" applyNumberFormat="1" applyFont="1" applyFill="1" applyBorder="1" applyAlignment="1">
      <alignment horizontal="left" vertical="center"/>
    </xf>
    <xf numFmtId="171" fontId="5" fillId="6" borderId="1" xfId="0" applyNumberFormat="1" applyFont="1" applyFill="1" applyBorder="1" applyAlignment="1">
      <alignment horizontal="left" vertical="center"/>
    </xf>
    <xf numFmtId="164" fontId="5" fillId="11" borderId="7" xfId="0" applyNumberFormat="1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 vertical="center"/>
    </xf>
    <xf numFmtId="164" fontId="7" fillId="3" borderId="3" xfId="0" applyNumberFormat="1" applyFont="1" applyFill="1" applyBorder="1" applyAlignment="1">
      <alignment horizontal="left" vertical="center"/>
    </xf>
    <xf numFmtId="164" fontId="7" fillId="3" borderId="4" xfId="0" applyNumberFormat="1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left" vertical="center"/>
    </xf>
    <xf numFmtId="164" fontId="7" fillId="3" borderId="2" xfId="0" applyNumberFormat="1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left"/>
    </xf>
    <xf numFmtId="164" fontId="7" fillId="10" borderId="1" xfId="0" applyNumberFormat="1" applyFont="1" applyFill="1" applyBorder="1" applyAlignment="1">
      <alignment horizontal="left" vertical="center"/>
    </xf>
    <xf numFmtId="168" fontId="7" fillId="10" borderId="1" xfId="0" applyNumberFormat="1" applyFont="1" applyFill="1" applyBorder="1" applyAlignment="1">
      <alignment horizontal="left" vertical="center"/>
    </xf>
    <xf numFmtId="168" fontId="7" fillId="10" borderId="9" xfId="0" applyNumberFormat="1" applyFont="1" applyFill="1" applyBorder="1" applyAlignment="1">
      <alignment horizontal="left" vertical="center"/>
    </xf>
    <xf numFmtId="169" fontId="7" fillId="9" borderId="1" xfId="0" applyNumberFormat="1" applyFont="1" applyFill="1" applyBorder="1" applyAlignment="1">
      <alignment horizontal="left" vertical="center"/>
    </xf>
    <xf numFmtId="164" fontId="7" fillId="10" borderId="8" xfId="0" applyNumberFormat="1" applyFont="1" applyFill="1" applyBorder="1" applyAlignment="1">
      <alignment horizontal="left" vertical="center"/>
    </xf>
    <xf numFmtId="169" fontId="7" fillId="10" borderId="1" xfId="0" applyNumberFormat="1" applyFont="1" applyFill="1" applyBorder="1" applyAlignment="1">
      <alignment horizontal="left" vertical="center"/>
    </xf>
    <xf numFmtId="164" fontId="7" fillId="10" borderId="9" xfId="0" applyNumberFormat="1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/>
    </xf>
    <xf numFmtId="164" fontId="7" fillId="10" borderId="5" xfId="0" applyNumberFormat="1" applyFont="1" applyFill="1" applyBorder="1" applyAlignment="1">
      <alignment horizontal="left" vertical="center"/>
    </xf>
    <xf numFmtId="168" fontId="7" fillId="10" borderId="5" xfId="0" applyNumberFormat="1" applyFont="1" applyFill="1" applyBorder="1" applyAlignment="1">
      <alignment horizontal="left" vertical="center"/>
    </xf>
    <xf numFmtId="168" fontId="7" fillId="10" borderId="6" xfId="0" applyNumberFormat="1" applyFont="1" applyFill="1" applyBorder="1" applyAlignment="1">
      <alignment horizontal="left" vertical="center"/>
    </xf>
    <xf numFmtId="164" fontId="7" fillId="10" borderId="7" xfId="0" applyNumberFormat="1" applyFont="1" applyFill="1" applyBorder="1" applyAlignment="1">
      <alignment horizontal="left" vertical="center"/>
    </xf>
    <xf numFmtId="169" fontId="7" fillId="10" borderId="5" xfId="0" applyNumberFormat="1" applyFont="1" applyFill="1" applyBorder="1" applyAlignment="1">
      <alignment horizontal="left" vertical="center"/>
    </xf>
    <xf numFmtId="164" fontId="7" fillId="10" borderId="6" xfId="0" applyNumberFormat="1" applyFont="1" applyFill="1" applyBorder="1" applyAlignment="1">
      <alignment horizontal="left" vertical="center"/>
    </xf>
    <xf numFmtId="0" fontId="7" fillId="0" borderId="0" xfId="0" applyFont="1"/>
    <xf numFmtId="169" fontId="9" fillId="9" borderId="1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6" borderId="8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164" fontId="7" fillId="6" borderId="1" xfId="0" applyNumberFormat="1" applyFont="1" applyFill="1" applyBorder="1" applyAlignment="1">
      <alignment horizontal="left"/>
    </xf>
    <xf numFmtId="168" fontId="7" fillId="6" borderId="1" xfId="0" applyNumberFormat="1" applyFont="1" applyFill="1" applyBorder="1" applyAlignment="1">
      <alignment horizontal="left"/>
    </xf>
    <xf numFmtId="0" fontId="7" fillId="6" borderId="0" xfId="0" applyFont="1" applyFill="1" applyAlignment="1">
      <alignment horizontal="left"/>
    </xf>
    <xf numFmtId="0" fontId="7" fillId="6" borderId="5" xfId="0" applyFont="1" applyFill="1" applyBorder="1" applyAlignment="1">
      <alignment horizontal="left"/>
    </xf>
    <xf numFmtId="164" fontId="7" fillId="6" borderId="5" xfId="0" applyNumberFormat="1" applyFont="1" applyFill="1" applyBorder="1" applyAlignment="1">
      <alignment horizontal="left"/>
    </xf>
    <xf numFmtId="168" fontId="7" fillId="6" borderId="5" xfId="0" applyNumberFormat="1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0" fontId="8" fillId="6" borderId="0" xfId="0" applyFont="1" applyFill="1"/>
    <xf numFmtId="0" fontId="7" fillId="6" borderId="9" xfId="0" applyFont="1" applyFill="1" applyBorder="1" applyAlignment="1">
      <alignment horizontal="left"/>
    </xf>
    <xf numFmtId="0" fontId="7" fillId="6" borderId="1" xfId="0" applyFont="1" applyFill="1" applyBorder="1"/>
    <xf numFmtId="0" fontId="7" fillId="6" borderId="6" xfId="0" applyFont="1" applyFill="1" applyBorder="1" applyAlignment="1">
      <alignment horizontal="left"/>
    </xf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5" fillId="2" borderId="1" xfId="0" applyFont="1" applyFill="1" applyBorder="1"/>
    <xf numFmtId="0" fontId="7" fillId="6" borderId="7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71" formatCode="0.00&quot; km&quot;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70" formatCode="[h]&quot; hours &quot;m&quot; minutes&quot;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#0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8" formatCode="dd\.mm\.yyyy\ hh:mm:ss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#0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8" formatCode="dd\.mm\.yyyy\ hh:mm:ss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8" formatCode="dd\.mm\.yyyy\ hh:mm:ss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#0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#0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#0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#0"/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fill>
        <patternFill patternType="solid">
          <fgColor rgb="FFF2F2F2"/>
          <bgColor theme="0"/>
        </patternFill>
      </fill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bgColor rgb="FFFFFF00"/>
        </patternFill>
      </fill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64646"/>
        <name val="Arial"/>
        <scheme val="none"/>
      </font>
      <numFmt numFmtId="164" formatCode="#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4" formatCode="#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64646"/>
        <name val="Arial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9" formatCode="#0&quot; km/h&quot;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64646"/>
        <name val="Arial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4" formatCode="#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8" formatCode="dd\.mm\.yyyy\ hh:mm:ss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64646"/>
        <name val="Arial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8" formatCode="dd\.mm\.yyyy\ hh:mm:ss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64646"/>
        <name val="Arial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8" formatCode="dd\.mm\.yyyy\ hh:mm:ss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64646"/>
        <name val="Arial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8" formatCode="dd\.mm\.yyyy\ hh:mm:ss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64646"/>
        <name val="Arial"/>
        <scheme val="none"/>
      </font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4" formatCode="#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4" formatCode="#0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4" formatCode="#0"/>
      <fill>
        <patternFill patternType="solid">
          <fgColor rgb="FFE1E1E1"/>
          <bgColor theme="7" tint="0.399975585192419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8" formatCode="dd\.mm\.yyyy\ hh:mm:ss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numFmt numFmtId="168" formatCode="dd\.mm\.yyyy\ hh:mm:ss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entury Gothic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HARSH BRAKE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5-4CDA-8864-BD95A28579D9}"/>
            </c:ext>
          </c:extLst>
        </c:ser>
        <c:ser>
          <c:idx val="1"/>
          <c:order val="1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5-4CDA-8864-BD95A28579D9}"/>
            </c:ext>
          </c:extLst>
        </c:ser>
        <c:ser>
          <c:idx val="2"/>
          <c:order val="2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85-4CDA-8864-BD95A28579D9}"/>
            </c:ext>
          </c:extLst>
        </c:ser>
        <c:ser>
          <c:idx val="3"/>
          <c:order val="3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85-4CDA-8864-BD95A28579D9}"/>
            </c:ext>
          </c:extLst>
        </c:ser>
        <c:ser>
          <c:idx val="4"/>
          <c:order val="4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85-4CDA-8864-BD95A28579D9}"/>
            </c:ext>
          </c:extLst>
        </c:ser>
        <c:ser>
          <c:idx val="5"/>
          <c:order val="5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85-4CDA-8864-BD95A28579D9}"/>
            </c:ext>
          </c:extLst>
        </c:ser>
        <c:ser>
          <c:idx val="6"/>
          <c:order val="6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85-4CDA-8864-BD95A2857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503680"/>
        <c:axId val="1150497920"/>
      </c:barChart>
      <c:scatterChart>
        <c:scatterStyle val="lineMarker"/>
        <c:varyColors val="0"/>
        <c:ser>
          <c:idx val="7"/>
          <c:order val="7"/>
          <c:tx>
            <c:v>AVERAGE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0.9"/>
            <c:spPr>
              <a:noFill/>
              <a:ln w="19050" cap="flat" cmpd="sng" algn="ctr">
                <a:solidFill>
                  <a:srgbClr val="FF0000"/>
                </a:solidFill>
                <a:prstDash val="dashDot"/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0.5</c:v>
              </c:pt>
            </c:numLit>
          </c:xVal>
          <c:y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F85-4CDA-8864-BD95A2857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503680"/>
        <c:axId val="1150497920"/>
      </c:scatterChart>
      <c:catAx>
        <c:axId val="115050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97920"/>
        <c:crosses val="autoZero"/>
        <c:auto val="1"/>
        <c:lblAlgn val="ctr"/>
        <c:lblOffset val="100"/>
        <c:noMultiLvlLbl val="0"/>
      </c:catAx>
      <c:valAx>
        <c:axId val="115049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0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Exceeded idle</a:t>
            </a:r>
          </a:p>
        </c:rich>
      </c:tx>
      <c:layout>
        <c:manualLayout>
          <c:xMode val="edge"/>
          <c:yMode val="edge"/>
          <c:x val="0.4118678915135607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C-43D3-BE4F-CAC45D6E4446}"/>
            </c:ext>
          </c:extLst>
        </c:ser>
        <c:ser>
          <c:idx val="1"/>
          <c:order val="1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C-43D3-BE4F-CAC45D6E4446}"/>
            </c:ext>
          </c:extLst>
        </c:ser>
        <c:ser>
          <c:idx val="2"/>
          <c:order val="2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5C-43D3-BE4F-CAC45D6E4446}"/>
            </c:ext>
          </c:extLst>
        </c:ser>
        <c:ser>
          <c:idx val="3"/>
          <c:order val="3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5C-43D3-BE4F-CAC45D6E4446}"/>
            </c:ext>
          </c:extLst>
        </c:ser>
        <c:ser>
          <c:idx val="4"/>
          <c:order val="4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5C-43D3-BE4F-CAC45D6E4446}"/>
            </c:ext>
          </c:extLst>
        </c:ser>
        <c:ser>
          <c:idx val="5"/>
          <c:order val="5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5C-43D3-BE4F-CAC45D6E4446}"/>
            </c:ext>
          </c:extLst>
        </c:ser>
        <c:ser>
          <c:idx val="6"/>
          <c:order val="6"/>
          <c:tx>
            <c:strRef>
              <c:f>'OVERALL SUMMARY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5C-43D3-BE4F-CAC45D6E4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824304"/>
        <c:axId val="1144824784"/>
      </c:barChart>
      <c:scatterChart>
        <c:scatterStyle val="lineMarker"/>
        <c:varyColors val="0"/>
        <c:ser>
          <c:idx val="7"/>
          <c:order val="7"/>
          <c:tx>
            <c:v>AVERAGE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1"/>
            <c:val val="0.95000000000000007"/>
            <c:spPr>
              <a:noFill/>
              <a:ln w="25400" cap="flat" cmpd="sng" algn="ctr">
                <a:solidFill>
                  <a:srgbClr val="FF0000"/>
                </a:solidFill>
                <a:prstDash val="dashDot"/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0.5</c:v>
              </c:pt>
            </c:numLit>
          </c:xVal>
          <c:yVal>
            <c:numRef>
              <c:f>'OVERALL SUMMARY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05C-43D3-BE4F-CAC45D6E4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824304"/>
        <c:axId val="1144824784"/>
      </c:scatterChart>
      <c:catAx>
        <c:axId val="11448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824784"/>
        <c:crosses val="autoZero"/>
        <c:auto val="1"/>
        <c:lblAlgn val="ctr"/>
        <c:lblOffset val="100"/>
        <c:noMultiLvlLbl val="0"/>
      </c:catAx>
      <c:valAx>
        <c:axId val="114482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82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OFFENSE</a:t>
            </a:r>
            <a:r>
              <a:rPr lang="en-US" baseline="0"/>
              <a:t> report 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9020289448551756"/>
          <c:y val="2.6545316647705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414470672206064E-2"/>
          <c:y val="0.30001042455747756"/>
          <c:w val="0.95893990294886156"/>
          <c:h val="0.62435749285605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SUMMARY '!$C$2</c:f>
              <c:strCache>
                <c:ptCount val="1"/>
                <c:pt idx="0">
                  <c:v>Night driving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F2983B7-69B1-4DAB-A440-5F08EFCDA5B0}" type="VALUE">
                      <a:rPr lang="en-US" sz="1050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E3AD-4D46-96D5-CA3E79EC08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AE2A69D-E8D3-400C-AE28-440EF5C3A4D7}" type="VALUE">
                      <a:rPr lang="en-US" sz="1000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E3AD-4D46-96D5-CA3E79EC08D6}"/>
                </c:ext>
              </c:extLst>
            </c:dLbl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JANUARY MONTH 2026</c:v>
                </c:pt>
                <c:pt idx="1">
                  <c:v>08-Jan-26</c:v>
                </c:pt>
              </c:strCache>
            </c:strRef>
          </c:cat>
          <c:val>
            <c:numRef>
              <c:f>'OVERALL SUMMARY '!$C$3:$C$4</c:f>
              <c:numCache>
                <c:formatCode>#,##0</c:formatCode>
                <c:ptCount val="2"/>
                <c:pt idx="0">
                  <c:v>36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D-4D46-96D5-CA3E79EC08D6}"/>
            </c:ext>
          </c:extLst>
        </c:ser>
        <c:ser>
          <c:idx val="1"/>
          <c:order val="1"/>
          <c:tx>
            <c:strRef>
              <c:f>'OVERALL SUMMARY '!$D$2</c:f>
              <c:strCache>
                <c:ptCount val="1"/>
                <c:pt idx="0">
                  <c:v>Early start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D3171BF-A2D0-40BF-9E8B-A2DAADB7A7CF}" type="VALUE">
                      <a:rPr lang="en-US" sz="1000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E3AD-4D46-96D5-CA3E79EC08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CCA3AD9-62CF-4CD9-9D5F-8FBF885D44E9}" type="VALUE">
                      <a:rPr lang="en-US" sz="1000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E3AD-4D46-96D5-CA3E79EC08D6}"/>
                </c:ext>
              </c:extLst>
            </c:dLbl>
            <c:spPr>
              <a:solidFill>
                <a:schemeClr val="accent2"/>
              </a:solidFill>
              <a:ln>
                <a:solidFill>
                  <a:srgbClr val="FFC000"/>
                </a:solidFill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JANUARY MONTH 2026</c:v>
                </c:pt>
                <c:pt idx="1">
                  <c:v>08-Jan-26</c:v>
                </c:pt>
              </c:strCache>
            </c:strRef>
          </c:cat>
          <c:val>
            <c:numRef>
              <c:f>'OVERALL SUMMARY '!$D$3:$D$4</c:f>
              <c:numCache>
                <c:formatCode>#,##0</c:formatCode>
                <c:ptCount val="2"/>
                <c:pt idx="0">
                  <c:v>106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AD-4D46-96D5-CA3E79EC08D6}"/>
            </c:ext>
          </c:extLst>
        </c:ser>
        <c:ser>
          <c:idx val="2"/>
          <c:order val="2"/>
          <c:tx>
            <c:strRef>
              <c:f>'OVERALL SUMMARY '!$E$2</c:f>
              <c:strCache>
                <c:ptCount val="1"/>
                <c:pt idx="0">
                  <c:v>Driving Without Convoy Night  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07BF067-4656-451D-B247-FF4F80B6EC85}" type="VALUE">
                      <a:rPr lang="en-US" sz="1000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AD-4D46-96D5-CA3E79EC08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D65812D-24F5-4786-933B-28816CFC685E}" type="VALUE">
                      <a:rPr lang="en-US" sz="1050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E3AD-4D46-96D5-CA3E79EC08D6}"/>
                </c:ext>
              </c:extLst>
            </c:dLbl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JANUARY MONTH 2026</c:v>
                </c:pt>
                <c:pt idx="1">
                  <c:v>08-Jan-26</c:v>
                </c:pt>
              </c:strCache>
            </c:strRef>
          </c:cat>
          <c:val>
            <c:numRef>
              <c:f>'OVERALL SUMMARY '!$E$3:$E$4</c:f>
              <c:numCache>
                <c:formatCode>#,##0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D-4D46-96D5-CA3E79EC08D6}"/>
            </c:ext>
          </c:extLst>
        </c:ser>
        <c:ser>
          <c:idx val="3"/>
          <c:order val="3"/>
          <c:tx>
            <c:strRef>
              <c:f>'OVERALL SUMMARY '!$F$2</c:f>
              <c:strCache>
                <c:ptCount val="1"/>
                <c:pt idx="0">
                  <c:v>Driving Without Convoy 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7057B8E-E771-4590-8A2C-B4DC47339BD7}" type="VALUE">
                      <a:rPr lang="en-US" sz="1000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E3AD-4D46-96D5-CA3E79EC08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28D39D2-0D7D-4F25-BF41-44DBE0B56F18}" type="VALUE">
                      <a:rPr lang="en-US" sz="1050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E3AD-4D46-96D5-CA3E79EC08D6}"/>
                </c:ext>
              </c:extLst>
            </c:dLbl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JANUARY MONTH 2026</c:v>
                </c:pt>
                <c:pt idx="1">
                  <c:v>08-Jan-26</c:v>
                </c:pt>
              </c:strCache>
            </c:strRef>
          </c:cat>
          <c:val>
            <c:numRef>
              <c:f>'OVERALL SUMMARY '!$F$3:$F$4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AD-4D46-96D5-CA3E79EC08D6}"/>
            </c:ext>
          </c:extLst>
        </c:ser>
        <c:ser>
          <c:idx val="4"/>
          <c:order val="4"/>
          <c:tx>
            <c:strRef>
              <c:f>'OVERALL SUMMARY '!$G$2</c:f>
              <c:strCache>
                <c:ptCount val="1"/>
                <c:pt idx="0">
                  <c:v>Exceeded idle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JANUARY MONTH 2026</c:v>
                </c:pt>
                <c:pt idx="1">
                  <c:v>08-Jan-26</c:v>
                </c:pt>
              </c:strCache>
            </c:strRef>
          </c:cat>
          <c:val>
            <c:numRef>
              <c:f>'OVERALL SUMMARY '!$G$3:$G$4</c:f>
              <c:numCache>
                <c:formatCode>General</c:formatCode>
                <c:ptCount val="2"/>
                <c:pt idx="0" formatCode="0">
                  <c:v>918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AD-4D46-96D5-CA3E79EC08D6}"/>
            </c:ext>
          </c:extLst>
        </c:ser>
        <c:ser>
          <c:idx val="5"/>
          <c:order val="5"/>
          <c:tx>
            <c:strRef>
              <c:f>'OVERALL SUMMARY '!$H$2</c:f>
              <c:strCache>
                <c:ptCount val="1"/>
                <c:pt idx="0">
                  <c:v>HARSH BRAKE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JANUARY MONTH 2026</c:v>
                </c:pt>
                <c:pt idx="1">
                  <c:v>08-Jan-26</c:v>
                </c:pt>
              </c:strCache>
            </c:strRef>
          </c:cat>
          <c:val>
            <c:numRef>
              <c:f>'OVERALL SUMMARY '!$H$3:$H$4</c:f>
              <c:numCache>
                <c:formatCode>General</c:formatCode>
                <c:ptCount val="2"/>
                <c:pt idx="0">
                  <c:v>536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AD-4D46-96D5-CA3E79EC08D6}"/>
            </c:ext>
          </c:extLst>
        </c:ser>
        <c:ser>
          <c:idx val="6"/>
          <c:order val="6"/>
          <c:tx>
            <c:strRef>
              <c:f>'OVERALL SUMMARY '!$I$2</c:f>
              <c:strCache>
                <c:ptCount val="1"/>
                <c:pt idx="0">
                  <c:v>Over Speeding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'OVERALL SUMMARY '!$B$3:$B$4</c:f>
              <c:strCache>
                <c:ptCount val="2"/>
                <c:pt idx="0">
                  <c:v>JANUARY MONTH 2026</c:v>
                </c:pt>
                <c:pt idx="1">
                  <c:v>08-Jan-26</c:v>
                </c:pt>
              </c:strCache>
            </c:strRef>
          </c:cat>
          <c:val>
            <c:numRef>
              <c:f>'OVERALL SUMMARY '!$I$3:$I$4</c:f>
              <c:numCache>
                <c:formatCode>General</c:formatCode>
                <c:ptCount val="2"/>
                <c:pt idx="0" formatCode="#0">
                  <c:v>290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AD-4D46-96D5-CA3E79EC08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60821056"/>
        <c:axId val="960820096"/>
      </c:barChart>
      <c:catAx>
        <c:axId val="960821056"/>
        <c:scaling>
          <c:orientation val="minMax"/>
        </c:scaling>
        <c:delete val="1"/>
        <c:axPos val="b"/>
        <c:majorGridlines>
          <c:spPr>
            <a:ln w="285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960820096"/>
        <c:crosses val="autoZero"/>
        <c:auto val="1"/>
        <c:lblAlgn val="ctr"/>
        <c:lblOffset val="100"/>
        <c:noMultiLvlLbl val="0"/>
      </c:catAx>
      <c:valAx>
        <c:axId val="96082009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960821056"/>
        <c:crosses val="autoZero"/>
        <c:crossBetween val="between"/>
      </c:valAx>
      <c:spPr>
        <a:noFill/>
        <a:ln w="22225" cmpd="dbl">
          <a:solidFill>
            <a:schemeClr val="tx1">
              <a:lumMod val="15000"/>
              <a:lumOff val="85000"/>
            </a:schemeClr>
          </a:solidFill>
          <a:prstDash val="dash"/>
        </a:ln>
        <a:effectLst/>
      </c:spPr>
    </c:plotArea>
    <c:legend>
      <c:legendPos val="t"/>
      <c:layout>
        <c:manualLayout>
          <c:xMode val="edge"/>
          <c:yMode val="edge"/>
          <c:x val="7.4458501463048429E-2"/>
          <c:y val="0.10748761215086421"/>
          <c:w val="0.84747158501178688"/>
          <c:h val="9.4881542278530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1318260</xdr:colOff>
      <xdr:row>24</xdr:row>
      <xdr:rowOff>0</xdr:rowOff>
    </xdr:from>
    <xdr:to>
      <xdr:col>3</xdr:col>
      <xdr:colOff>944880</xdr:colOff>
      <xdr:row>24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D546F2-28B1-24C3-6437-2C5533D99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1303020</xdr:colOff>
      <xdr:row>24</xdr:row>
      <xdr:rowOff>0</xdr:rowOff>
    </xdr:from>
    <xdr:to>
      <xdr:col>3</xdr:col>
      <xdr:colOff>929640</xdr:colOff>
      <xdr:row>24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9E6039-3477-7C0A-4330-D5FE7B571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1584960</xdr:colOff>
      <xdr:row>7</xdr:row>
      <xdr:rowOff>181610</xdr:rowOff>
    </xdr:from>
    <xdr:to>
      <xdr:col>7</xdr:col>
      <xdr:colOff>434340</xdr:colOff>
      <xdr:row>31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B2E316-A7FB-2137-4DC0-19780AC5E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smtanzania.sharepoint.com/sites/TRANSISTMASTER/Shared%20Documents/General/TRANSIT%20MASTER.xlsx" TargetMode="External"/><Relationship Id="rId1" Type="http://schemas.openxmlformats.org/officeDocument/2006/relationships/externalLinkPath" Target="https://gsmtanzania.sharepoint.com/sites/TRANSISTMASTER/Shared%20Documents/General/TRANSIT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\Downloads\TRANSIT_ALL_TRUCKS_01_RPT_NIGHT_DRIVING_REPORT_(GROUP)_04.01.2026_11-39-43.xlsx" TargetMode="External"/><Relationship Id="rId1" Type="http://schemas.openxmlformats.org/officeDocument/2006/relationships/externalLinkPath" Target="/Users/SAMA/Downloads/TRANSIT_ALL_TRUCKS_01_RPT_NIGHT_DRIVING_REPORT_(GROUP)_04.01.2026_11-39-4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\Downloads\TRANSIT_ALL_TRUCKS_01_RPT_NIGHT_DRIVING_REPORT_(GROUP)_07.01.2026_06-44-29.xlsx" TargetMode="External"/><Relationship Id="rId1" Type="http://schemas.openxmlformats.org/officeDocument/2006/relationships/externalLinkPath" Target="/Users/SAMA/Downloads/TRANSIT_ALL_TRUCKS_01_RPT_NIGHT_DRIVING_REPORT_(GROUP)_07.01.2026_06-44-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3"/>
      <sheetName val="Sheet1"/>
    </sheetNames>
    <sheetDataSet>
      <sheetData sheetId="0" refreshError="1">
        <row r="1">
          <cell r="B1" t="str">
            <v>TRUCK</v>
          </cell>
          <cell r="C1" t="str">
            <v>TRAILER 1</v>
          </cell>
          <cell r="D1" t="str">
            <v>TRAILER 2</v>
          </cell>
          <cell r="E1"/>
          <cell r="F1" t="str">
            <v>DRIVER PHONE</v>
          </cell>
          <cell r="G1" t="str">
            <v>LICENCE</v>
          </cell>
          <cell r="H1" t="str">
            <v>PASSPORT</v>
          </cell>
          <cell r="I1" t="str">
            <v>TIN NUMBER</v>
          </cell>
          <cell r="J1" t="str">
            <v>TC NAME</v>
          </cell>
          <cell r="K1" t="str">
            <v>TM</v>
          </cell>
        </row>
        <row r="2">
          <cell r="B2" t="str">
            <v>T341DDJ</v>
          </cell>
          <cell r="C2" t="str">
            <v>T863DEV</v>
          </cell>
          <cell r="D2" t="str">
            <v> </v>
          </cell>
          <cell r="E2"/>
          <cell r="F2" t="str">
            <v> </v>
          </cell>
          <cell r="G2" t="str">
            <v> </v>
          </cell>
          <cell r="H2" t="str">
            <v> </v>
          </cell>
          <cell r="I2"/>
          <cell r="J2" t="str">
            <v>IRENE SHIJA</v>
          </cell>
          <cell r="K2" t="str">
            <v>ABDRULRAHIMAN</v>
          </cell>
        </row>
        <row r="3">
          <cell r="B3" t="str">
            <v>T421DHG</v>
          </cell>
          <cell r="C3" t="str">
            <v>T875DHG</v>
          </cell>
          <cell r="D3" t="str">
            <v> </v>
          </cell>
          <cell r="E3"/>
          <cell r="F3" t="str">
            <v> </v>
          </cell>
          <cell r="G3" t="str">
            <v> </v>
          </cell>
          <cell r="H3" t="str">
            <v> </v>
          </cell>
          <cell r="I3"/>
          <cell r="J3" t="str">
            <v>IRENE SHIJA</v>
          </cell>
          <cell r="K3" t="str">
            <v>ABDRULRAHIMAN</v>
          </cell>
        </row>
        <row r="4">
          <cell r="B4" t="str">
            <v>T743DEB</v>
          </cell>
          <cell r="C4" t="str">
            <v>T775DEU</v>
          </cell>
          <cell r="D4" t="str">
            <v> </v>
          </cell>
          <cell r="E4"/>
          <cell r="F4">
            <v>689598390</v>
          </cell>
          <cell r="G4">
            <v>4005932307</v>
          </cell>
          <cell r="H4" t="str">
            <v>AB01685631</v>
          </cell>
          <cell r="I4"/>
          <cell r="J4" t="str">
            <v>PLASDUS MAHUMBA</v>
          </cell>
          <cell r="K4" t="str">
            <v>ABDRULRAHIMAN</v>
          </cell>
        </row>
        <row r="5">
          <cell r="B5" t="str">
            <v>T367DHG</v>
          </cell>
          <cell r="C5" t="str">
            <v>T297DAK</v>
          </cell>
          <cell r="D5" t="str">
            <v> </v>
          </cell>
          <cell r="E5"/>
          <cell r="F5"/>
          <cell r="G5"/>
          <cell r="H5"/>
          <cell r="I5" t="str">
            <v>121-583-542</v>
          </cell>
          <cell r="J5" t="str">
            <v>PLASDUS MAHUMBA</v>
          </cell>
          <cell r="K5" t="str">
            <v>ABDRULRAHIMAN</v>
          </cell>
        </row>
        <row r="6">
          <cell r="B6" t="str">
            <v>T946EBW</v>
          </cell>
          <cell r="C6" t="str">
            <v>T473EBW</v>
          </cell>
          <cell r="D6" t="str">
            <v>T576EBV</v>
          </cell>
          <cell r="E6" t="str">
            <v>JOSEPHAT ALOYCE KAHEMELE</v>
          </cell>
          <cell r="F6">
            <v>687604985</v>
          </cell>
          <cell r="G6">
            <v>4000156846</v>
          </cell>
          <cell r="H6" t="str">
            <v>TAE545270</v>
          </cell>
          <cell r="I6" t="e">
            <v>#N/A</v>
          </cell>
          <cell r="J6" t="str">
            <v>SADI KIMWAGA</v>
          </cell>
          <cell r="K6" t="str">
            <v>JOSEPH JIRABI</v>
          </cell>
        </row>
        <row r="7">
          <cell r="B7" t="str">
            <v>T375DHG</v>
          </cell>
          <cell r="C7" t="str">
            <v>T992DHL</v>
          </cell>
          <cell r="D7" t="str">
            <v>T335DVR</v>
          </cell>
          <cell r="E7" t="str">
            <v>STEVEN OCTAVIAN MILANZI</v>
          </cell>
          <cell r="F7">
            <v>693444828</v>
          </cell>
          <cell r="G7">
            <v>4005857115</v>
          </cell>
          <cell r="H7" t="str">
            <v>TAE793676</v>
          </cell>
          <cell r="I7"/>
          <cell r="J7" t="str">
            <v>SADI KIMWAGA</v>
          </cell>
          <cell r="K7" t="str">
            <v>JOSEPH JIRABI</v>
          </cell>
        </row>
        <row r="8">
          <cell r="B8" t="str">
            <v>T288DDJ</v>
          </cell>
          <cell r="C8" t="str">
            <v>T934DEK</v>
          </cell>
          <cell r="D8" t="str">
            <v>T997DVQ</v>
          </cell>
          <cell r="E8"/>
          <cell r="F8"/>
          <cell r="G8"/>
          <cell r="H8"/>
          <cell r="I8" t="str">
            <v>116-727-749</v>
          </cell>
          <cell r="J8" t="str">
            <v>Martha GOLODI</v>
          </cell>
          <cell r="K8" t="str">
            <v>JOSEPH JIRABI</v>
          </cell>
        </row>
        <row r="9">
          <cell r="B9" t="str">
            <v>T252DDJ</v>
          </cell>
          <cell r="C9" t="str">
            <v>T756DEU</v>
          </cell>
          <cell r="D9" t="str">
            <v>T992DVQ</v>
          </cell>
          <cell r="E9"/>
          <cell r="F9"/>
          <cell r="G9"/>
          <cell r="H9"/>
          <cell r="I9" t="str">
            <v>115-594-540</v>
          </cell>
          <cell r="J9" t="str">
            <v>Martha GOLODI</v>
          </cell>
          <cell r="K9" t="str">
            <v>JOSEPH JIRABI</v>
          </cell>
        </row>
        <row r="10">
          <cell r="B10" t="str">
            <v>T796DDS</v>
          </cell>
          <cell r="C10" t="str">
            <v>T735DEU</v>
          </cell>
          <cell r="D10" t="str">
            <v> </v>
          </cell>
          <cell r="E10"/>
          <cell r="F10"/>
          <cell r="G10"/>
          <cell r="H10"/>
          <cell r="I10">
            <v>120531980</v>
          </cell>
          <cell r="J10" t="str">
            <v>Martha GOLODI</v>
          </cell>
          <cell r="K10" t="str">
            <v>JOSEPH JIRABI</v>
          </cell>
        </row>
        <row r="11">
          <cell r="B11" t="str">
            <v>T518DEB</v>
          </cell>
          <cell r="C11" t="str">
            <v>T774DEU</v>
          </cell>
          <cell r="D11" t="str">
            <v> </v>
          </cell>
          <cell r="E11"/>
          <cell r="F11" t="str">
            <v>r</v>
          </cell>
          <cell r="G11"/>
          <cell r="H11"/>
          <cell r="I11" t="str">
            <v>199-815-282</v>
          </cell>
          <cell r="J11" t="str">
            <v>Martha GOLODI</v>
          </cell>
          <cell r="K11" t="str">
            <v>JOSEPH JIRABI</v>
          </cell>
        </row>
        <row r="12">
          <cell r="B12" t="str">
            <v>T264EBX</v>
          </cell>
          <cell r="C12" t="str">
            <v>T891EBY</v>
          </cell>
          <cell r="D12" t="str">
            <v> </v>
          </cell>
          <cell r="E12" t="str">
            <v xml:space="preserve">
AGATHA TOMAS KENJO</v>
          </cell>
          <cell r="F12">
            <v>693911707</v>
          </cell>
          <cell r="G12">
            <v>4006928283</v>
          </cell>
          <cell r="H12" t="str">
            <v>TAE696347</v>
          </cell>
          <cell r="I12" t="str">
            <v>156-487-198</v>
          </cell>
          <cell r="J12" t="str">
            <v>IRENE SHIJA</v>
          </cell>
          <cell r="K12" t="str">
            <v>ABDRULRAHIMAN</v>
          </cell>
        </row>
        <row r="13">
          <cell r="B13" t="str">
            <v>T740EBX</v>
          </cell>
          <cell r="C13" t="str">
            <v>T246EBZ</v>
          </cell>
          <cell r="D13" t="str">
            <v>T297EBW</v>
          </cell>
          <cell r="E13" t="str">
            <v>ABASS HARUNA MDAKI</v>
          </cell>
          <cell r="F13">
            <v>765183136</v>
          </cell>
          <cell r="G13">
            <v>4000408865</v>
          </cell>
          <cell r="H13" t="str">
            <v>TAE704028</v>
          </cell>
          <cell r="I13">
            <v>116133202</v>
          </cell>
          <cell r="J13" t="str">
            <v>PLASDUS MAHUMBA</v>
          </cell>
          <cell r="K13" t="str">
            <v>ABDRULRAHIMAN</v>
          </cell>
        </row>
        <row r="14">
          <cell r="B14" t="str">
            <v>T221EBX</v>
          </cell>
          <cell r="C14" t="str">
            <v>T918EBY</v>
          </cell>
          <cell r="D14" t="str">
            <v> </v>
          </cell>
          <cell r="E14" t="str">
            <v>ABDALLAH AMARI MBARAKA</v>
          </cell>
          <cell r="F14">
            <v>676521132</v>
          </cell>
          <cell r="G14">
            <v>4000898073</v>
          </cell>
          <cell r="H14" t="str">
            <v>TAE712206</v>
          </cell>
          <cell r="I14" t="str">
            <v>118-316-207</v>
          </cell>
          <cell r="J14" t="str">
            <v>IRENE SHIJA</v>
          </cell>
          <cell r="K14" t="str">
            <v>ABDRULRAHIMAN</v>
          </cell>
        </row>
        <row r="15">
          <cell r="B15" t="str">
            <v>T427DHG</v>
          </cell>
          <cell r="C15" t="str">
            <v>T364DBH</v>
          </cell>
          <cell r="D15" t="str">
            <v> </v>
          </cell>
          <cell r="E15" t="str">
            <v>AMOS KASEKE KUYOKWA</v>
          </cell>
          <cell r="F15">
            <v>786720507</v>
          </cell>
          <cell r="G15">
            <v>4004785395</v>
          </cell>
          <cell r="H15" t="str">
            <v>TAE723696</v>
          </cell>
          <cell r="I15" t="str">
            <v>128-765-964</v>
          </cell>
          <cell r="J15" t="str">
            <v>PLASDUS MAHUMBA</v>
          </cell>
          <cell r="K15" t="str">
            <v>ABDRULRAHIMAN</v>
          </cell>
        </row>
        <row r="16">
          <cell r="B16" t="str">
            <v>T719EBX</v>
          </cell>
          <cell r="C16" t="str">
            <v>T239EBZ</v>
          </cell>
          <cell r="D16" t="str">
            <v>T754EBV</v>
          </cell>
          <cell r="E16" t="str">
            <v>ABDALLAH CHITAMU YUSUPH</v>
          </cell>
          <cell r="F16">
            <v>784665521</v>
          </cell>
          <cell r="G16">
            <v>4000015669</v>
          </cell>
          <cell r="H16" t="str">
            <v>TAE567596</v>
          </cell>
          <cell r="I16">
            <v>111152926</v>
          </cell>
          <cell r="J16" t="str">
            <v>PLASDUS MAHUMBA</v>
          </cell>
          <cell r="K16" t="str">
            <v>ABDRULRAHIMAN</v>
          </cell>
        </row>
        <row r="17">
          <cell r="B17" t="str">
            <v>T794EBW</v>
          </cell>
          <cell r="C17" t="str">
            <v>T826ECG</v>
          </cell>
          <cell r="D17" t="str">
            <v>T285EBW</v>
          </cell>
          <cell r="E17" t="str">
            <v>ABDALLAH HAMISI MKUMBO</v>
          </cell>
          <cell r="F17">
            <v>768283080</v>
          </cell>
          <cell r="G17">
            <v>4000632162</v>
          </cell>
          <cell r="H17" t="str">
            <v>TAE692677</v>
          </cell>
          <cell r="I17">
            <v>117168492</v>
          </cell>
          <cell r="J17" t="str">
            <v>SADI KIMWAGA</v>
          </cell>
          <cell r="K17" t="str">
            <v>JOSEPH JIRABI</v>
          </cell>
        </row>
        <row r="18">
          <cell r="B18" t="str">
            <v>T697DEB</v>
          </cell>
          <cell r="C18" t="str">
            <v>T928DEK</v>
          </cell>
          <cell r="D18" t="str">
            <v> </v>
          </cell>
          <cell r="E18" t="str">
            <v>ABDALLAH MOHAMED ISSA</v>
          </cell>
          <cell r="F18">
            <v>689078310</v>
          </cell>
          <cell r="G18">
            <v>4000187848</v>
          </cell>
          <cell r="H18" t="str">
            <v>TAE684555</v>
          </cell>
          <cell r="I18" t="str">
            <v>110-112-432</v>
          </cell>
          <cell r="J18" t="str">
            <v>Martha GOLODI</v>
          </cell>
          <cell r="K18" t="str">
            <v>JOSEPH JIRABI</v>
          </cell>
        </row>
        <row r="19">
          <cell r="B19" t="str">
            <v>T815DDS</v>
          </cell>
          <cell r="C19" t="str">
            <v>T380DEH</v>
          </cell>
          <cell r="D19" t="str">
            <v> </v>
          </cell>
          <cell r="E19" t="str">
            <v>ABDALLAH MUHUSINI IBRAIM</v>
          </cell>
          <cell r="F19">
            <v>752311998</v>
          </cell>
          <cell r="G19">
            <v>4000412487</v>
          </cell>
          <cell r="H19" t="str">
            <v>TAE441561</v>
          </cell>
          <cell r="I19" t="e">
            <v>#N/A</v>
          </cell>
          <cell r="J19" t="str">
            <v>Martha GOLODI</v>
          </cell>
          <cell r="K19" t="str">
            <v>JOSEPH JIRABI</v>
          </cell>
        </row>
        <row r="20">
          <cell r="B20" t="str">
            <v>T806DYR</v>
          </cell>
          <cell r="C20" t="str">
            <v>T806DYT</v>
          </cell>
          <cell r="D20" t="str">
            <v> </v>
          </cell>
          <cell r="E20" t="str">
            <v>ABDALLAH OMAR ABDALLAH</v>
          </cell>
          <cell r="F20">
            <v>717855405</v>
          </cell>
          <cell r="G20">
            <v>4000327712</v>
          </cell>
          <cell r="H20" t="str">
            <v>TAE645252</v>
          </cell>
          <cell r="I20" t="e">
            <v>#N/A</v>
          </cell>
          <cell r="J20" t="str">
            <v>IRENE SHIJA</v>
          </cell>
          <cell r="K20" t="str">
            <v>ABDRULRAHIMAN</v>
          </cell>
        </row>
        <row r="21">
          <cell r="B21" t="str">
            <v>T256DDJ</v>
          </cell>
          <cell r="C21" t="str">
            <v>T874DHG</v>
          </cell>
          <cell r="D21" t="str">
            <v> </v>
          </cell>
          <cell r="E21" t="str">
            <v>ABDALLAH SAIDI RAMADHANI</v>
          </cell>
          <cell r="F21">
            <v>684523510</v>
          </cell>
          <cell r="G21">
            <v>4001117439</v>
          </cell>
          <cell r="H21" t="str">
            <v>TAE669826</v>
          </cell>
          <cell r="I21" t="e">
            <v>#N/A</v>
          </cell>
          <cell r="J21" t="str">
            <v>LUSAJO KASUNGA</v>
          </cell>
          <cell r="K21" t="str">
            <v>JUMA ISMAIL</v>
          </cell>
        </row>
        <row r="22">
          <cell r="B22" t="str">
            <v>T770DYR</v>
          </cell>
          <cell r="C22" t="str">
            <v>T825DYT</v>
          </cell>
          <cell r="D22" t="str">
            <v> </v>
          </cell>
          <cell r="E22" t="str">
            <v>ABDALLAH SALUM MGALILWA</v>
          </cell>
          <cell r="F22">
            <v>652302004</v>
          </cell>
          <cell r="G22">
            <v>4000363047</v>
          </cell>
          <cell r="H22" t="str">
            <v>TAE678433</v>
          </cell>
          <cell r="I22">
            <v>115674277</v>
          </cell>
          <cell r="J22" t="str">
            <v>SADI KIMWAGA</v>
          </cell>
          <cell r="K22" t="str">
            <v>JOSEPH JIRABI</v>
          </cell>
        </row>
        <row r="23">
          <cell r="B23" t="str">
            <v>T791EBW</v>
          </cell>
          <cell r="C23" t="str">
            <v>T833ECG</v>
          </cell>
          <cell r="D23" t="str">
            <v>T936EBV</v>
          </cell>
          <cell r="E23" t="str">
            <v xml:space="preserve">ABDALLH SADI RAMADHANI </v>
          </cell>
          <cell r="F23">
            <v>684523510</v>
          </cell>
          <cell r="G23">
            <v>4001117439</v>
          </cell>
          <cell r="H23" t="str">
            <v>TAE669826</v>
          </cell>
          <cell r="I23" t="e">
            <v>#N/A</v>
          </cell>
          <cell r="J23" t="str">
            <v>PLASDUS MAHUMBA</v>
          </cell>
          <cell r="K23" t="str">
            <v>ABDRULRAHIMAN</v>
          </cell>
        </row>
        <row r="24">
          <cell r="B24" t="str">
            <v>T752DEB</v>
          </cell>
          <cell r="C24" t="str">
            <v>T462DDC</v>
          </cell>
          <cell r="D24" t="str">
            <v> </v>
          </cell>
          <cell r="E24" t="str">
            <v>ABDI IBRAHIM MDHIHILI</v>
          </cell>
          <cell r="F24">
            <v>685600999</v>
          </cell>
          <cell r="G24">
            <v>784113831</v>
          </cell>
          <cell r="H24" t="str">
            <v>TAE407933</v>
          </cell>
          <cell r="I24" t="e">
            <v>#N/A</v>
          </cell>
          <cell r="J24" t="str">
            <v>LUSAJO KASUNGA</v>
          </cell>
          <cell r="K24" t="str">
            <v>JUMA ISMAIL</v>
          </cell>
        </row>
        <row r="25">
          <cell r="B25" t="str">
            <v>T244EBX</v>
          </cell>
          <cell r="C25" t="str">
            <v>T895EBY</v>
          </cell>
          <cell r="D25" t="str">
            <v> </v>
          </cell>
          <cell r="E25" t="str">
            <v>MUHIDINI ABDI RASHIDI</v>
          </cell>
          <cell r="F25">
            <v>657988241</v>
          </cell>
          <cell r="G25">
            <v>4001812102</v>
          </cell>
          <cell r="H25" t="str">
            <v>TAE718068</v>
          </cell>
          <cell r="I25" t="e">
            <v>#N/A</v>
          </cell>
          <cell r="J25" t="str">
            <v>LUSAJO KASUNGA</v>
          </cell>
          <cell r="K25" t="str">
            <v>JUMA ISMAIL</v>
          </cell>
        </row>
        <row r="26">
          <cell r="B26" t="str">
            <v>T793DDS</v>
          </cell>
          <cell r="C26" t="str">
            <v>T395DEH</v>
          </cell>
          <cell r="D26" t="str">
            <v> </v>
          </cell>
          <cell r="E26" t="str">
            <v>ABDILLAHI OMARI MRISHO</v>
          </cell>
          <cell r="F26" t="str">
            <v>0784515537/0656202420</v>
          </cell>
          <cell r="G26">
            <v>4002529453</v>
          </cell>
          <cell r="H26" t="str">
            <v>TAE468159</v>
          </cell>
          <cell r="I26" t="str">
            <v>124-868-750</v>
          </cell>
          <cell r="J26" t="str">
            <v>SADI KIMWAGA</v>
          </cell>
          <cell r="K26" t="str">
            <v>JOSEPH JIRABI</v>
          </cell>
        </row>
        <row r="27">
          <cell r="B27" t="str">
            <v>T821EBW</v>
          </cell>
          <cell r="C27" t="str">
            <v>T347ECH</v>
          </cell>
          <cell r="D27" t="str">
            <v>T766EBV</v>
          </cell>
          <cell r="E27" t="str">
            <v>ABDUL HASSAN SADICK</v>
          </cell>
          <cell r="F27">
            <v>715511260</v>
          </cell>
          <cell r="G27">
            <v>4003292276</v>
          </cell>
          <cell r="H27" t="str">
            <v>TAE634162</v>
          </cell>
          <cell r="I27">
            <v>128340084</v>
          </cell>
          <cell r="J27" t="str">
            <v>PLASDUS MAHUMBA</v>
          </cell>
          <cell r="K27" t="str">
            <v>ABDRULRAHIMAN</v>
          </cell>
        </row>
        <row r="28">
          <cell r="B28" t="str">
            <v>T579DTQ</v>
          </cell>
          <cell r="C28" t="str">
            <v>T776DTQ</v>
          </cell>
          <cell r="D28" t="str">
            <v> </v>
          </cell>
          <cell r="E28" t="str">
            <v>MICHAEL BONIVENTURA SHANGO</v>
          </cell>
          <cell r="F28">
            <v>685010460</v>
          </cell>
          <cell r="G28">
            <v>4000403703</v>
          </cell>
          <cell r="H28" t="str">
            <v>TAE684796</v>
          </cell>
          <cell r="I28"/>
          <cell r="J28" t="str">
            <v>Ayoub BENESTA</v>
          </cell>
          <cell r="K28" t="str">
            <v>JUMA ISMAIL</v>
          </cell>
        </row>
        <row r="29">
          <cell r="B29" t="str">
            <v>T439DHG</v>
          </cell>
          <cell r="C29" t="str">
            <v>T986DHL</v>
          </cell>
          <cell r="D29" t="str">
            <v> </v>
          </cell>
          <cell r="E29" t="str">
            <v>ABDUL MSELEM ABDUL</v>
          </cell>
          <cell r="F29">
            <v>766927171</v>
          </cell>
          <cell r="G29">
            <v>4000359731</v>
          </cell>
          <cell r="H29" t="str">
            <v>AB01643063</v>
          </cell>
          <cell r="I29" t="str">
            <v>115-635-417</v>
          </cell>
          <cell r="J29" t="str">
            <v>LUSAJO KASUNGA</v>
          </cell>
          <cell r="K29" t="str">
            <v>JUMA ISMAIL</v>
          </cell>
        </row>
        <row r="30">
          <cell r="B30" t="str">
            <v>T259EBX</v>
          </cell>
          <cell r="C30" t="str">
            <v>T892EBY</v>
          </cell>
          <cell r="D30" t="str">
            <v>T705EBV</v>
          </cell>
          <cell r="E30" t="str">
            <v>ABDUL NASSORO SELEMANI</v>
          </cell>
          <cell r="F30">
            <v>766433318</v>
          </cell>
          <cell r="G30">
            <v>4003788233</v>
          </cell>
          <cell r="H30" t="str">
            <v>TAE084601</v>
          </cell>
          <cell r="I30" t="e">
            <v>#N/A</v>
          </cell>
          <cell r="J30" t="str">
            <v>LUSAJO KASUNGA</v>
          </cell>
          <cell r="K30" t="str">
            <v>JUMA ISMAIL</v>
          </cell>
        </row>
        <row r="31">
          <cell r="B31" t="str">
            <v>T147EBX</v>
          </cell>
          <cell r="C31" t="str">
            <v>T584EBX</v>
          </cell>
          <cell r="D31" t="str">
            <v>T705EBV</v>
          </cell>
          <cell r="E31" t="str">
            <v>ABDUL SWEDI URASA</v>
          </cell>
          <cell r="F31">
            <v>763632115</v>
          </cell>
          <cell r="G31">
            <v>4000324162</v>
          </cell>
          <cell r="H31" t="str">
            <v>TAE684498</v>
          </cell>
          <cell r="I31" t="e">
            <v>#N/A</v>
          </cell>
          <cell r="J31" t="str">
            <v>IRENE SHIJA</v>
          </cell>
          <cell r="K31" t="str">
            <v>ABDRULRAHIMAN</v>
          </cell>
        </row>
        <row r="32">
          <cell r="B32" t="str">
            <v>T862EBY</v>
          </cell>
          <cell r="C32" t="str">
            <v>T652EBY</v>
          </cell>
          <cell r="D32" t="str">
            <v>T583EBV</v>
          </cell>
          <cell r="E32" t="str">
            <v>ABDULHAFIDH RADMAN ALLY</v>
          </cell>
          <cell r="F32">
            <v>741273498</v>
          </cell>
          <cell r="G32">
            <v>4000113428</v>
          </cell>
          <cell r="H32" t="str">
            <v>AB1759669</v>
          </cell>
          <cell r="I32">
            <v>112754687</v>
          </cell>
          <cell r="J32" t="str">
            <v>LUSAJO KASUNGA</v>
          </cell>
          <cell r="K32" t="str">
            <v>JUMA ISMAIL</v>
          </cell>
        </row>
        <row r="33">
          <cell r="B33" t="str">
            <v>T788DYR</v>
          </cell>
          <cell r="C33" t="str">
            <v>T814DYT</v>
          </cell>
          <cell r="D33" t="str">
            <v> </v>
          </cell>
          <cell r="E33" t="str">
            <v>ABDULKARIM ATHUMAN GWABANANGA</v>
          </cell>
          <cell r="F33">
            <v>755884632</v>
          </cell>
          <cell r="G33">
            <v>4001654454</v>
          </cell>
          <cell r="H33" t="str">
            <v>TAE634558</v>
          </cell>
          <cell r="I33" t="str">
            <v>121-530-856</v>
          </cell>
          <cell r="J33" t="str">
            <v>Martha GOLODI</v>
          </cell>
          <cell r="K33" t="str">
            <v>JOSEPH JIRABI</v>
          </cell>
        </row>
        <row r="34">
          <cell r="B34" t="str">
            <v>T652DTQ</v>
          </cell>
          <cell r="C34" t="str">
            <v>T807DTQ</v>
          </cell>
          <cell r="D34" t="str">
            <v> </v>
          </cell>
          <cell r="E34" t="str">
            <v>ABILLAH BAKARI MHINA</v>
          </cell>
          <cell r="F34" t="str">
            <v>716197711/0696094949</v>
          </cell>
          <cell r="G34">
            <v>4000961921</v>
          </cell>
          <cell r="H34" t="str">
            <v>TAE715130</v>
          </cell>
          <cell r="I34" t="str">
            <v>118-565-363</v>
          </cell>
          <cell r="J34" t="str">
            <v>IRENE SHIJA</v>
          </cell>
          <cell r="K34" t="str">
            <v>ABDRULRAHIMAN</v>
          </cell>
        </row>
        <row r="35">
          <cell r="B35" t="str">
            <v>T772DYR</v>
          </cell>
          <cell r="C35" t="str">
            <v>T819DYT</v>
          </cell>
          <cell r="D35" t="str">
            <v> </v>
          </cell>
          <cell r="E35" t="str">
            <v>ABUBAKAR JUMA YUSUPH</v>
          </cell>
          <cell r="F35">
            <v>659846853</v>
          </cell>
          <cell r="G35">
            <v>4001935086</v>
          </cell>
          <cell r="H35" t="str">
            <v>TAE668299</v>
          </cell>
          <cell r="I35" t="e">
            <v>#N/A</v>
          </cell>
          <cell r="J35" t="str">
            <v>IRENE SHIJA</v>
          </cell>
          <cell r="K35" t="str">
            <v>ABDRULRAHIMAN</v>
          </cell>
        </row>
        <row r="36">
          <cell r="B36" t="str">
            <v>T677EBX</v>
          </cell>
          <cell r="C36" t="str">
            <v>T587EBY</v>
          </cell>
          <cell r="D36" t="str">
            <v>T734EBV</v>
          </cell>
          <cell r="E36" t="str">
            <v>ABUBAKARY OMARY KABAKA</v>
          </cell>
          <cell r="F36">
            <v>686672582</v>
          </cell>
          <cell r="G36">
            <v>4000039832</v>
          </cell>
          <cell r="H36" t="str">
            <v>TAE613867</v>
          </cell>
          <cell r="I36" t="e">
            <v>#N/A</v>
          </cell>
          <cell r="J36" t="str">
            <v>LUSAJO KASUNGA</v>
          </cell>
          <cell r="K36" t="str">
            <v>JUMA ISMAIL</v>
          </cell>
        </row>
        <row r="37">
          <cell r="B37" t="str">
            <v>T602DTQ</v>
          </cell>
          <cell r="C37" t="str">
            <v>T815DTQ</v>
          </cell>
          <cell r="D37" t="str">
            <v> </v>
          </cell>
          <cell r="E37" t="str">
            <v>TAHJ MFAUME TUMBAMA</v>
          </cell>
          <cell r="F37">
            <v>687841842</v>
          </cell>
          <cell r="G37">
            <v>4006299125</v>
          </cell>
          <cell r="H37" t="str">
            <v>TAE659336</v>
          </cell>
          <cell r="I37" t="e">
            <v>#N/A</v>
          </cell>
          <cell r="J37" t="str">
            <v>PLASDUS MAHUMBA</v>
          </cell>
          <cell r="K37" t="str">
            <v>ABDRULRAHIMAN</v>
          </cell>
        </row>
        <row r="38">
          <cell r="B38" t="str">
            <v>T718DEB</v>
          </cell>
          <cell r="C38" t="str">
            <v>T354DBH</v>
          </cell>
          <cell r="D38" t="str">
            <v> </v>
          </cell>
          <cell r="E38" t="str">
            <v xml:space="preserve">ADEN FREDRICK LAWRANCE </v>
          </cell>
          <cell r="F38">
            <v>688377606</v>
          </cell>
          <cell r="G38">
            <v>4001058213</v>
          </cell>
          <cell r="H38" t="str">
            <v>TAE859734</v>
          </cell>
          <cell r="I38" t="e">
            <v>#N/A</v>
          </cell>
          <cell r="J38" t="str">
            <v>PLASDUS MAHUMBA</v>
          </cell>
          <cell r="K38" t="str">
            <v>ABDRULRAHIMAN</v>
          </cell>
        </row>
        <row r="39">
          <cell r="B39" t="str">
            <v>T732DEB</v>
          </cell>
          <cell r="C39" t="str">
            <v>T738DEU</v>
          </cell>
          <cell r="D39" t="str">
            <v> </v>
          </cell>
          <cell r="E39" t="str">
            <v>AFFIF ISMAIL KIZENGA</v>
          </cell>
          <cell r="F39">
            <v>682325908</v>
          </cell>
          <cell r="G39">
            <v>4000826963</v>
          </cell>
          <cell r="H39" t="str">
            <v>TAE726027</v>
          </cell>
          <cell r="I39" t="e">
            <v>#N/A</v>
          </cell>
          <cell r="J39" t="str">
            <v>LUSAJO KASUNGA</v>
          </cell>
          <cell r="K39" t="str">
            <v>JUMA ISMAIL</v>
          </cell>
        </row>
        <row r="40">
          <cell r="B40" t="str">
            <v>T989EBW</v>
          </cell>
          <cell r="C40" t="str">
            <v>T502EBW</v>
          </cell>
          <cell r="D40" t="str">
            <v>T562EBV</v>
          </cell>
          <cell r="E40" t="str">
            <v>AGREY HAMISI KOZMO</v>
          </cell>
          <cell r="F40">
            <v>699484646</v>
          </cell>
          <cell r="G40">
            <v>4001180609</v>
          </cell>
          <cell r="H40" t="str">
            <v>TAE676830</v>
          </cell>
          <cell r="I40" t="e">
            <v>#N/A</v>
          </cell>
          <cell r="J40" t="str">
            <v>SADI KIMWAGA</v>
          </cell>
          <cell r="K40" t="str">
            <v>JOSEPH JIRABI</v>
          </cell>
        </row>
        <row r="41">
          <cell r="B41" t="str">
            <v>T702EBX</v>
          </cell>
          <cell r="C41" t="str">
            <v>T265EBZ</v>
          </cell>
          <cell r="D41" t="str">
            <v>T676EBV</v>
          </cell>
          <cell r="E41" t="str">
            <v>AHMAD ABDULRRAHMAN AMIN</v>
          </cell>
          <cell r="F41">
            <v>693085270</v>
          </cell>
          <cell r="G41">
            <v>4003843773</v>
          </cell>
          <cell r="H41" t="str">
            <v>TAE511749</v>
          </cell>
          <cell r="I41" t="e">
            <v>#N/A</v>
          </cell>
          <cell r="J41" t="str">
            <v>LUSAJO KASUNGA</v>
          </cell>
          <cell r="K41" t="str">
            <v>JUMA ISMAIL</v>
          </cell>
        </row>
        <row r="42">
          <cell r="B42" t="str">
            <v>T227EBX</v>
          </cell>
          <cell r="C42" t="str">
            <v>T919EBY</v>
          </cell>
          <cell r="D42" t="str">
            <v> </v>
          </cell>
          <cell r="E42" t="str">
            <v>AHMAD MOHAMED STAMBULI</v>
          </cell>
          <cell r="F42" t="str">
            <v>756246005/0677683369</v>
          </cell>
          <cell r="G42">
            <v>400323980</v>
          </cell>
          <cell r="H42" t="str">
            <v>TAE401761</v>
          </cell>
          <cell r="I42" t="e">
            <v>#N/A</v>
          </cell>
          <cell r="J42" t="str">
            <v>IRENE SHIJA</v>
          </cell>
          <cell r="K42" t="str">
            <v>ABDRULRAHIMAN</v>
          </cell>
        </row>
        <row r="43">
          <cell r="B43" t="str">
            <v>T633DTQ</v>
          </cell>
          <cell r="C43" t="str">
            <v>T775DTQ</v>
          </cell>
          <cell r="D43" t="str">
            <v> </v>
          </cell>
          <cell r="E43" t="str">
            <v>AHMADA HAMADI MROKOZI</v>
          </cell>
          <cell r="F43">
            <v>744893080</v>
          </cell>
          <cell r="G43">
            <v>4000364346</v>
          </cell>
          <cell r="H43" t="str">
            <v>TAE654858</v>
          </cell>
          <cell r="I43" t="e">
            <v>#N/A</v>
          </cell>
          <cell r="J43" t="str">
            <v>Martha GOLODI</v>
          </cell>
          <cell r="K43" t="str">
            <v>JOSEPH JIRABI</v>
          </cell>
        </row>
        <row r="44">
          <cell r="B44" t="str">
            <v>T572DEB</v>
          </cell>
          <cell r="C44" t="str">
            <v>T374DEH</v>
          </cell>
          <cell r="D44" t="str">
            <v> </v>
          </cell>
          <cell r="E44" t="str">
            <v>MUSSA AHAMADI NAMBAYAYA</v>
          </cell>
          <cell r="F44">
            <v>787661940</v>
          </cell>
          <cell r="G44">
            <v>4000052230</v>
          </cell>
          <cell r="H44" t="str">
            <v>TAE510532</v>
          </cell>
          <cell r="I44" t="str">
            <v>111-811-857</v>
          </cell>
          <cell r="J44" t="str">
            <v>SADI KIMWAGA</v>
          </cell>
          <cell r="K44" t="str">
            <v>JOSEPH JIRABI</v>
          </cell>
        </row>
        <row r="45">
          <cell r="B45" t="str">
            <v>T581DTQ</v>
          </cell>
          <cell r="C45" t="str">
            <v>T778DTQ</v>
          </cell>
          <cell r="D45" t="str">
            <v> </v>
          </cell>
          <cell r="E45" t="str">
            <v>AHMED CONSTANTINE MAGERE</v>
          </cell>
          <cell r="F45">
            <v>744868206</v>
          </cell>
          <cell r="G45">
            <v>4002111587</v>
          </cell>
          <cell r="H45" t="str">
            <v>TAE653479</v>
          </cell>
          <cell r="I45">
            <v>123469453</v>
          </cell>
          <cell r="J45" t="str">
            <v>Ayoub BENESTA</v>
          </cell>
          <cell r="K45" t="str">
            <v>JUMA ISMAIL</v>
          </cell>
        </row>
        <row r="46">
          <cell r="B46" t="str">
            <v>T332DHG</v>
          </cell>
          <cell r="C46" t="str">
            <v>T902DHG</v>
          </cell>
          <cell r="D46" t="str">
            <v> </v>
          </cell>
          <cell r="E46" t="str">
            <v>AHMED JAFARI SHILANGILA</v>
          </cell>
          <cell r="F46">
            <v>753507437</v>
          </cell>
          <cell r="G46">
            <v>4000156334</v>
          </cell>
          <cell r="H46" t="str">
            <v>TAE928883</v>
          </cell>
          <cell r="I46" t="str">
            <v>113-312-874</v>
          </cell>
          <cell r="J46" t="str">
            <v>SADI KIMWAGA</v>
          </cell>
          <cell r="K46" t="str">
            <v>JOSEPH JIRABI</v>
          </cell>
        </row>
        <row r="47">
          <cell r="B47" t="str">
            <v>T377DCT</v>
          </cell>
          <cell r="C47" t="str">
            <v>T412DAK</v>
          </cell>
          <cell r="D47" t="str">
            <v>T984DVQ</v>
          </cell>
          <cell r="E47" t="str">
            <v>AHMED SAID LUWANDA</v>
          </cell>
          <cell r="F47">
            <v>689002072</v>
          </cell>
          <cell r="G47">
            <v>4000549571</v>
          </cell>
          <cell r="H47" t="str">
            <v>TAE490322</v>
          </cell>
          <cell r="I47" t="str">
            <v>114-131-687</v>
          </cell>
          <cell r="J47" t="str">
            <v>IRENE SHIJA</v>
          </cell>
          <cell r="K47" t="str">
            <v>ABDRULRAHIMAN</v>
          </cell>
        </row>
        <row r="48">
          <cell r="B48" t="str">
            <v>T299DCT</v>
          </cell>
          <cell r="C48" t="str">
            <v>T307DAK</v>
          </cell>
          <cell r="D48" t="str">
            <v> </v>
          </cell>
          <cell r="E48" t="str">
            <v>AHMED SHAMSHU MOHAMED</v>
          </cell>
          <cell r="F48">
            <v>782821671</v>
          </cell>
          <cell r="G48">
            <v>4000398951</v>
          </cell>
          <cell r="H48" t="str">
            <v>TAE537392</v>
          </cell>
          <cell r="I48" t="str">
            <v>116-005-034</v>
          </cell>
          <cell r="J48" t="str">
            <v>Ayoub BENESTA</v>
          </cell>
          <cell r="K48" t="str">
            <v>JUMA ISMAIL</v>
          </cell>
        </row>
        <row r="49">
          <cell r="B49" t="str">
            <v>T793EBW</v>
          </cell>
          <cell r="C49" t="str">
            <v>T831ECG</v>
          </cell>
          <cell r="D49" t="str">
            <v>T105EBW</v>
          </cell>
          <cell r="E49" t="str">
            <v>ABDALLAH BAKARI ABDALLAH</v>
          </cell>
          <cell r="F49">
            <v>784974076</v>
          </cell>
          <cell r="G49">
            <v>4000051500</v>
          </cell>
          <cell r="H49" t="str">
            <v>TAE616012</v>
          </cell>
          <cell r="I49">
            <v>134431873</v>
          </cell>
          <cell r="J49" t="str">
            <v>Ayoub BENESTA</v>
          </cell>
          <cell r="K49" t="str">
            <v>JUMA ISMAIL</v>
          </cell>
        </row>
        <row r="50">
          <cell r="B50" t="str">
            <v>T515EBY</v>
          </cell>
          <cell r="C50" t="str">
            <v>T920EBY</v>
          </cell>
          <cell r="D50" t="str">
            <v> </v>
          </cell>
          <cell r="E50" t="str">
            <v>ALLY ADAM SAMSIMBAZI</v>
          </cell>
          <cell r="F50">
            <v>687746753</v>
          </cell>
          <cell r="G50">
            <v>4000189043</v>
          </cell>
          <cell r="H50" t="str">
            <v>TAE454852</v>
          </cell>
          <cell r="I50" t="str">
            <v>113-712-945</v>
          </cell>
          <cell r="J50" t="str">
            <v>PLASDUS MAHUMBA</v>
          </cell>
          <cell r="K50" t="str">
            <v>ABDRULRAHIMAN</v>
          </cell>
        </row>
        <row r="51">
          <cell r="B51" t="str">
            <v>T115DEC</v>
          </cell>
          <cell r="C51" t="str">
            <v>T492DEJ</v>
          </cell>
          <cell r="D51" t="str">
            <v> </v>
          </cell>
          <cell r="E51"/>
          <cell r="F51"/>
          <cell r="G51"/>
          <cell r="H51"/>
          <cell r="I51" t="str">
            <v>122-169-030</v>
          </cell>
          <cell r="J51" t="str">
            <v>SADI KIMWAGA</v>
          </cell>
          <cell r="K51" t="str">
            <v>JOSEPH JIRABI</v>
          </cell>
        </row>
        <row r="52">
          <cell r="B52" t="str">
            <v>T387ECN</v>
          </cell>
          <cell r="C52" t="str">
            <v>T835ECG</v>
          </cell>
          <cell r="D52" t="str">
            <v>T571EBV</v>
          </cell>
          <cell r="E52" t="str">
            <v>ALLY HAMIS RAJABU</v>
          </cell>
          <cell r="F52">
            <v>788824116</v>
          </cell>
          <cell r="G52">
            <v>4000161699</v>
          </cell>
          <cell r="H52" t="str">
            <v>TAE840016</v>
          </cell>
          <cell r="I52" t="e">
            <v>#N/A</v>
          </cell>
          <cell r="J52" t="str">
            <v>LUSAJO KASUNGA</v>
          </cell>
          <cell r="K52" t="str">
            <v>JUMA ISMAIL</v>
          </cell>
        </row>
        <row r="53">
          <cell r="B53" t="str">
            <v>T663DTQ</v>
          </cell>
          <cell r="C53" t="str">
            <v>T813DTQ</v>
          </cell>
          <cell r="D53" t="str">
            <v> </v>
          </cell>
          <cell r="E53" t="str">
            <v>ALLY HAMISI MPEMBA</v>
          </cell>
          <cell r="F53">
            <v>693472040</v>
          </cell>
          <cell r="G53">
            <v>4001284276</v>
          </cell>
          <cell r="H53" t="str">
            <v>TAE677481</v>
          </cell>
          <cell r="I53" t="str">
            <v>119-842-409</v>
          </cell>
          <cell r="J53" t="str">
            <v>SADI KIMWAGA</v>
          </cell>
          <cell r="K53" t="str">
            <v>JOSEPH JIRABI</v>
          </cell>
        </row>
        <row r="54">
          <cell r="B54" t="str">
            <v>T218EBX</v>
          </cell>
          <cell r="C54" t="str">
            <v>T899EBY</v>
          </cell>
          <cell r="D54" t="str">
            <v> </v>
          </cell>
          <cell r="E54" t="str">
            <v>ALLY HUSSEIN ALLY</v>
          </cell>
          <cell r="F54">
            <v>762418690</v>
          </cell>
          <cell r="G54">
            <v>4000430943</v>
          </cell>
          <cell r="H54" t="str">
            <v>TAE929150</v>
          </cell>
          <cell r="I54">
            <v>116303663</v>
          </cell>
          <cell r="J54" t="str">
            <v>IRENE SHIJA</v>
          </cell>
          <cell r="K54" t="str">
            <v>ABDRULRAHIMAN</v>
          </cell>
        </row>
        <row r="55">
          <cell r="B55" t="str">
            <v>T186EBX</v>
          </cell>
          <cell r="C55" t="str">
            <v>T573EBX</v>
          </cell>
          <cell r="D55" t="str">
            <v>T746EBV</v>
          </cell>
          <cell r="E55" t="str">
            <v>ALLY HUSSEIN MHANDO</v>
          </cell>
          <cell r="F55">
            <v>4000388531</v>
          </cell>
          <cell r="G55">
            <v>716655991</v>
          </cell>
          <cell r="H55" t="str">
            <v>TAE487484</v>
          </cell>
          <cell r="I55" t="str">
            <v>115-907-476</v>
          </cell>
          <cell r="J55" t="str">
            <v>Ayoub BENESTA</v>
          </cell>
          <cell r="K55" t="str">
            <v>JUMA ISMAIL</v>
          </cell>
        </row>
        <row r="56">
          <cell r="B56" t="str">
            <v>T792EBW</v>
          </cell>
          <cell r="C56" t="str">
            <v>T829ECG</v>
          </cell>
          <cell r="D56" t="str">
            <v>T140EBW</v>
          </cell>
          <cell r="E56" t="str">
            <v>ALLY ISSA OMARY</v>
          </cell>
          <cell r="F56" t="str">
            <v>755578241/0629949040</v>
          </cell>
          <cell r="G56">
            <v>4000281259</v>
          </cell>
          <cell r="H56" t="str">
            <v>TAE256423</v>
          </cell>
          <cell r="I56" t="e">
            <v>#N/A</v>
          </cell>
          <cell r="J56" t="str">
            <v>IRENE SHIJA</v>
          </cell>
          <cell r="K56" t="str">
            <v>ABDRULRAHIMAN</v>
          </cell>
        </row>
        <row r="57">
          <cell r="B57" t="str">
            <v>T175EBX</v>
          </cell>
          <cell r="C57" t="str">
            <v>T576EBX</v>
          </cell>
          <cell r="D57" t="str">
            <v>T751EBV</v>
          </cell>
          <cell r="E57" t="str">
            <v>ALLY JUMA ATHUMANI</v>
          </cell>
          <cell r="F57">
            <v>789729996</v>
          </cell>
          <cell r="G57">
            <v>4000224439</v>
          </cell>
          <cell r="H57" t="str">
            <v>TAE642070</v>
          </cell>
          <cell r="I57">
            <v>114160369</v>
          </cell>
          <cell r="J57" t="str">
            <v>Ayoub BENESTA</v>
          </cell>
          <cell r="K57" t="str">
            <v>JUMA ISMAIL</v>
          </cell>
        </row>
        <row r="58">
          <cell r="B58" t="str">
            <v>T988EBW</v>
          </cell>
          <cell r="C58" t="str">
            <v>T479EBW</v>
          </cell>
          <cell r="D58" t="str">
            <v>T272EBW</v>
          </cell>
          <cell r="E58" t="str">
            <v>ALLY KASSIM MWAYAWALE</v>
          </cell>
          <cell r="F58">
            <v>746742074</v>
          </cell>
          <cell r="G58">
            <v>4000085063</v>
          </cell>
          <cell r="H58" t="str">
            <v>TAE511496</v>
          </cell>
          <cell r="I58" t="e">
            <v>#N/A</v>
          </cell>
          <cell r="J58" t="str">
            <v>Martha GOLODI</v>
          </cell>
          <cell r="K58" t="str">
            <v>JOSEPH JIRABI</v>
          </cell>
        </row>
        <row r="59">
          <cell r="B59" t="str">
            <v>T934EBW</v>
          </cell>
          <cell r="C59" t="str">
            <v>T592EBY</v>
          </cell>
          <cell r="D59" t="str">
            <v>T157EBW</v>
          </cell>
          <cell r="E59" t="str">
            <v>ALLY MBARAKA ALLY</v>
          </cell>
          <cell r="F59">
            <v>792386001</v>
          </cell>
          <cell r="G59">
            <v>4000286633</v>
          </cell>
          <cell r="H59" t="str">
            <v>TAE600316</v>
          </cell>
          <cell r="I59">
            <v>112705767</v>
          </cell>
          <cell r="J59" t="str">
            <v>Martha GOLODI</v>
          </cell>
          <cell r="K59" t="str">
            <v>JOSEPH JIRABI</v>
          </cell>
        </row>
        <row r="60">
          <cell r="B60" t="str">
            <v>T428DHG</v>
          </cell>
          <cell r="C60" t="str">
            <v>T877DHG</v>
          </cell>
          <cell r="D60" t="str">
            <v> </v>
          </cell>
          <cell r="E60" t="str">
            <v>YUDA TIMOTH MWAMBETA</v>
          </cell>
          <cell r="F60">
            <v>686891433</v>
          </cell>
          <cell r="G60">
            <v>4003787964</v>
          </cell>
          <cell r="H60" t="str">
            <v>TAE527202</v>
          </cell>
          <cell r="I60" t="e">
            <v>#N/A</v>
          </cell>
          <cell r="J60" t="str">
            <v>Martha GOLODI</v>
          </cell>
          <cell r="K60" t="str">
            <v>JOSEPH JIRABI</v>
          </cell>
        </row>
        <row r="61">
          <cell r="B61" t="str">
            <v>T499DYR</v>
          </cell>
          <cell r="C61" t="str">
            <v>T815DYT</v>
          </cell>
          <cell r="D61" t="str">
            <v> </v>
          </cell>
          <cell r="E61" t="str">
            <v>ALLY RAMADHANI ZANDA</v>
          </cell>
          <cell r="F61">
            <v>692140094</v>
          </cell>
          <cell r="G61">
            <v>4000702703</v>
          </cell>
          <cell r="H61" t="str">
            <v>TAE690197</v>
          </cell>
          <cell r="I61" t="str">
            <v>117-460-606</v>
          </cell>
          <cell r="J61" t="str">
            <v>Martha GOLODI</v>
          </cell>
          <cell r="K61" t="str">
            <v>JOSEPH JIRABI</v>
          </cell>
        </row>
        <row r="62">
          <cell r="B62" t="str">
            <v>T905EBW</v>
          </cell>
          <cell r="C62" t="str">
            <v>T549EBX</v>
          </cell>
          <cell r="D62" t="str">
            <v>T731EBV</v>
          </cell>
          <cell r="E62" t="str">
            <v>ALLY RASHID SAID</v>
          </cell>
          <cell r="F62" t="str">
            <v>0687226087/0765685416</v>
          </cell>
          <cell r="G62">
            <v>4000307744</v>
          </cell>
          <cell r="H62" t="str">
            <v>TAE326154</v>
          </cell>
          <cell r="I62" t="str">
            <v>115-075-187</v>
          </cell>
          <cell r="J62" t="str">
            <v>Martha GOLODI</v>
          </cell>
          <cell r="K62" t="str">
            <v>JOSEPH JIRABI</v>
          </cell>
        </row>
        <row r="63">
          <cell r="B63" t="str">
            <v>T335EBX</v>
          </cell>
          <cell r="C63" t="str">
            <v>T896EBY</v>
          </cell>
          <cell r="D63" t="str">
            <v> </v>
          </cell>
          <cell r="E63" t="str">
            <v>ALLY SAID MANDINGO</v>
          </cell>
          <cell r="F63">
            <v>753680377</v>
          </cell>
          <cell r="G63">
            <v>4000387403</v>
          </cell>
          <cell r="H63" t="str">
            <v>TAE636938</v>
          </cell>
          <cell r="I63" t="str">
            <v>115-904-280</v>
          </cell>
          <cell r="J63" t="str">
            <v>LUSAJO KASUNGA</v>
          </cell>
          <cell r="K63" t="str">
            <v>JUMA ISMAIL</v>
          </cell>
        </row>
        <row r="64">
          <cell r="B64" t="str">
            <v>T172EBX</v>
          </cell>
          <cell r="C64" t="str">
            <v>T568EBX</v>
          </cell>
          <cell r="D64" t="str">
            <v>T651EBV</v>
          </cell>
          <cell r="E64" t="str">
            <v>ALLY SAIDI SELEMAN</v>
          </cell>
          <cell r="F64">
            <v>759109667</v>
          </cell>
          <cell r="G64">
            <v>4000125230</v>
          </cell>
          <cell r="H64" t="str">
            <v>TAE323324</v>
          </cell>
          <cell r="I64" t="e">
            <v>#N/A</v>
          </cell>
          <cell r="J64" t="str">
            <v>Martha GOLODI</v>
          </cell>
          <cell r="K64" t="str">
            <v>JOSEPH JIRABI</v>
          </cell>
        </row>
        <row r="65">
          <cell r="B65" t="str">
            <v>T737DEB</v>
          </cell>
          <cell r="C65" t="str">
            <v>T930DEK</v>
          </cell>
          <cell r="D65" t="str">
            <v> </v>
          </cell>
          <cell r="E65" t="str">
            <v>ALLY SELEMANI MGONGOLA</v>
          </cell>
          <cell r="F65">
            <v>744211258</v>
          </cell>
          <cell r="G65">
            <v>4000933377</v>
          </cell>
          <cell r="H65" t="str">
            <v>TAE751593</v>
          </cell>
          <cell r="I65" t="e">
            <v>#N/A</v>
          </cell>
          <cell r="J65" t="str">
            <v>IRENE SHIJA</v>
          </cell>
          <cell r="K65" t="str">
            <v>ABDRULRAHIMAN</v>
          </cell>
        </row>
        <row r="66">
          <cell r="B66" t="str">
            <v>T412DHG</v>
          </cell>
          <cell r="C66" t="str">
            <v>T106DHM</v>
          </cell>
          <cell r="D66" t="str">
            <v> </v>
          </cell>
          <cell r="E66" t="str">
            <v>ALLY YAHYA MHINA</v>
          </cell>
          <cell r="F66">
            <v>692237936</v>
          </cell>
          <cell r="G66">
            <v>4000808211</v>
          </cell>
          <cell r="H66" t="str">
            <v>TAE700659</v>
          </cell>
          <cell r="I66" t="str">
            <v>117-931-951</v>
          </cell>
          <cell r="J66" t="str">
            <v>Ayoub BENESTA</v>
          </cell>
          <cell r="K66" t="str">
            <v>JUMA ISMAIL</v>
          </cell>
        </row>
        <row r="67">
          <cell r="B67" t="str">
            <v>T929EBW</v>
          </cell>
          <cell r="C67" t="str">
            <v>T410EBW</v>
          </cell>
          <cell r="D67" t="str">
            <v>T161EBW</v>
          </cell>
          <cell r="E67" t="str">
            <v>ALOYCE DEODATUS KENTE</v>
          </cell>
          <cell r="F67">
            <v>753999993</v>
          </cell>
          <cell r="G67">
            <v>4004308489</v>
          </cell>
          <cell r="H67" t="str">
            <v>TAE680569</v>
          </cell>
          <cell r="I67" t="e">
            <v>#N/A</v>
          </cell>
          <cell r="J67" t="str">
            <v>Martha GOLODI</v>
          </cell>
          <cell r="K67" t="str">
            <v>JOSEPH JIRABI</v>
          </cell>
        </row>
        <row r="68">
          <cell r="B68" t="str">
            <v>T933EBW</v>
          </cell>
          <cell r="C68" t="str">
            <v>T543EBY</v>
          </cell>
          <cell r="D68" t="str">
            <v>T514EBV</v>
          </cell>
          <cell r="E68" t="str">
            <v>ALPHONCE ADRIAN MAIGE</v>
          </cell>
          <cell r="F68">
            <v>713241402</v>
          </cell>
          <cell r="G68">
            <v>4001579043</v>
          </cell>
          <cell r="H68" t="str">
            <v>TAE709086</v>
          </cell>
          <cell r="I68" t="str">
            <v>114-225-967</v>
          </cell>
          <cell r="J68" t="str">
            <v>Martha GOLODI</v>
          </cell>
          <cell r="K68" t="str">
            <v>JOSEPH JIRABI</v>
          </cell>
        </row>
        <row r="69">
          <cell r="B69" t="str">
            <v>T239EBX</v>
          </cell>
          <cell r="C69" t="str">
            <v>T515EBW</v>
          </cell>
          <cell r="D69" t="str">
            <v>T528EBV</v>
          </cell>
          <cell r="E69" t="str">
            <v>ALPHONCE ISRAEL MKWEMBE</v>
          </cell>
          <cell r="F69">
            <v>754008554</v>
          </cell>
          <cell r="G69">
            <v>4000334391</v>
          </cell>
          <cell r="H69" t="str">
            <v>TAE626896</v>
          </cell>
          <cell r="I69">
            <v>112429654</v>
          </cell>
          <cell r="J69" t="str">
            <v>SADI KIMWAGA</v>
          </cell>
          <cell r="K69" t="str">
            <v>JOSEPH JIRABI</v>
          </cell>
        </row>
        <row r="70">
          <cell r="B70" t="str">
            <v>T373DHG</v>
          </cell>
          <cell r="C70" t="str">
            <v>T882DHG</v>
          </cell>
          <cell r="D70" t="str">
            <v> </v>
          </cell>
          <cell r="E70" t="str">
            <v>ALPHONCE SIMO HORO</v>
          </cell>
          <cell r="F70">
            <v>620310703</v>
          </cell>
          <cell r="G70">
            <v>4000074817</v>
          </cell>
          <cell r="H70" t="str">
            <v>TAE 408751</v>
          </cell>
          <cell r="I70" t="e">
            <v>#N/A</v>
          </cell>
          <cell r="J70" t="str">
            <v>SADI KIMWAGA</v>
          </cell>
          <cell r="K70" t="str">
            <v>JOSEPH JIRABI</v>
          </cell>
        </row>
        <row r="71">
          <cell r="B71" t="str">
            <v>T601DTQ</v>
          </cell>
          <cell r="C71" t="str">
            <v>T801DTQ</v>
          </cell>
          <cell r="D71" t="str">
            <v> </v>
          </cell>
          <cell r="E71" t="str">
            <v>AMANI SHABANI CHALAZA</v>
          </cell>
          <cell r="F71">
            <v>789721814</v>
          </cell>
          <cell r="G71">
            <v>4001256243</v>
          </cell>
          <cell r="H71" t="str">
            <v>TAE672988</v>
          </cell>
          <cell r="I71" t="str">
            <v>111-085-625</v>
          </cell>
          <cell r="J71" t="str">
            <v>Martha GOLODI</v>
          </cell>
          <cell r="K71" t="str">
            <v>JOSEPH JIRABI</v>
          </cell>
        </row>
        <row r="72">
          <cell r="B72" t="str">
            <v>T311EBX</v>
          </cell>
          <cell r="C72" t="str">
            <v>T884EBY</v>
          </cell>
          <cell r="D72" t="str">
            <v> </v>
          </cell>
          <cell r="E72" t="str">
            <v>AMIRI AMANI MAWAKA</v>
          </cell>
          <cell r="F72">
            <v>785707117</v>
          </cell>
          <cell r="G72">
            <v>4000542059</v>
          </cell>
          <cell r="H72" t="str">
            <v>TAE477195</v>
          </cell>
          <cell r="I72">
            <v>116272962</v>
          </cell>
          <cell r="J72" t="str">
            <v>Ayoub BENESTA</v>
          </cell>
          <cell r="K72" t="str">
            <v>JUMA ISMAIL</v>
          </cell>
        </row>
        <row r="73">
          <cell r="B73" t="str">
            <v>T713DYR</v>
          </cell>
          <cell r="C73" t="str">
            <v>T925DYT</v>
          </cell>
          <cell r="D73" t="str">
            <v> </v>
          </cell>
          <cell r="E73" t="str">
            <v>AMIRI HAMISI MIKURU</v>
          </cell>
          <cell r="F73">
            <v>756465546</v>
          </cell>
          <cell r="G73">
            <v>4001281857</v>
          </cell>
          <cell r="H73" t="str">
            <v>TAE627343</v>
          </cell>
          <cell r="I73" t="e">
            <v>#N/A</v>
          </cell>
          <cell r="J73" t="str">
            <v>LUSAJO KASUNGA</v>
          </cell>
          <cell r="K73" t="str">
            <v>JUMA ISMAIL</v>
          </cell>
        </row>
        <row r="74">
          <cell r="B74" t="str">
            <v>T350DHG</v>
          </cell>
          <cell r="C74" t="str">
            <v>T906DHG</v>
          </cell>
          <cell r="D74" t="str">
            <v> </v>
          </cell>
          <cell r="E74" t="str">
            <v>AMIRI HASHIMU KUMBUKILA</v>
          </cell>
          <cell r="F74">
            <v>656057115</v>
          </cell>
          <cell r="G74">
            <v>4001537485</v>
          </cell>
          <cell r="H74" t="str">
            <v>AB1644247</v>
          </cell>
          <cell r="I74" t="e">
            <v>#N/A</v>
          </cell>
          <cell r="J74" t="str">
            <v>IRENE SHIJA</v>
          </cell>
          <cell r="K74" t="str">
            <v>ABDRULRAHIMAN</v>
          </cell>
        </row>
        <row r="75">
          <cell r="B75" t="str">
            <v>T335ECN</v>
          </cell>
          <cell r="C75" t="str">
            <v>T808ECG</v>
          </cell>
          <cell r="D75" t="str">
            <v>T702EBV</v>
          </cell>
          <cell r="E75" t="str">
            <v>AMIRI MOHAMED JAFARI</v>
          </cell>
          <cell r="F75">
            <v>769555655</v>
          </cell>
          <cell r="G75">
            <v>4000584272</v>
          </cell>
          <cell r="H75" t="str">
            <v>TAE572045</v>
          </cell>
          <cell r="I75" t="e">
            <v>#N/A</v>
          </cell>
          <cell r="J75" t="str">
            <v>IRENE SHIJA</v>
          </cell>
          <cell r="K75" t="str">
            <v>ABDRULRAHIMAN</v>
          </cell>
        </row>
        <row r="76">
          <cell r="B76" t="str">
            <v>T793DYR</v>
          </cell>
          <cell r="C76" t="str">
            <v>T300DYV</v>
          </cell>
          <cell r="D76" t="str">
            <v> </v>
          </cell>
          <cell r="E76" t="str">
            <v>AMIRI TALIB SHEIN</v>
          </cell>
          <cell r="F76">
            <v>693964255</v>
          </cell>
          <cell r="G76">
            <v>4000379174</v>
          </cell>
          <cell r="H76" t="str">
            <v>TAE350415</v>
          </cell>
          <cell r="I76" t="e">
            <v>#N/A</v>
          </cell>
          <cell r="J76" t="str">
            <v>PLASDUS MAHUMBA</v>
          </cell>
          <cell r="K76" t="str">
            <v>ABDRULRAHIMAN</v>
          </cell>
        </row>
        <row r="77">
          <cell r="B77" t="str">
            <v>T763EBW</v>
          </cell>
          <cell r="C77" t="str">
            <v>T816ECG</v>
          </cell>
          <cell r="D77" t="str">
            <v>T146EBW</v>
          </cell>
          <cell r="E77" t="str">
            <v>AHMED ALLY SAID</v>
          </cell>
          <cell r="F77">
            <v>759160474</v>
          </cell>
          <cell r="G77">
            <v>4000230744</v>
          </cell>
          <cell r="H77" t="str">
            <v>TAE749223</v>
          </cell>
          <cell r="I77">
            <v>114233137</v>
          </cell>
          <cell r="J77" t="str">
            <v>SADI KIMWAGA</v>
          </cell>
          <cell r="K77" t="str">
            <v>JOSEPH JIRABI</v>
          </cell>
        </row>
        <row r="78">
          <cell r="B78" t="str">
            <v>T757EBX</v>
          </cell>
          <cell r="C78" t="str">
            <v>T220EBZ</v>
          </cell>
          <cell r="D78" t="str">
            <v>T309EBW</v>
          </cell>
          <cell r="E78" t="str">
            <v>GODFREY CYPRIAN GAMBA</v>
          </cell>
          <cell r="F78">
            <v>787721511</v>
          </cell>
          <cell r="G78">
            <v>4001667008</v>
          </cell>
          <cell r="H78" t="str">
            <v>TAE656703</v>
          </cell>
          <cell r="I78">
            <v>105544707</v>
          </cell>
          <cell r="J78" t="str">
            <v>PLASDUS MAHUMBA</v>
          </cell>
          <cell r="K78" t="str">
            <v>ABDRULRAHIMAN</v>
          </cell>
        </row>
        <row r="79">
          <cell r="B79" t="str">
            <v>T522EBY</v>
          </cell>
          <cell r="C79" t="str">
            <v>T531EBY</v>
          </cell>
          <cell r="D79" t="str">
            <v>T773EBV</v>
          </cell>
          <cell r="E79" t="str">
            <v>ANDERSON SHAYO KATAMBI</v>
          </cell>
          <cell r="F79">
            <v>673539633</v>
          </cell>
          <cell r="G79">
            <v>4002351259</v>
          </cell>
          <cell r="H79" t="str">
            <v>TAE696416</v>
          </cell>
          <cell r="I79" t="str">
            <v>124-185-351</v>
          </cell>
          <cell r="J79" t="str">
            <v>IRENE SHIJA</v>
          </cell>
          <cell r="K79" t="str">
            <v>ABDRULRAHIMAN</v>
          </cell>
        </row>
        <row r="80">
          <cell r="B80" t="str">
            <v>T415DHG</v>
          </cell>
          <cell r="C80" t="str">
            <v>T358DEH</v>
          </cell>
          <cell r="D80" t="str">
            <v> </v>
          </cell>
          <cell r="E80" t="str">
            <v>ANDREW MICHAEL CHAULECH</v>
          </cell>
          <cell r="F80">
            <v>687564958</v>
          </cell>
          <cell r="G80">
            <v>4002324449</v>
          </cell>
          <cell r="H80" t="str">
            <v>TAE885616</v>
          </cell>
          <cell r="I80" t="e">
            <v>#N/A</v>
          </cell>
          <cell r="J80" t="str">
            <v>Martha GOLODI</v>
          </cell>
          <cell r="K80" t="str">
            <v>JOSEPH JIRABI</v>
          </cell>
        </row>
        <row r="81">
          <cell r="B81" t="str">
            <v>T945EBW</v>
          </cell>
          <cell r="C81" t="str">
            <v>T470EBW</v>
          </cell>
          <cell r="D81" t="str">
            <v>T581EBV</v>
          </cell>
          <cell r="E81" t="str">
            <v>APOLO PETER MSIGWA</v>
          </cell>
          <cell r="F81">
            <v>757670885</v>
          </cell>
          <cell r="G81">
            <v>4000243364</v>
          </cell>
          <cell r="H81" t="str">
            <v>TAE315715</v>
          </cell>
          <cell r="I81" t="e">
            <v>#N/A</v>
          </cell>
          <cell r="J81" t="str">
            <v>SADI KIMWAGA</v>
          </cell>
          <cell r="K81" t="str">
            <v>JOSEPH JIRABI</v>
          </cell>
        </row>
        <row r="82">
          <cell r="B82" t="str">
            <v>T271EBY</v>
          </cell>
          <cell r="C82" t="str">
            <v>T407EBW</v>
          </cell>
          <cell r="D82" t="str">
            <v>T674EBV</v>
          </cell>
          <cell r="E82" t="str">
            <v>ISAYA MSHUKURU MMBANDO</v>
          </cell>
          <cell r="F82">
            <v>784293218</v>
          </cell>
          <cell r="G82">
            <v>4000005862</v>
          </cell>
          <cell r="H82" t="str">
            <v>AB10090322</v>
          </cell>
          <cell r="I82">
            <v>124048907</v>
          </cell>
          <cell r="J82" t="str">
            <v>LUSAJO KASUNGA</v>
          </cell>
          <cell r="K82" t="str">
            <v>JUMA ISMAIL</v>
          </cell>
        </row>
        <row r="83">
          <cell r="B83" t="str">
            <v>T871EBY</v>
          </cell>
          <cell r="C83" t="str">
            <v>T273ECE</v>
          </cell>
          <cell r="D83" t="str">
            <v>T616EBV</v>
          </cell>
          <cell r="E83" t="str">
            <v>ATANASI PETRO MAGOHE</v>
          </cell>
          <cell r="F83">
            <v>789968920</v>
          </cell>
          <cell r="G83">
            <v>4003751613</v>
          </cell>
          <cell r="H83" t="str">
            <v>TAE547119</v>
          </cell>
          <cell r="I83">
            <v>130721125</v>
          </cell>
          <cell r="J83" t="str">
            <v>SADI KIMWAGA</v>
          </cell>
          <cell r="K83" t="str">
            <v>JOSEPH JIRABI</v>
          </cell>
        </row>
        <row r="84">
          <cell r="B84" t="str">
            <v>T873EBW</v>
          </cell>
          <cell r="C84" t="str">
            <v>T438EBW</v>
          </cell>
          <cell r="D84" t="str">
            <v>T339EBW</v>
          </cell>
          <cell r="E84" t="str">
            <v>ATHONNY PAULO MDEDE</v>
          </cell>
          <cell r="F84">
            <v>782516000</v>
          </cell>
          <cell r="G84">
            <v>4000797043</v>
          </cell>
          <cell r="H84" t="str">
            <v>TAE904507</v>
          </cell>
          <cell r="I84" t="e">
            <v>#N/A</v>
          </cell>
          <cell r="J84" t="str">
            <v>SADI KIMWAGA</v>
          </cell>
          <cell r="K84" t="str">
            <v>JOSEPH JIRABI</v>
          </cell>
        </row>
        <row r="85">
          <cell r="B85" t="str">
            <v>T332ECN</v>
          </cell>
          <cell r="C85" t="str">
            <v>T819ECG</v>
          </cell>
          <cell r="D85" t="str">
            <v>T757EBV</v>
          </cell>
          <cell r="E85" t="str">
            <v>ATHUMANI ALLY KIWINGU</v>
          </cell>
          <cell r="F85">
            <v>782827991</v>
          </cell>
          <cell r="G85">
            <v>4000401575</v>
          </cell>
          <cell r="H85" t="str">
            <v>TAE719588</v>
          </cell>
          <cell r="I85" t="str">
            <v>115-917-447</v>
          </cell>
          <cell r="J85" t="str">
            <v>Ayoub BENESTA</v>
          </cell>
          <cell r="K85" t="str">
            <v>JUMA ISMAIL</v>
          </cell>
        </row>
        <row r="86">
          <cell r="B86" t="str">
            <v>T581DYR</v>
          </cell>
          <cell r="C86" t="str">
            <v>T836DYT</v>
          </cell>
          <cell r="D86" t="str">
            <v> </v>
          </cell>
          <cell r="E86" t="str">
            <v>ATHUMANI IDDY MOHAMEDY</v>
          </cell>
          <cell r="F86">
            <v>783149692</v>
          </cell>
          <cell r="G86">
            <v>4003374161</v>
          </cell>
          <cell r="H86" t="str">
            <v>TAE675041</v>
          </cell>
          <cell r="I86" t="str">
            <v>128-801-758</v>
          </cell>
          <cell r="J86" t="str">
            <v>Ayoub BENESTA</v>
          </cell>
          <cell r="K86" t="str">
            <v>JUMA ISMAIL</v>
          </cell>
        </row>
        <row r="87">
          <cell r="B87" t="str">
            <v>T708EBX</v>
          </cell>
          <cell r="C87" t="str">
            <v>T540EBY</v>
          </cell>
          <cell r="D87" t="str">
            <v>T775EBV</v>
          </cell>
          <cell r="E87" t="str">
            <v>ATHUMANI MOHAMEDI BURUDANI</v>
          </cell>
          <cell r="F87">
            <v>763073308</v>
          </cell>
          <cell r="G87">
            <v>4004473917</v>
          </cell>
          <cell r="H87" t="str">
            <v>TAE633367</v>
          </cell>
          <cell r="I87" t="e">
            <v>#N/A</v>
          </cell>
          <cell r="J87" t="str">
            <v>LUSAJO KASUNGA</v>
          </cell>
          <cell r="K87" t="str">
            <v>JUMA ISMAIL</v>
          </cell>
        </row>
        <row r="88">
          <cell r="B88" t="str">
            <v>T716DYR</v>
          </cell>
          <cell r="C88" t="str">
            <v>T927DYT</v>
          </cell>
          <cell r="D88" t="str">
            <v> </v>
          </cell>
          <cell r="E88" t="str">
            <v>ATHUMANI SAID MAKANJILA</v>
          </cell>
          <cell r="F88">
            <v>713814308</v>
          </cell>
          <cell r="G88">
            <v>4001598411</v>
          </cell>
          <cell r="H88" t="str">
            <v>TAE403827</v>
          </cell>
          <cell r="I88">
            <v>121274876</v>
          </cell>
          <cell r="J88" t="str">
            <v>Ayoub BENESTA</v>
          </cell>
          <cell r="K88" t="str">
            <v>JUMA ISMAIL</v>
          </cell>
        </row>
        <row r="89">
          <cell r="B89" t="str">
            <v>T819EBW</v>
          </cell>
          <cell r="C89" t="str">
            <v>T818ECG</v>
          </cell>
          <cell r="D89" t="str">
            <v>T937EBV</v>
          </cell>
          <cell r="E89" t="str">
            <v>BAKARI MBARAJI KOBA</v>
          </cell>
          <cell r="F89">
            <v>655844374</v>
          </cell>
          <cell r="G89">
            <v>4000051690</v>
          </cell>
          <cell r="H89" t="str">
            <v>TAE410862</v>
          </cell>
          <cell r="I89" t="e">
            <v>#N/A</v>
          </cell>
          <cell r="J89" t="str">
            <v>Martha GOLODI</v>
          </cell>
          <cell r="K89" t="str">
            <v>JOSEPH JIRABI</v>
          </cell>
        </row>
        <row r="90">
          <cell r="B90" t="str">
            <v>T798EBW</v>
          </cell>
          <cell r="C90" t="str">
            <v>T830ECG</v>
          </cell>
          <cell r="D90" t="str">
            <v>T116EBW</v>
          </cell>
          <cell r="E90" t="str">
            <v>ATHUMANI SHABAN KAUNDU</v>
          </cell>
          <cell r="F90">
            <v>710860821</v>
          </cell>
          <cell r="G90">
            <v>4003638717</v>
          </cell>
          <cell r="H90" t="str">
            <v>TAE487574</v>
          </cell>
          <cell r="I90" t="str">
            <v>129-839-317</v>
          </cell>
          <cell r="J90" t="str">
            <v>Martha GOLODI</v>
          </cell>
          <cell r="K90" t="str">
            <v>JOSEPH JIRABI</v>
          </cell>
        </row>
        <row r="91">
          <cell r="B91" t="str">
            <v>T747DEB</v>
          </cell>
          <cell r="C91" t="str">
            <v>T919DDJ</v>
          </cell>
          <cell r="D91" t="str">
            <v> </v>
          </cell>
          <cell r="E91" t="str">
            <v>AUGUSTINO PETER KWAMBAZA</v>
          </cell>
          <cell r="F91">
            <v>719699330</v>
          </cell>
          <cell r="G91">
            <v>4000607214</v>
          </cell>
          <cell r="H91" t="str">
            <v>TAE853398</v>
          </cell>
          <cell r="I91" t="str">
            <v>116-892-251</v>
          </cell>
          <cell r="J91" t="str">
            <v>LUSAJO KASUNGA</v>
          </cell>
          <cell r="K91" t="str">
            <v>JUMA ISMAIL</v>
          </cell>
        </row>
        <row r="92">
          <cell r="B92" t="str">
            <v>T635DTQ</v>
          </cell>
          <cell r="C92" t="str">
            <v>T774DTQ</v>
          </cell>
          <cell r="D92" t="str">
            <v> </v>
          </cell>
          <cell r="E92" t="str">
            <v>AYUBU ISSA RAJAB</v>
          </cell>
          <cell r="F92">
            <v>683878382</v>
          </cell>
          <cell r="G92">
            <v>4001030729</v>
          </cell>
          <cell r="H92" t="str">
            <v>TAE654779</v>
          </cell>
          <cell r="I92" t="e">
            <v>#N/A</v>
          </cell>
          <cell r="J92" t="str">
            <v>Martha GOLODI</v>
          </cell>
          <cell r="K92" t="str">
            <v>JOSEPH JIRABI</v>
          </cell>
        </row>
        <row r="93">
          <cell r="B93" t="str">
            <v>T337ECN</v>
          </cell>
          <cell r="C93" t="str">
            <v>T834ECG</v>
          </cell>
          <cell r="D93" t="str">
            <v>T981EBV</v>
          </cell>
          <cell r="E93" t="str">
            <v>AZIZI AMIRY SIMBAMBILI</v>
          </cell>
          <cell r="F93">
            <v>784641713</v>
          </cell>
          <cell r="G93">
            <v>4000251649</v>
          </cell>
          <cell r="H93" t="str">
            <v>TAE902436</v>
          </cell>
          <cell r="I93">
            <v>114465623</v>
          </cell>
          <cell r="J93" t="str">
            <v>Ayoub BENESTA</v>
          </cell>
          <cell r="K93" t="str">
            <v>JUMA ISMAIL</v>
          </cell>
        </row>
        <row r="94">
          <cell r="B94" t="str">
            <v>T955DSX</v>
          </cell>
          <cell r="C94" t="str">
            <v>T445DTD</v>
          </cell>
          <cell r="D94" t="str">
            <v> </v>
          </cell>
          <cell r="E94" t="str">
            <v>AZIZI CHARLES MLIMA</v>
          </cell>
          <cell r="F94">
            <v>786744090</v>
          </cell>
          <cell r="G94">
            <v>4003133551</v>
          </cell>
          <cell r="H94" t="str">
            <v>AB10094260</v>
          </cell>
          <cell r="I94" t="str">
            <v>127-821-755</v>
          </cell>
          <cell r="J94" t="str">
            <v>LUSAJO KASUNGA</v>
          </cell>
          <cell r="K94" t="str">
            <v>JUMA ISMAIL</v>
          </cell>
        </row>
        <row r="95">
          <cell r="B95" t="str">
            <v>T150EBX</v>
          </cell>
          <cell r="C95" t="str">
            <v>T575EBX</v>
          </cell>
          <cell r="D95" t="str">
            <v>T719EBV</v>
          </cell>
          <cell r="E95" t="str">
            <v>BABU OMARY MAPUTA</v>
          </cell>
          <cell r="F95">
            <v>686260689</v>
          </cell>
          <cell r="G95">
            <v>4001737836</v>
          </cell>
          <cell r="H95" t="str">
            <v>TAE702667</v>
          </cell>
          <cell r="I95">
            <v>121882884</v>
          </cell>
          <cell r="J95" t="str">
            <v>Ayoub BENESTA</v>
          </cell>
          <cell r="K95" t="str">
            <v>JUMA ISMAIL</v>
          </cell>
        </row>
        <row r="96">
          <cell r="B96" t="str">
            <v>T153EBX</v>
          </cell>
          <cell r="C96" t="str">
            <v>T581EBX</v>
          </cell>
          <cell r="D96" t="str">
            <v>T635EBV</v>
          </cell>
          <cell r="E96" t="str">
            <v>BAHATI ATHUMANI MDOE</v>
          </cell>
          <cell r="F96">
            <v>754636625</v>
          </cell>
          <cell r="G96">
            <v>4002430953</v>
          </cell>
          <cell r="H96" t="str">
            <v>TAE626892</v>
          </cell>
          <cell r="I96">
            <v>123846710</v>
          </cell>
          <cell r="J96" t="str">
            <v>Martha GOLODI</v>
          </cell>
          <cell r="K96" t="str">
            <v>JOSEPH JIRABI</v>
          </cell>
        </row>
        <row r="97">
          <cell r="B97" t="str">
            <v>T704EBX</v>
          </cell>
          <cell r="C97" t="str">
            <v>T664EBY</v>
          </cell>
          <cell r="D97" t="str">
            <v>T738EBV</v>
          </cell>
          <cell r="E97" t="str">
            <v>BAKARI ABDALLAH RASHIDI</v>
          </cell>
          <cell r="F97">
            <v>785028342</v>
          </cell>
          <cell r="G97">
            <v>4000873561</v>
          </cell>
          <cell r="H97" t="str">
            <v>TAE040428</v>
          </cell>
          <cell r="I97" t="e">
            <v>#N/A</v>
          </cell>
          <cell r="J97" t="str">
            <v>LUSAJO KASUNGA</v>
          </cell>
          <cell r="K97" t="str">
            <v>JUMA ISMAIL</v>
          </cell>
        </row>
        <row r="98">
          <cell r="B98" t="str">
            <v>T638DEB</v>
          </cell>
          <cell r="C98" t="str">
            <v>T370DEH</v>
          </cell>
          <cell r="D98" t="str">
            <v> </v>
          </cell>
          <cell r="E98" t="str">
            <v xml:space="preserve">BAKARI AMONI MCHINA </v>
          </cell>
          <cell r="F98">
            <v>715156830</v>
          </cell>
          <cell r="G98">
            <v>4005894703</v>
          </cell>
          <cell r="H98" t="str">
            <v>TAE757800</v>
          </cell>
          <cell r="I98" t="e">
            <v>#N/A</v>
          </cell>
          <cell r="J98" t="str">
            <v>PLASDUS MAHUMBA</v>
          </cell>
          <cell r="K98" t="str">
            <v>ABDRULRAHIMAN</v>
          </cell>
        </row>
        <row r="99">
          <cell r="B99" t="str">
            <v>T870EBW</v>
          </cell>
          <cell r="C99" t="str">
            <v>T534EBY</v>
          </cell>
          <cell r="D99" t="str">
            <v>T953EBV</v>
          </cell>
          <cell r="E99" t="str">
            <v>BAKARI JONATHAN MANASE</v>
          </cell>
          <cell r="F99">
            <v>786833083</v>
          </cell>
          <cell r="G99">
            <v>4000150756</v>
          </cell>
          <cell r="H99" t="str">
            <v>TAE834086</v>
          </cell>
          <cell r="I99" t="e">
            <v>#N/A</v>
          </cell>
          <cell r="J99" t="str">
            <v>Martha GOLODI</v>
          </cell>
          <cell r="K99" t="str">
            <v>JOSEPH JIRABI</v>
          </cell>
        </row>
        <row r="100">
          <cell r="B100" t="str">
            <v>T899DYR</v>
          </cell>
          <cell r="C100" t="str">
            <v>T832DYT</v>
          </cell>
          <cell r="D100" t="str">
            <v> </v>
          </cell>
          <cell r="E100" t="str">
            <v>BAKARI MOHAMED MBOGO</v>
          </cell>
          <cell r="F100">
            <v>715939592</v>
          </cell>
          <cell r="G100">
            <v>4001058584</v>
          </cell>
          <cell r="H100" t="str">
            <v>TAE650422</v>
          </cell>
          <cell r="I100" t="str">
            <v>118-971-086</v>
          </cell>
          <cell r="J100" t="str">
            <v>PLASDUS MAHUMBA</v>
          </cell>
          <cell r="K100" t="str">
            <v>ABDRULRAHIMAN</v>
          </cell>
        </row>
        <row r="101">
          <cell r="B101" t="str">
            <v>T319EBY</v>
          </cell>
          <cell r="C101" t="str">
            <v>T604EBX</v>
          </cell>
          <cell r="D101" t="str">
            <v>T689EBV</v>
          </cell>
          <cell r="E101" t="str">
            <v>BAKARI MOHAMED SAID</v>
          </cell>
          <cell r="F101">
            <v>4001627854</v>
          </cell>
          <cell r="G101">
            <v>682812537</v>
          </cell>
          <cell r="H101" t="str">
            <v>TAE626859</v>
          </cell>
          <cell r="I101" t="e">
            <v>#N/A</v>
          </cell>
          <cell r="J101" t="str">
            <v>PLASDUS MAHUMBA</v>
          </cell>
          <cell r="K101" t="str">
            <v>ABDRULRAHIMAN</v>
          </cell>
        </row>
        <row r="102">
          <cell r="B102" t="str">
            <v>T273EBY</v>
          </cell>
          <cell r="C102" t="str">
            <v>T915EBY</v>
          </cell>
          <cell r="D102" t="str">
            <v> </v>
          </cell>
          <cell r="E102" t="str">
            <v>BAKARI NURDIN MADODI</v>
          </cell>
          <cell r="F102">
            <v>689827423</v>
          </cell>
          <cell r="G102">
            <v>4000099482</v>
          </cell>
          <cell r="H102" t="str">
            <v>TAE691898</v>
          </cell>
          <cell r="I102" t="e">
            <v>#N/A</v>
          </cell>
          <cell r="J102" t="str">
            <v>PLASDUS MAHUMBA</v>
          </cell>
          <cell r="K102" t="str">
            <v>ABDRULRAHIMAN</v>
          </cell>
        </row>
        <row r="103">
          <cell r="B103" t="str">
            <v>T733EBX</v>
          </cell>
          <cell r="C103" t="str">
            <v>T243EBZ</v>
          </cell>
          <cell r="D103" t="str">
            <v>T945EBV</v>
          </cell>
          <cell r="E103" t="str">
            <v>BASASI ABDALH BASASI</v>
          </cell>
          <cell r="F103">
            <v>683177458</v>
          </cell>
          <cell r="G103">
            <v>40001220301</v>
          </cell>
          <cell r="H103" t="str">
            <v>TAE704220</v>
          </cell>
          <cell r="I103" t="e">
            <v>#N/A</v>
          </cell>
          <cell r="J103" t="str">
            <v>PLASDUS MAHUMBA</v>
          </cell>
          <cell r="K103" t="str">
            <v>ABDRULRAHIMAN</v>
          </cell>
        </row>
        <row r="104">
          <cell r="B104" t="str">
            <v>T413DHG</v>
          </cell>
          <cell r="C104" t="str">
            <v>T919DHG</v>
          </cell>
          <cell r="D104" t="str">
            <v> </v>
          </cell>
          <cell r="E104" t="str">
            <v>BASHIRU ABDALLA HUSSEIN</v>
          </cell>
          <cell r="F104">
            <v>782141169</v>
          </cell>
          <cell r="G104">
            <v>4000413380</v>
          </cell>
          <cell r="H104" t="str">
            <v>TAE665613</v>
          </cell>
          <cell r="I104" t="e">
            <v>#N/A</v>
          </cell>
          <cell r="J104" t="str">
            <v>PLASDUS MAHUMBA</v>
          </cell>
          <cell r="K104" t="str">
            <v>ABDRULRAHIMAN</v>
          </cell>
        </row>
        <row r="105">
          <cell r="B105" t="str">
            <v>T744EBX</v>
          </cell>
          <cell r="C105" t="str">
            <v>T225EBZ</v>
          </cell>
          <cell r="D105" t="str">
            <v>T337EBW</v>
          </cell>
          <cell r="E105" t="str">
            <v>BAZIL PHILIPO PETER</v>
          </cell>
          <cell r="F105">
            <v>787492140</v>
          </cell>
          <cell r="G105">
            <v>4000130364</v>
          </cell>
          <cell r="H105" t="str">
            <v>TAE675398</v>
          </cell>
          <cell r="I105">
            <v>112996850</v>
          </cell>
          <cell r="J105" t="str">
            <v>PLASDUS MAHUMBA</v>
          </cell>
          <cell r="K105" t="str">
            <v>ABDRULRAHIMAN</v>
          </cell>
        </row>
        <row r="106">
          <cell r="B106" t="str">
            <v>T566DYR</v>
          </cell>
          <cell r="C106" t="str">
            <v>T830DYT</v>
          </cell>
          <cell r="D106" t="str">
            <v> </v>
          </cell>
          <cell r="E106" t="str">
            <v>BENJAMIN JACKSON MTELELE</v>
          </cell>
          <cell r="F106">
            <v>787605354</v>
          </cell>
          <cell r="G106">
            <v>4000846826</v>
          </cell>
          <cell r="H106" t="str">
            <v>TAE655004</v>
          </cell>
          <cell r="I106" t="e">
            <v>#N/A</v>
          </cell>
          <cell r="J106" t="str">
            <v>IRENE SHIJA</v>
          </cell>
          <cell r="K106" t="str">
            <v>ABDRULRAHIMAN</v>
          </cell>
        </row>
        <row r="107">
          <cell r="B107" t="str">
            <v>T791DYR</v>
          </cell>
          <cell r="C107" t="str">
            <v>T110DYU</v>
          </cell>
          <cell r="D107" t="str">
            <v> </v>
          </cell>
          <cell r="E107" t="str">
            <v>BILAL ABDALLAH MWALE</v>
          </cell>
          <cell r="F107">
            <v>782202060</v>
          </cell>
          <cell r="G107">
            <v>4000416243</v>
          </cell>
          <cell r="H107" t="str">
            <v>TAE745389</v>
          </cell>
          <cell r="I107" t="e">
            <v>#N/A</v>
          </cell>
          <cell r="J107" t="str">
            <v>IRENE SHIJA</v>
          </cell>
          <cell r="K107" t="str">
            <v>ABDRULRAHIMAN</v>
          </cell>
        </row>
        <row r="108">
          <cell r="B108" t="str">
            <v>T660DTQ</v>
          </cell>
          <cell r="C108" t="str">
            <v>T771DTQ</v>
          </cell>
          <cell r="D108" t="str">
            <v> </v>
          </cell>
          <cell r="E108" t="str">
            <v>ALLY ALIAMINI MSAMI</v>
          </cell>
          <cell r="F108">
            <v>657107863</v>
          </cell>
          <cell r="G108">
            <v>4001796142</v>
          </cell>
          <cell r="H108" t="str">
            <v>AB10051387</v>
          </cell>
          <cell r="I108" t="e">
            <v>#N/A</v>
          </cell>
          <cell r="J108" t="str">
            <v>SADI KIMWAGA</v>
          </cell>
          <cell r="K108" t="str">
            <v>JOSEPH JIRABI</v>
          </cell>
        </row>
        <row r="109">
          <cell r="B109" t="str">
            <v>T105EBX</v>
          </cell>
          <cell r="C109" t="str">
            <v>T529EBW</v>
          </cell>
          <cell r="D109" t="str">
            <v>T592EBV</v>
          </cell>
          <cell r="E109" t="str">
            <v>BRUNO GERALD LUVENA</v>
          </cell>
          <cell r="F109">
            <v>714616082</v>
          </cell>
          <cell r="G109">
            <v>4000134281</v>
          </cell>
          <cell r="H109" t="str">
            <v>TAE876963</v>
          </cell>
          <cell r="I109" t="e">
            <v>#N/A</v>
          </cell>
          <cell r="J109" t="str">
            <v>Martha GOLODI</v>
          </cell>
          <cell r="K109" t="str">
            <v>JOSEPH JIRABI</v>
          </cell>
        </row>
        <row r="110">
          <cell r="B110" t="str">
            <v>T142EBX</v>
          </cell>
          <cell r="C110" t="str">
            <v>T594EBX</v>
          </cell>
          <cell r="D110" t="str">
            <v>T771EBV</v>
          </cell>
          <cell r="E110" t="str">
            <v>BRUNO WILLY MWAJILA</v>
          </cell>
          <cell r="F110">
            <v>755826365</v>
          </cell>
          <cell r="G110">
            <v>4002810616</v>
          </cell>
          <cell r="H110" t="str">
            <v>TAE701947</v>
          </cell>
          <cell r="I110" t="str">
            <v>126-452-225</v>
          </cell>
          <cell r="J110" t="str">
            <v>Martha GOLODI</v>
          </cell>
          <cell r="K110" t="str">
            <v>JOSEPH JIRABI</v>
          </cell>
        </row>
        <row r="111">
          <cell r="B111" t="str">
            <v>T588DYR</v>
          </cell>
          <cell r="C111" t="str">
            <v>T955DYT</v>
          </cell>
          <cell r="D111" t="str">
            <v> </v>
          </cell>
          <cell r="E111" t="str">
            <v>CHARLES GODFREY KOKA</v>
          </cell>
          <cell r="F111">
            <v>713970384</v>
          </cell>
          <cell r="G111">
            <v>4000133485</v>
          </cell>
          <cell r="H111" t="str">
            <v>TAE309077</v>
          </cell>
          <cell r="I111">
            <v>113034939</v>
          </cell>
          <cell r="J111" t="str">
            <v>SADI KIMWAGA</v>
          </cell>
          <cell r="K111" t="str">
            <v>JOSEPH JIRABI</v>
          </cell>
        </row>
        <row r="112">
          <cell r="B112" t="str">
            <v>T385ECN</v>
          </cell>
          <cell r="C112" t="str">
            <v>T803ECG</v>
          </cell>
          <cell r="D112" t="str">
            <v>T750EBV</v>
          </cell>
          <cell r="E112" t="str">
            <v>CHARLES LONGIN MASESA</v>
          </cell>
          <cell r="F112">
            <v>756066146</v>
          </cell>
          <cell r="G112">
            <v>4001398414</v>
          </cell>
          <cell r="H112" t="str">
            <v>TAE575246</v>
          </cell>
          <cell r="I112">
            <v>117032671</v>
          </cell>
          <cell r="J112" t="str">
            <v>IRENE SHIJA</v>
          </cell>
          <cell r="K112" t="str">
            <v>ABDRULRAHIMAN</v>
          </cell>
        </row>
        <row r="113">
          <cell r="B113" t="str">
            <v>T728EBX</v>
          </cell>
          <cell r="C113" t="str">
            <v>T229EBZ</v>
          </cell>
          <cell r="D113" t="str">
            <v>T275EBW</v>
          </cell>
          <cell r="E113" t="str">
            <v>CHRISTIAN NKWELA MAPUNDA</v>
          </cell>
          <cell r="F113">
            <v>754565441</v>
          </cell>
          <cell r="G113">
            <v>4002268462</v>
          </cell>
          <cell r="H113" t="str">
            <v>TAE704150</v>
          </cell>
          <cell r="I113" t="str">
            <v>124-077-176</v>
          </cell>
          <cell r="J113" t="str">
            <v>Martha GOLODI</v>
          </cell>
          <cell r="K113" t="str">
            <v>JOSEPH JIRABI</v>
          </cell>
        </row>
        <row r="114">
          <cell r="B114" t="str">
            <v>T305EBX</v>
          </cell>
          <cell r="C114" t="str">
            <v>T897EBY</v>
          </cell>
          <cell r="D114" t="str">
            <v> </v>
          </cell>
          <cell r="E114" t="str">
            <v>NIKUSUMA PHILLIP NGELELA</v>
          </cell>
          <cell r="F114">
            <v>759848764</v>
          </cell>
          <cell r="G114">
            <v>4000303092</v>
          </cell>
          <cell r="H114" t="str">
            <v>TAE340761</v>
          </cell>
          <cell r="I114" t="str">
            <v>115-014-153</v>
          </cell>
          <cell r="J114" t="str">
            <v>Ayoub BENESTA</v>
          </cell>
          <cell r="K114" t="str">
            <v>JUMA ISMAIL</v>
          </cell>
        </row>
        <row r="115">
          <cell r="B115" t="str">
            <v>T967EBW</v>
          </cell>
          <cell r="C115" t="str">
            <v>T480EBW</v>
          </cell>
          <cell r="D115" t="str">
            <v>T556EBV</v>
          </cell>
          <cell r="E115" t="str">
            <v xml:space="preserve">CHRISTOPHER SAMWEL TITO </v>
          </cell>
          <cell r="F115">
            <v>756015656</v>
          </cell>
          <cell r="G115">
            <v>4000266615</v>
          </cell>
          <cell r="H115" t="str">
            <v>TAE659624</v>
          </cell>
          <cell r="I115" t="e">
            <v>#N/A</v>
          </cell>
          <cell r="J115" t="str">
            <v>SADI KIMWAGA</v>
          </cell>
          <cell r="K115" t="str">
            <v>JOSEPH JIRABI</v>
          </cell>
        </row>
        <row r="116">
          <cell r="B116" t="str">
            <v>T953EBW</v>
          </cell>
          <cell r="C116" t="str">
            <v>T469EBW</v>
          </cell>
          <cell r="D116" t="str">
            <v>T618EBV</v>
          </cell>
          <cell r="E116" t="str">
            <v>COLLINS FRANK KAAYA</v>
          </cell>
          <cell r="F116">
            <v>750006861</v>
          </cell>
          <cell r="G116">
            <v>4003580930</v>
          </cell>
          <cell r="H116" t="str">
            <v>TAE363264</v>
          </cell>
          <cell r="I116" t="str">
            <v>122-538-745</v>
          </cell>
          <cell r="J116" t="str">
            <v>IRENE SHIJA</v>
          </cell>
          <cell r="K116" t="str">
            <v>ABDRULRAHIMAN</v>
          </cell>
        </row>
        <row r="117">
          <cell r="B117" t="str">
            <v>T256EBX</v>
          </cell>
          <cell r="C117" t="str">
            <v>T542EBX</v>
          </cell>
          <cell r="D117" t="str">
            <v>T671EBV</v>
          </cell>
          <cell r="E117" t="str">
            <v>MAJUTO SHABANI HAMISI</v>
          </cell>
          <cell r="F117">
            <v>4000059044</v>
          </cell>
          <cell r="G117" t="str">
            <v>0716901140/0752674427</v>
          </cell>
          <cell r="H117" t="str">
            <v>TAE225878</v>
          </cell>
          <cell r="I117">
            <v>112243224</v>
          </cell>
          <cell r="J117" t="str">
            <v>PLASDUS MAHUMBA</v>
          </cell>
          <cell r="K117" t="str">
            <v>ABDRULRAHIMAN</v>
          </cell>
        </row>
        <row r="118">
          <cell r="B118" t="str">
            <v>T950DSX</v>
          </cell>
          <cell r="C118" t="str">
            <v>T386DTD</v>
          </cell>
          <cell r="D118" t="str">
            <v> </v>
          </cell>
          <cell r="E118" t="str">
            <v>RAJABU SADIKI SUNGUWAZYA</v>
          </cell>
          <cell r="F118">
            <v>715047010</v>
          </cell>
          <cell r="G118">
            <v>4004979830</v>
          </cell>
          <cell r="H118" t="str">
            <v>TAE658004</v>
          </cell>
          <cell r="I118"/>
          <cell r="J118" t="str">
            <v>LUSAJO KASUNGA</v>
          </cell>
          <cell r="K118" t="str">
            <v>JUMA ISMAIL</v>
          </cell>
        </row>
        <row r="119">
          <cell r="B119" t="str">
            <v>T638DHL</v>
          </cell>
          <cell r="C119" t="str">
            <v>T349DHS</v>
          </cell>
          <cell r="D119" t="str">
            <v> </v>
          </cell>
          <cell r="E119" t="str">
            <v>DAUDI ISSA NJUMITE</v>
          </cell>
          <cell r="F119">
            <v>787100278</v>
          </cell>
          <cell r="G119">
            <v>4000761490</v>
          </cell>
          <cell r="H119" t="str">
            <v>TAE874283</v>
          </cell>
          <cell r="I119" t="str">
            <v>116-922-096</v>
          </cell>
          <cell r="J119" t="str">
            <v>IRENE SHIJA</v>
          </cell>
          <cell r="K119" t="str">
            <v>ABDRULRAHIMAN</v>
          </cell>
        </row>
        <row r="120">
          <cell r="B120" t="str">
            <v>T766EBW</v>
          </cell>
          <cell r="C120" t="str">
            <v>T820ECG</v>
          </cell>
          <cell r="D120" t="str">
            <v>T320EBW</v>
          </cell>
          <cell r="E120" t="str">
            <v>GASPER JOSIA LEMA</v>
          </cell>
          <cell r="F120">
            <v>765188188</v>
          </cell>
          <cell r="G120">
            <v>4000081048</v>
          </cell>
          <cell r="H120" t="str">
            <v>TAE 674007</v>
          </cell>
          <cell r="I120" t="str">
            <v>112-271-570</v>
          </cell>
          <cell r="J120" t="str">
            <v>Ayoub BENESTA</v>
          </cell>
          <cell r="K120" t="str">
            <v>JUMA ISMAIL</v>
          </cell>
        </row>
        <row r="121">
          <cell r="B121" t="str">
            <v>T774DYR</v>
          </cell>
          <cell r="C121" t="str">
            <v>T175DCZ</v>
          </cell>
          <cell r="D121" t="str">
            <v> </v>
          </cell>
          <cell r="E121" t="str">
            <v>RAMADHANI AYOUB ATHUMANI</v>
          </cell>
          <cell r="F121">
            <v>712929554</v>
          </cell>
          <cell r="G121">
            <v>4006759485</v>
          </cell>
          <cell r="H121" t="str">
            <v>TAE509342</v>
          </cell>
          <cell r="I121" t="str">
            <v>111-019-703</v>
          </cell>
          <cell r="J121" t="str">
            <v>LUSAJO KASUNGA</v>
          </cell>
          <cell r="K121" t="str">
            <v>JUMA ISMAIL</v>
          </cell>
        </row>
        <row r="122">
          <cell r="B122" t="str">
            <v>T643DHL</v>
          </cell>
          <cell r="C122" t="str">
            <v>T399DAK</v>
          </cell>
          <cell r="D122" t="str">
            <v> </v>
          </cell>
          <cell r="E122" t="str">
            <v>EZEKIEL AMBAKISYE MWAMBENE</v>
          </cell>
          <cell r="F122">
            <v>757290880</v>
          </cell>
          <cell r="G122">
            <v>4000919537</v>
          </cell>
          <cell r="H122" t="str">
            <v>TAE344895</v>
          </cell>
          <cell r="I122"/>
          <cell r="J122" t="str">
            <v>LUSAJO KASUNGA</v>
          </cell>
          <cell r="K122" t="str">
            <v>JUMA ISMAIL</v>
          </cell>
        </row>
        <row r="123">
          <cell r="B123" t="str">
            <v>T341DHG</v>
          </cell>
          <cell r="C123" t="str">
            <v>T911DHG</v>
          </cell>
          <cell r="D123" t="str">
            <v> </v>
          </cell>
          <cell r="E123" t="str">
            <v>DAVID GODLOVE MHAMILAWA</v>
          </cell>
          <cell r="F123">
            <v>753464622</v>
          </cell>
          <cell r="G123">
            <v>4000522157</v>
          </cell>
          <cell r="H123" t="str">
            <v>TAE461882</v>
          </cell>
          <cell r="I123">
            <v>116717778</v>
          </cell>
          <cell r="J123" t="str">
            <v>IRENE SHIJA</v>
          </cell>
          <cell r="K123" t="str">
            <v>ABDRULRAHIMAN</v>
          </cell>
        </row>
        <row r="124">
          <cell r="B124" t="str">
            <v>T420DHE</v>
          </cell>
          <cell r="C124" t="str">
            <v>T115DHM</v>
          </cell>
          <cell r="D124" t="str">
            <v> </v>
          </cell>
          <cell r="E124" t="str">
            <v>DAVID HADSON SAMSON</v>
          </cell>
          <cell r="F124">
            <v>782879883</v>
          </cell>
          <cell r="G124">
            <v>4000484779</v>
          </cell>
          <cell r="H124" t="str">
            <v>AB10003239</v>
          </cell>
          <cell r="I124" t="str">
            <v>116-526-611</v>
          </cell>
          <cell r="J124" t="str">
            <v>IRENE SHIJA</v>
          </cell>
          <cell r="K124" t="str">
            <v>ABDRULRAHIMAN</v>
          </cell>
        </row>
        <row r="125">
          <cell r="B125" t="str">
            <v>T423DHE</v>
          </cell>
          <cell r="C125" t="str">
            <v>T996DHL</v>
          </cell>
          <cell r="D125" t="str">
            <v> </v>
          </cell>
          <cell r="E125" t="str">
            <v>DAVID HAMIS MAKILIKA</v>
          </cell>
          <cell r="F125">
            <v>787961664</v>
          </cell>
          <cell r="G125">
            <v>4001755198</v>
          </cell>
          <cell r="H125" t="str">
            <v>TAE669784</v>
          </cell>
          <cell r="I125" t="str">
            <v>144-344-901</v>
          </cell>
          <cell r="J125" t="str">
            <v>PLASDUS MAHUMBA</v>
          </cell>
          <cell r="K125" t="str">
            <v>ABDRULRAHIMAN</v>
          </cell>
        </row>
        <row r="126">
          <cell r="B126" t="str">
            <v>T818EBW</v>
          </cell>
          <cell r="C126" t="str">
            <v>T823ECG</v>
          </cell>
          <cell r="D126" t="str">
            <v>T284EBW</v>
          </cell>
          <cell r="E126" t="str">
            <v>DAVID NICHOLAUS MASAKA</v>
          </cell>
          <cell r="F126">
            <v>45</v>
          </cell>
          <cell r="G126">
            <v>4005507725</v>
          </cell>
          <cell r="H126" t="str">
            <v>TAE 589793</v>
          </cell>
          <cell r="I126" t="str">
            <v>138-774-333</v>
          </cell>
          <cell r="J126" t="str">
            <v>SADI KIMWAGA</v>
          </cell>
          <cell r="K126" t="str">
            <v>JOSEPH JIRABI</v>
          </cell>
        </row>
        <row r="127">
          <cell r="B127" t="str">
            <v>T683DEB</v>
          </cell>
          <cell r="C127" t="str">
            <v>T943DEK</v>
          </cell>
          <cell r="D127" t="str">
            <v>T332DVR</v>
          </cell>
          <cell r="E127"/>
          <cell r="F127"/>
          <cell r="G127"/>
          <cell r="H127"/>
          <cell r="I127"/>
          <cell r="J127" t="str">
            <v>Martha GOLODI</v>
          </cell>
          <cell r="K127" t="str">
            <v>JOSEPH JIRABI</v>
          </cell>
        </row>
        <row r="128">
          <cell r="B128" t="str">
            <v>T990EBW</v>
          </cell>
          <cell r="C128" t="str">
            <v>T504EBW</v>
          </cell>
          <cell r="D128" t="str">
            <v>T595EBV</v>
          </cell>
          <cell r="E128" t="str">
            <v>DAWSON MWEYUNGE NASSON</v>
          </cell>
          <cell r="F128">
            <v>759083659</v>
          </cell>
          <cell r="G128">
            <v>4000142160</v>
          </cell>
          <cell r="H128" t="str">
            <v>TAE483189</v>
          </cell>
          <cell r="I128" t="str">
            <v>112-233-113</v>
          </cell>
          <cell r="J128" t="str">
            <v>IRENE SHIJA</v>
          </cell>
          <cell r="K128" t="str">
            <v>ABDRULRAHIMAN</v>
          </cell>
        </row>
        <row r="129">
          <cell r="B129" t="str">
            <v>T144EBX</v>
          </cell>
          <cell r="C129" t="str">
            <v>T593EBX</v>
          </cell>
          <cell r="D129" t="str">
            <v>T722EBV</v>
          </cell>
          <cell r="E129" t="str">
            <v>DEDE GEORGE JEREMIA</v>
          </cell>
          <cell r="F129">
            <v>755848222</v>
          </cell>
          <cell r="G129">
            <v>4001409693</v>
          </cell>
          <cell r="H129" t="str">
            <v>TAE654262</v>
          </cell>
          <cell r="I129">
            <v>115920804</v>
          </cell>
          <cell r="J129" t="str">
            <v>Ayoub BENESTA</v>
          </cell>
          <cell r="K129" t="str">
            <v>JUMA ISMAIL</v>
          </cell>
        </row>
        <row r="130">
          <cell r="B130" t="str">
            <v>T873EBY</v>
          </cell>
          <cell r="C130" t="str">
            <v>T545EBY</v>
          </cell>
          <cell r="D130" t="str">
            <v>T628EBV</v>
          </cell>
          <cell r="E130" t="str">
            <v>STEPHANO ABINELI ULOMI</v>
          </cell>
          <cell r="F130">
            <v>752455628</v>
          </cell>
          <cell r="G130">
            <v>4004394739</v>
          </cell>
          <cell r="H130" t="str">
            <v>TAE365651</v>
          </cell>
          <cell r="I130" t="e">
            <v>#N/A</v>
          </cell>
          <cell r="J130" t="str">
            <v>LUSAJO KASUNGA</v>
          </cell>
          <cell r="K130" t="str">
            <v>JUMA ISMAIL</v>
          </cell>
        </row>
        <row r="131">
          <cell r="B131" t="str">
            <v>T683EBX</v>
          </cell>
          <cell r="C131" t="str">
            <v>T283EBZ</v>
          </cell>
          <cell r="D131" t="str">
            <v>T639EBV</v>
          </cell>
          <cell r="E131" t="str">
            <v>JUMA ALLY KONDO</v>
          </cell>
          <cell r="F131">
            <v>767067314</v>
          </cell>
          <cell r="G131">
            <v>4000278758</v>
          </cell>
          <cell r="H131" t="str">
            <v>TAE623208</v>
          </cell>
          <cell r="I131"/>
          <cell r="J131" t="str">
            <v>LUSAJO KASUNGA</v>
          </cell>
          <cell r="K131" t="str">
            <v>JUMA ISMAIL</v>
          </cell>
        </row>
        <row r="132">
          <cell r="B132" t="str">
            <v>T912EBW</v>
          </cell>
          <cell r="C132" t="str">
            <v>T346ECH</v>
          </cell>
          <cell r="D132" t="str">
            <v>T117EBW</v>
          </cell>
          <cell r="E132" t="str">
            <v>BOSCO BONIFACE KOMBA</v>
          </cell>
          <cell r="F132" t="str">
            <v>34ebw</v>
          </cell>
          <cell r="G132">
            <v>4000244708</v>
          </cell>
          <cell r="H132" t="str">
            <v>TAE623330</v>
          </cell>
          <cell r="I132">
            <v>114408166</v>
          </cell>
          <cell r="J132" t="str">
            <v>Martha GOLODI</v>
          </cell>
          <cell r="K132" t="str">
            <v>JOSEPH JIRABI</v>
          </cell>
        </row>
        <row r="133">
          <cell r="B133" t="str">
            <v>T380ECN</v>
          </cell>
          <cell r="C133" t="str">
            <v>T790ECG</v>
          </cell>
          <cell r="D133" t="str">
            <v>T512EBV</v>
          </cell>
          <cell r="E133" t="str">
            <v>DENIS FRED BAJANGO</v>
          </cell>
          <cell r="F133">
            <v>762901081</v>
          </cell>
          <cell r="G133">
            <v>4000244137</v>
          </cell>
          <cell r="H133" t="str">
            <v>TAE156584</v>
          </cell>
          <cell r="I133" t="str">
            <v>114-400-165</v>
          </cell>
          <cell r="J133" t="str">
            <v>IRENE SHIJA</v>
          </cell>
          <cell r="K133" t="str">
            <v>ABDRULRAHIMAN</v>
          </cell>
        </row>
        <row r="134">
          <cell r="B134" t="str">
            <v>T688DEB</v>
          </cell>
          <cell r="C134" t="str">
            <v>T485DEJ</v>
          </cell>
          <cell r="D134" t="str">
            <v> </v>
          </cell>
          <cell r="E134" t="str">
            <v>DENIS MUHAGAMA KAPINGA</v>
          </cell>
          <cell r="F134">
            <v>652566868</v>
          </cell>
          <cell r="G134">
            <v>4000435918</v>
          </cell>
          <cell r="H134" t="str">
            <v>TAE477374</v>
          </cell>
          <cell r="I134" t="str">
            <v>116-325-268</v>
          </cell>
          <cell r="J134" t="str">
            <v>SADI KIMWAGA</v>
          </cell>
          <cell r="K134" t="str">
            <v>JOSEPH JIRABI</v>
          </cell>
        </row>
        <row r="135">
          <cell r="B135" t="str">
            <v>T360DHG</v>
          </cell>
          <cell r="C135" t="str">
            <v>T994DHL</v>
          </cell>
          <cell r="D135" t="str">
            <v> </v>
          </cell>
          <cell r="E135" t="str">
            <v xml:space="preserve">DEOGRATIAS PETER NGHABI </v>
          </cell>
          <cell r="F135">
            <v>717046363</v>
          </cell>
          <cell r="G135">
            <v>4000387348</v>
          </cell>
          <cell r="H135" t="str">
            <v>TAE713245</v>
          </cell>
          <cell r="I135" t="e">
            <v>#N/A</v>
          </cell>
          <cell r="J135" t="str">
            <v>PLASDUS MAHUMBA</v>
          </cell>
          <cell r="K135" t="str">
            <v>ABDRULRAHIMAN</v>
          </cell>
        </row>
        <row r="136">
          <cell r="B136" t="str">
            <v>T404ECN</v>
          </cell>
          <cell r="C136" t="str">
            <v>T804ECG</v>
          </cell>
          <cell r="D136" t="str">
            <v>T355EBW</v>
          </cell>
          <cell r="E136" t="str">
            <v>AMIRI YAKUBU KUTIKA</v>
          </cell>
          <cell r="F136">
            <v>767662141</v>
          </cell>
          <cell r="G136">
            <v>4000055932</v>
          </cell>
          <cell r="H136" t="str">
            <v>TAE653516</v>
          </cell>
          <cell r="I136" t="e">
            <v>#N/A</v>
          </cell>
          <cell r="J136" t="str">
            <v>Martha GOLODI</v>
          </cell>
          <cell r="K136" t="str">
            <v>JOSEPH JIRABI</v>
          </cell>
        </row>
        <row r="137">
          <cell r="B137" t="str">
            <v>T746EBX</v>
          </cell>
          <cell r="C137" t="str">
            <v>T582EBY</v>
          </cell>
          <cell r="D137" t="str">
            <v>T960EBV</v>
          </cell>
          <cell r="E137" t="str">
            <v>DEUS PASCAL KAIJAGE</v>
          </cell>
          <cell r="F137">
            <v>718543335</v>
          </cell>
          <cell r="G137">
            <v>4000245889</v>
          </cell>
          <cell r="H137" t="str">
            <v>TAE089083</v>
          </cell>
          <cell r="I137">
            <v>114331740</v>
          </cell>
          <cell r="J137" t="str">
            <v>PLASDUS MAHUMBA</v>
          </cell>
          <cell r="K137" t="str">
            <v>ABDRULRAHIMAN</v>
          </cell>
        </row>
        <row r="138">
          <cell r="B138" t="str">
            <v>T336ECN</v>
          </cell>
          <cell r="C138" t="str">
            <v>T815ECG</v>
          </cell>
          <cell r="D138" t="str">
            <v>T323EBW</v>
          </cell>
          <cell r="E138" t="str">
            <v>DIMALETI NELSON MWAMBIPILE</v>
          </cell>
          <cell r="F138">
            <v>756523435</v>
          </cell>
          <cell r="G138">
            <v>4000419997</v>
          </cell>
          <cell r="H138" t="str">
            <v>TAE701849</v>
          </cell>
          <cell r="I138" t="e">
            <v>#N/A</v>
          </cell>
          <cell r="J138" t="str">
            <v>SADI KIMWAGA</v>
          </cell>
          <cell r="K138" t="str">
            <v>JOSEPH JIRABI</v>
          </cell>
        </row>
        <row r="139">
          <cell r="B139" t="str">
            <v>T403DHG</v>
          </cell>
          <cell r="C139" t="str">
            <v>T885DHG</v>
          </cell>
          <cell r="D139" t="str">
            <v> </v>
          </cell>
          <cell r="E139" t="str">
            <v>DOTTO ABDALLAH SHAKA</v>
          </cell>
          <cell r="F139">
            <v>657210146</v>
          </cell>
          <cell r="G139">
            <v>4000222251</v>
          </cell>
          <cell r="H139" t="str">
            <v> </v>
          </cell>
          <cell r="I139" t="str">
            <v>113-993-065</v>
          </cell>
          <cell r="J139" t="str">
            <v>SADI KIMWAGA</v>
          </cell>
          <cell r="K139" t="str">
            <v>JOSEPH JIRABI</v>
          </cell>
        </row>
        <row r="140">
          <cell r="B140" t="str">
            <v>T333DHG</v>
          </cell>
          <cell r="C140" t="str">
            <v>T890DHG</v>
          </cell>
          <cell r="D140" t="str">
            <v> </v>
          </cell>
          <cell r="E140" t="str">
            <v>EDISON TADEO BYARUGABA</v>
          </cell>
          <cell r="F140">
            <v>743170700</v>
          </cell>
          <cell r="G140">
            <v>4001767494</v>
          </cell>
          <cell r="H140" t="str">
            <v>TAE729622</v>
          </cell>
          <cell r="I140" t="e">
            <v>#N/A</v>
          </cell>
          <cell r="J140" t="str">
            <v>PLASDUS MAHUMBA</v>
          </cell>
          <cell r="K140" t="str">
            <v>ABDRULRAHIMAN</v>
          </cell>
        </row>
        <row r="141">
          <cell r="B141" t="str">
            <v>T679ECP</v>
          </cell>
          <cell r="C141" t="str">
            <v>T893EBY</v>
          </cell>
          <cell r="D141" t="str">
            <v> </v>
          </cell>
          <cell r="E141" t="str">
            <v>EDWARD LEONARD MANGASTAR</v>
          </cell>
          <cell r="F141">
            <v>716627610</v>
          </cell>
          <cell r="G141">
            <v>4005167356</v>
          </cell>
          <cell r="H141" t="str">
            <v>TAE527953</v>
          </cell>
          <cell r="I141" t="e">
            <v>#N/A</v>
          </cell>
          <cell r="J141" t="str">
            <v>Martha GOLODI</v>
          </cell>
          <cell r="K141" t="str">
            <v>JOSEPH JIRABI</v>
          </cell>
        </row>
        <row r="142">
          <cell r="B142" t="str">
            <v>T728DYR</v>
          </cell>
          <cell r="C142" t="str">
            <v>T834DYT</v>
          </cell>
          <cell r="D142" t="str">
            <v> </v>
          </cell>
          <cell r="E142" t="str">
            <v>ELIA JUMA NZOWA</v>
          </cell>
          <cell r="F142">
            <v>753247171</v>
          </cell>
          <cell r="G142">
            <v>4000570495</v>
          </cell>
          <cell r="H142" t="str">
            <v>TAE547059</v>
          </cell>
          <cell r="I142">
            <v>116932938</v>
          </cell>
          <cell r="J142" t="str">
            <v>PLASDUS MAHUMBA</v>
          </cell>
          <cell r="K142" t="str">
            <v>ABDRULRAHIMAN</v>
          </cell>
        </row>
        <row r="143">
          <cell r="B143" t="str">
            <v>T241EBX</v>
          </cell>
          <cell r="C143" t="str">
            <v>T908EBY</v>
          </cell>
          <cell r="D143" t="str">
            <v> </v>
          </cell>
          <cell r="E143" t="str">
            <v>ELIA PASKALI MKINI</v>
          </cell>
          <cell r="F143">
            <v>719242448</v>
          </cell>
          <cell r="G143">
            <v>4000130466</v>
          </cell>
          <cell r="H143" t="str">
            <v>TAE572040</v>
          </cell>
          <cell r="I143" t="str">
            <v>112-997-628</v>
          </cell>
          <cell r="J143" t="str">
            <v>Ayoub BENESTA</v>
          </cell>
          <cell r="K143" t="str">
            <v>JUMA ISMAIL</v>
          </cell>
        </row>
        <row r="144">
          <cell r="B144" t="str">
            <v>T232EBX</v>
          </cell>
          <cell r="C144" t="str">
            <v>T904EBY</v>
          </cell>
          <cell r="D144" t="str">
            <v> </v>
          </cell>
          <cell r="E144" t="str">
            <v>ELIAH YUSUPH MPANGO</v>
          </cell>
          <cell r="F144">
            <v>688300008</v>
          </cell>
          <cell r="G144">
            <v>4004730500</v>
          </cell>
          <cell r="H144" t="str">
            <v>TAE435454</v>
          </cell>
          <cell r="I144">
            <v>134869925</v>
          </cell>
          <cell r="J144" t="str">
            <v>IRENE SHIJA</v>
          </cell>
          <cell r="K144" t="str">
            <v>ABDRULRAHIMAN</v>
          </cell>
        </row>
        <row r="145">
          <cell r="B145" t="str">
            <v>T980EBW</v>
          </cell>
          <cell r="C145" t="str">
            <v>T447EBW</v>
          </cell>
          <cell r="D145" t="str">
            <v>T632EBV</v>
          </cell>
          <cell r="E145" t="str">
            <v>ELIAS SAID MTEBENE</v>
          </cell>
          <cell r="F145">
            <v>715271684</v>
          </cell>
          <cell r="G145">
            <v>4000489911</v>
          </cell>
          <cell r="H145" t="str">
            <v>TAE350353</v>
          </cell>
          <cell r="I145" t="e">
            <v>#N/A</v>
          </cell>
          <cell r="J145" t="str">
            <v>IRENE SHIJA</v>
          </cell>
          <cell r="K145" t="str">
            <v>ABDRULRAHIMAN</v>
          </cell>
        </row>
        <row r="146">
          <cell r="B146" t="str">
            <v>T907EBW</v>
          </cell>
          <cell r="C146" t="str">
            <v>T549EBY</v>
          </cell>
          <cell r="D146" t="str">
            <v>T744EBV</v>
          </cell>
          <cell r="E146" t="str">
            <v>ELIBAS EZEKIEL KITUNGWA</v>
          </cell>
          <cell r="F146">
            <v>755788217</v>
          </cell>
          <cell r="G146">
            <v>4001425777</v>
          </cell>
          <cell r="H146" t="str">
            <v>TAE633438</v>
          </cell>
          <cell r="I146" t="e">
            <v>#N/A</v>
          </cell>
          <cell r="J146" t="str">
            <v>Martha GOLODI</v>
          </cell>
          <cell r="K146" t="str">
            <v>JOSEPH JIRABI</v>
          </cell>
        </row>
        <row r="147">
          <cell r="B147" t="str">
            <v>T996EBW</v>
          </cell>
          <cell r="C147" t="str">
            <v>T448EBW</v>
          </cell>
          <cell r="D147" t="str">
            <v>T591EBV</v>
          </cell>
          <cell r="E147" t="str">
            <v>ELIYA JOSEPH MGUNGA</v>
          </cell>
          <cell r="F147" t="str">
            <v>783 503 525</v>
          </cell>
          <cell r="G147">
            <v>4000243853</v>
          </cell>
          <cell r="H147" t="str">
            <v>TAE 687784</v>
          </cell>
          <cell r="I147" t="e">
            <v>#N/A</v>
          </cell>
          <cell r="J147" t="str">
            <v>IRENE SHIJA</v>
          </cell>
          <cell r="K147" t="str">
            <v>ABDRULRAHIMAN</v>
          </cell>
        </row>
        <row r="148">
          <cell r="B148" t="str">
            <v>T604DTQ</v>
          </cell>
          <cell r="C148" t="str">
            <v>T819DTQ</v>
          </cell>
          <cell r="D148" t="str">
            <v> </v>
          </cell>
          <cell r="E148" t="str">
            <v>EMANUEL AGRICOLA MKENDA</v>
          </cell>
          <cell r="F148" t="str">
            <v>0714984755/0786052602</v>
          </cell>
          <cell r="G148">
            <v>4000408828</v>
          </cell>
          <cell r="H148" t="str">
            <v>TAE038797</v>
          </cell>
          <cell r="I148" t="e">
            <v>#N/A</v>
          </cell>
          <cell r="J148" t="str">
            <v>PLASDUS MAHUMBA</v>
          </cell>
          <cell r="K148" t="str">
            <v>ABDRULRAHIMAN</v>
          </cell>
        </row>
        <row r="149">
          <cell r="B149" t="str">
            <v>T312DDJ</v>
          </cell>
          <cell r="C149" t="str">
            <v>T293DAK</v>
          </cell>
          <cell r="D149" t="str">
            <v> </v>
          </cell>
          <cell r="E149" t="str">
            <v>EMANUEL DANIELI MWASELE</v>
          </cell>
          <cell r="F149">
            <v>752112960</v>
          </cell>
          <cell r="G149">
            <v>4000297585</v>
          </cell>
          <cell r="H149" t="str">
            <v>TAE464008</v>
          </cell>
          <cell r="I149" t="e">
            <v>#N/A</v>
          </cell>
          <cell r="J149" t="str">
            <v>SADI KIMWAGA</v>
          </cell>
          <cell r="K149" t="str">
            <v>JOSEPH JIRABI</v>
          </cell>
        </row>
        <row r="150">
          <cell r="B150" t="str">
            <v>T327DDJ</v>
          </cell>
          <cell r="C150" t="str">
            <v>T925DDJ</v>
          </cell>
          <cell r="D150" t="str">
            <v> </v>
          </cell>
          <cell r="E150"/>
          <cell r="F150"/>
          <cell r="G150"/>
          <cell r="H150"/>
          <cell r="I150"/>
          <cell r="J150" t="str">
            <v>IRENE SHIJA</v>
          </cell>
          <cell r="K150" t="str">
            <v>ABDRULRAHIMAN</v>
          </cell>
        </row>
        <row r="151">
          <cell r="B151" t="str">
            <v>T378DHG</v>
          </cell>
          <cell r="C151" t="str">
            <v>T910DHG</v>
          </cell>
          <cell r="D151" t="str">
            <v> </v>
          </cell>
          <cell r="E151" t="str">
            <v>ENOCK ADRIANO MUSHI</v>
          </cell>
          <cell r="F151">
            <v>782600740</v>
          </cell>
          <cell r="G151">
            <v>4002623052</v>
          </cell>
          <cell r="H151" t="str">
            <v>TAE662145</v>
          </cell>
          <cell r="I151" t="str">
            <v>125-578-209</v>
          </cell>
          <cell r="J151" t="str">
            <v>IRENE SHIJA</v>
          </cell>
          <cell r="K151" t="str">
            <v>ABDRULRAHIMAN</v>
          </cell>
        </row>
        <row r="152">
          <cell r="B152" t="str">
            <v>T512EBY</v>
          </cell>
          <cell r="C152" t="str">
            <v>T901EBY</v>
          </cell>
          <cell r="D152" t="str">
            <v> </v>
          </cell>
          <cell r="E152" t="str">
            <v>ERASTO CHARLES MTWEVE</v>
          </cell>
          <cell r="F152">
            <v>782400871</v>
          </cell>
          <cell r="G152">
            <v>4000516618</v>
          </cell>
          <cell r="H152" t="str">
            <v>TAE683966</v>
          </cell>
          <cell r="I152" t="e">
            <v>#N/A</v>
          </cell>
          <cell r="J152" t="str">
            <v>PLASDUS MAHUMBA</v>
          </cell>
          <cell r="K152" t="str">
            <v>ABDRULRAHIMAN</v>
          </cell>
        </row>
        <row r="153">
          <cell r="B153" t="str">
            <v>T276DDJ</v>
          </cell>
          <cell r="C153" t="str">
            <v>T381DEH</v>
          </cell>
          <cell r="D153" t="str">
            <v> </v>
          </cell>
          <cell r="E153" t="str">
            <v>ERICK JOSEPH KIDUGE</v>
          </cell>
          <cell r="F153">
            <v>784506026</v>
          </cell>
          <cell r="G153">
            <v>4000030791</v>
          </cell>
          <cell r="H153" t="str">
            <v>TAE698252</v>
          </cell>
          <cell r="I153" t="str">
            <v>111-444-986</v>
          </cell>
          <cell r="J153" t="str">
            <v>IRENE SHIJA</v>
          </cell>
          <cell r="K153" t="str">
            <v>ABDRULRAHIMAN</v>
          </cell>
        </row>
        <row r="154">
          <cell r="B154" t="str">
            <v>T958DSX</v>
          </cell>
          <cell r="C154" t="str">
            <v>T439DTD</v>
          </cell>
          <cell r="D154" t="str">
            <v> </v>
          </cell>
          <cell r="E154" t="str">
            <v>EMMANUEL ALOYCE SHINGWA</v>
          </cell>
          <cell r="F154" t="str">
            <v>683802512/0743442911</v>
          </cell>
          <cell r="G154">
            <v>4002007122</v>
          </cell>
          <cell r="H154" t="str">
            <v>TAE729627</v>
          </cell>
          <cell r="I154" t="str">
            <v>122-993-728</v>
          </cell>
          <cell r="J154" t="str">
            <v>IRENE SHIJA</v>
          </cell>
          <cell r="K154" t="str">
            <v>ABDRULRAHIMAN</v>
          </cell>
        </row>
        <row r="155">
          <cell r="B155" t="str">
            <v>T734EBX</v>
          </cell>
          <cell r="C155" t="str">
            <v>T233EBZ</v>
          </cell>
          <cell r="D155" t="str">
            <v>T946EBV</v>
          </cell>
          <cell r="E155" t="str">
            <v>EZEKIEL AIZACK KIHANZA</v>
          </cell>
          <cell r="F155">
            <v>692181413</v>
          </cell>
          <cell r="G155">
            <v>4000319215</v>
          </cell>
          <cell r="H155" t="str">
            <v>TAE483538</v>
          </cell>
          <cell r="I155">
            <v>115168665</v>
          </cell>
          <cell r="J155" t="str">
            <v>PLASDUS MAHUMBA</v>
          </cell>
          <cell r="K155" t="str">
            <v>ABDRULRAHIMAN</v>
          </cell>
        </row>
        <row r="156">
          <cell r="B156" t="str">
            <v>T287DDJ</v>
          </cell>
          <cell r="C156" t="str">
            <v>T366DBH</v>
          </cell>
          <cell r="D156" t="str">
            <v> </v>
          </cell>
          <cell r="E156" t="str">
            <v>EZEKIEL AMBAKISYE MWAMBENE</v>
          </cell>
          <cell r="F156">
            <v>757290880</v>
          </cell>
          <cell r="G156">
            <v>4000919537</v>
          </cell>
          <cell r="H156" t="str">
            <v>TAE344895</v>
          </cell>
          <cell r="I156" t="str">
            <v>118-416-929</v>
          </cell>
          <cell r="J156" t="str">
            <v>PLASDUS MAHUMBA</v>
          </cell>
          <cell r="K156" t="str">
            <v>ABDRULRAHIMAN</v>
          </cell>
        </row>
        <row r="157">
          <cell r="B157" t="str">
            <v>T443DHG</v>
          </cell>
          <cell r="C157" t="str">
            <v>T972DHL</v>
          </cell>
          <cell r="D157" t="str">
            <v> </v>
          </cell>
          <cell r="E157" t="str">
            <v>EZEKIEL DONARD UYACHI</v>
          </cell>
          <cell r="F157">
            <v>693488165</v>
          </cell>
          <cell r="G157">
            <v>4003567103</v>
          </cell>
          <cell r="H157" t="str">
            <v>TAE679367</v>
          </cell>
          <cell r="I157">
            <v>129760788</v>
          </cell>
          <cell r="J157" t="str">
            <v>Ayoub BENESTA</v>
          </cell>
          <cell r="K157" t="str">
            <v>JUMA ISMAIL</v>
          </cell>
        </row>
        <row r="158">
          <cell r="B158" t="str">
            <v>T725EBX</v>
          </cell>
          <cell r="C158" t="str">
            <v>T530EBY</v>
          </cell>
          <cell r="D158" t="str">
            <v>T552EBV</v>
          </cell>
          <cell r="E158" t="str">
            <v>EZEKIEL MASANJA LUGANDU</v>
          </cell>
          <cell r="F158">
            <v>689747627</v>
          </cell>
          <cell r="G158">
            <v>4000289689</v>
          </cell>
          <cell r="H158" t="str">
            <v>TAE431571</v>
          </cell>
          <cell r="I158" t="e">
            <v>#N/A</v>
          </cell>
          <cell r="J158" t="str">
            <v>PLASDUS MAHUMBA</v>
          </cell>
          <cell r="K158" t="str">
            <v>ABDRULRAHIMAN</v>
          </cell>
        </row>
        <row r="159">
          <cell r="B159" t="str">
            <v>T527EBY</v>
          </cell>
          <cell r="C159" t="str">
            <v>T931EBY</v>
          </cell>
          <cell r="D159" t="str">
            <v> </v>
          </cell>
          <cell r="E159" t="str">
            <v>EZRA DAUDI LUKONDO</v>
          </cell>
          <cell r="F159">
            <v>754366040</v>
          </cell>
          <cell r="G159">
            <v>4000383022</v>
          </cell>
          <cell r="H159" t="str">
            <v>TAE428699</v>
          </cell>
          <cell r="I159" t="str">
            <v>115-867-784</v>
          </cell>
          <cell r="J159" t="str">
            <v>Ayoub BENESTA</v>
          </cell>
          <cell r="K159" t="str">
            <v>JUMA ISMAIL</v>
          </cell>
        </row>
        <row r="160">
          <cell r="B160" t="str">
            <v>T417DHE</v>
          </cell>
          <cell r="C160" t="str">
            <v>T123DHM</v>
          </cell>
          <cell r="D160" t="str">
            <v> </v>
          </cell>
          <cell r="E160" t="str">
            <v>FADHILI SAIDI MTULILA</v>
          </cell>
          <cell r="F160">
            <v>758404120</v>
          </cell>
          <cell r="G160">
            <v>4001835169</v>
          </cell>
          <cell r="H160" t="str">
            <v>TAE698506</v>
          </cell>
          <cell r="I160" t="e">
            <v>#N/A</v>
          </cell>
          <cell r="J160" t="str">
            <v>IRENE SHIJA</v>
          </cell>
          <cell r="K160" t="str">
            <v>ABDRULRAHIMAN</v>
          </cell>
        </row>
        <row r="161">
          <cell r="B161" t="str">
            <v>T219EBX</v>
          </cell>
          <cell r="C161" t="str">
            <v>T898EBY</v>
          </cell>
          <cell r="D161" t="str">
            <v> </v>
          </cell>
          <cell r="E161" t="str">
            <v>FARAJA COSMAS THOMAS</v>
          </cell>
          <cell r="F161">
            <v>688994991</v>
          </cell>
          <cell r="G161">
            <v>4004544739</v>
          </cell>
          <cell r="H161" t="str">
            <v>TAE676392</v>
          </cell>
          <cell r="I161">
            <v>132843198</v>
          </cell>
          <cell r="J161" t="str">
            <v>LUSAJO KASUNGA</v>
          </cell>
          <cell r="K161" t="str">
            <v>JUMA ISMAIL</v>
          </cell>
        </row>
        <row r="162">
          <cell r="B162" t="str">
            <v>T599DTQ</v>
          </cell>
          <cell r="C162" t="str">
            <v>T808DTQ</v>
          </cell>
          <cell r="D162" t="str">
            <v> </v>
          </cell>
          <cell r="E162" t="str">
            <v>FARAJI SAIDI SALUMU</v>
          </cell>
          <cell r="F162" t="str">
            <v>O672909792/0613487892</v>
          </cell>
          <cell r="G162">
            <v>4001294538</v>
          </cell>
          <cell r="H162" t="str">
            <v>TAE770756</v>
          </cell>
          <cell r="I162" t="e">
            <v>#N/A</v>
          </cell>
          <cell r="J162" t="str">
            <v>IRENE SHIJA</v>
          </cell>
          <cell r="K162" t="str">
            <v>ABDRULRAHIMAN</v>
          </cell>
        </row>
        <row r="163">
          <cell r="B163" t="str">
            <v>T381ECN</v>
          </cell>
          <cell r="C163" t="str">
            <v>T802ECG</v>
          </cell>
          <cell r="D163" t="str">
            <v>T121EBW</v>
          </cell>
          <cell r="E163" t="str">
            <v>FAUSTINE ALPHONCE NYASI</v>
          </cell>
          <cell r="F163">
            <v>742644331</v>
          </cell>
          <cell r="G163">
            <v>4000814531</v>
          </cell>
          <cell r="H163" t="str">
            <v>TAE712704</v>
          </cell>
          <cell r="I163" t="e">
            <v>#N/A</v>
          </cell>
          <cell r="J163" t="str">
            <v>IRENE SHIJA</v>
          </cell>
          <cell r="K163" t="str">
            <v>ABDRULRAHIMAN</v>
          </cell>
        </row>
        <row r="164">
          <cell r="B164" t="str">
            <v>T524EBY</v>
          </cell>
          <cell r="C164" t="str">
            <v>T928EBY</v>
          </cell>
          <cell r="D164" t="str">
            <v> </v>
          </cell>
          <cell r="E164" t="str">
            <v>FLAVIAN PASCAL MLUWE</v>
          </cell>
          <cell r="F164">
            <v>711933861</v>
          </cell>
          <cell r="G164">
            <v>4003278265</v>
          </cell>
          <cell r="H164" t="str">
            <v>TAE606334</v>
          </cell>
          <cell r="I164" t="e">
            <v>#N/A</v>
          </cell>
          <cell r="J164" t="str">
            <v>SADI KIMWAGA</v>
          </cell>
          <cell r="K164" t="str">
            <v>JOSEPH JIRABI</v>
          </cell>
        </row>
        <row r="165">
          <cell r="B165" t="str">
            <v>T435DHG</v>
          </cell>
          <cell r="C165" t="str">
            <v>T776DEU</v>
          </cell>
          <cell r="D165" t="str">
            <v> </v>
          </cell>
          <cell r="E165" t="str">
            <v>FRANCIS ERNEST KIBULA</v>
          </cell>
          <cell r="F165">
            <v>715452111</v>
          </cell>
          <cell r="G165">
            <v>4000074149</v>
          </cell>
          <cell r="H165" t="str">
            <v>TAE491875</v>
          </cell>
          <cell r="I165" t="str">
            <v>111-885-796</v>
          </cell>
          <cell r="J165" t="str">
            <v>IRENE SHIJA</v>
          </cell>
          <cell r="K165" t="str">
            <v>ABDRULRAHIMAN</v>
          </cell>
        </row>
        <row r="166">
          <cell r="B166" t="str">
            <v>T495DYR</v>
          </cell>
          <cell r="C166" t="str">
            <v>T824DYT</v>
          </cell>
          <cell r="D166" t="str">
            <v> </v>
          </cell>
          <cell r="E166" t="str">
            <v>FRANCIS MSUMARI MHINA</v>
          </cell>
          <cell r="F166">
            <v>655937487</v>
          </cell>
          <cell r="G166">
            <v>4000458422</v>
          </cell>
          <cell r="H166" t="str">
            <v>TAE678844</v>
          </cell>
          <cell r="I166" t="str">
            <v>116-424-363</v>
          </cell>
          <cell r="J166" t="str">
            <v>Martha GOLODI</v>
          </cell>
          <cell r="K166" t="str">
            <v>JOSEPH JIRABI</v>
          </cell>
        </row>
        <row r="167">
          <cell r="B167" t="str">
            <v>T717DEB</v>
          </cell>
          <cell r="C167" t="str">
            <v>T512DDC</v>
          </cell>
          <cell r="D167" t="str">
            <v> </v>
          </cell>
          <cell r="E167" t="str">
            <v>FRANK JACOB MTWEVE</v>
          </cell>
          <cell r="F167">
            <v>654820247</v>
          </cell>
          <cell r="G167">
            <v>4000452987</v>
          </cell>
          <cell r="H167" t="str">
            <v>TAE770062</v>
          </cell>
          <cell r="I167" t="str">
            <v>116-393-964</v>
          </cell>
          <cell r="J167" t="str">
            <v>PLASDUS MAHUMBA</v>
          </cell>
          <cell r="K167" t="str">
            <v>ABDRULRAHIMAN</v>
          </cell>
        </row>
        <row r="168">
          <cell r="B168" t="str">
            <v>T795DYR</v>
          </cell>
          <cell r="C168" t="str">
            <v>T855DEV</v>
          </cell>
          <cell r="D168" t="str">
            <v> </v>
          </cell>
          <cell r="E168" t="str">
            <v>FRANK KENETH JONAS</v>
          </cell>
          <cell r="F168" t="str">
            <v>782171172/718107878</v>
          </cell>
          <cell r="G168">
            <v>4000419873</v>
          </cell>
          <cell r="H168" t="str">
            <v>TAE499988</v>
          </cell>
          <cell r="I168">
            <v>116254646</v>
          </cell>
          <cell r="J168" t="str">
            <v>LUSAJO KASUNGA</v>
          </cell>
          <cell r="K168" t="str">
            <v>JUMA ISMAIL</v>
          </cell>
        </row>
        <row r="169">
          <cell r="B169" t="str">
            <v>T525EBY</v>
          </cell>
          <cell r="C169" t="str">
            <v>T560EBX</v>
          </cell>
          <cell r="D169" t="str">
            <v>T129EBW</v>
          </cell>
          <cell r="E169" t="str">
            <v>FRANK MKOKOTI ITATIRO</v>
          </cell>
          <cell r="F169">
            <v>659096926</v>
          </cell>
          <cell r="G169">
            <v>4000067279</v>
          </cell>
          <cell r="H169" t="str">
            <v>TAE738102</v>
          </cell>
          <cell r="I169" t="e">
            <v>#N/A</v>
          </cell>
          <cell r="J169" t="str">
            <v>SADI KIMWAGA</v>
          </cell>
          <cell r="K169" t="str">
            <v>JOSEPH JIRABI</v>
          </cell>
        </row>
        <row r="170">
          <cell r="B170" t="str">
            <v>T712EBX</v>
          </cell>
          <cell r="C170" t="str">
            <v>T284EBZ</v>
          </cell>
          <cell r="D170" t="str">
            <v>T752EBV</v>
          </cell>
          <cell r="E170" t="str">
            <v>MANSOUR MWALIMU MZALLA</v>
          </cell>
          <cell r="F170">
            <v>754345411</v>
          </cell>
          <cell r="G170">
            <v>4000220796</v>
          </cell>
          <cell r="H170" t="str">
            <v>TAE669307</v>
          </cell>
          <cell r="I170" t="str">
            <v>128-932-682</v>
          </cell>
          <cell r="J170" t="str">
            <v>LUSAJO KASUNGA</v>
          </cell>
          <cell r="K170" t="str">
            <v>JUMA ISMAIL</v>
          </cell>
        </row>
        <row r="171">
          <cell r="B171" t="str">
            <v>T331DHG</v>
          </cell>
          <cell r="C171" t="str">
            <v>T930DDJ</v>
          </cell>
          <cell r="D171" t="str">
            <v> </v>
          </cell>
          <cell r="E171" t="str">
            <v>FRANK RASHID KAMANDO</v>
          </cell>
          <cell r="F171" t="str">
            <v>754355535/687251781</v>
          </cell>
          <cell r="G171">
            <v>4000231419</v>
          </cell>
          <cell r="H171" t="str">
            <v>TAE558415</v>
          </cell>
          <cell r="I171" t="e">
            <v>#N/A</v>
          </cell>
          <cell r="J171" t="str">
            <v>Martha GOLODI</v>
          </cell>
          <cell r="K171" t="str">
            <v>JOSEPH JIRABI</v>
          </cell>
        </row>
        <row r="172">
          <cell r="B172" t="str">
            <v>T998EBW</v>
          </cell>
          <cell r="C172" t="str">
            <v>T589EBX</v>
          </cell>
          <cell r="D172" t="str">
            <v>T585EBV</v>
          </cell>
          <cell r="E172" t="str">
            <v>FREDRICK LAZARO KIMARO</v>
          </cell>
          <cell r="F172" t="str">
            <v>0764173992/0789953892</v>
          </cell>
          <cell r="G172">
            <v>4000383172</v>
          </cell>
          <cell r="H172" t="str">
            <v>TAE877243</v>
          </cell>
          <cell r="I172">
            <v>115873105</v>
          </cell>
          <cell r="J172" t="str">
            <v>IRENE SHIJA</v>
          </cell>
          <cell r="K172" t="str">
            <v>ABDRULRAHIMAN</v>
          </cell>
        </row>
        <row r="173">
          <cell r="B173" t="str">
            <v>T512DTR</v>
          </cell>
          <cell r="C173" t="str">
            <v>T799DTQ</v>
          </cell>
          <cell r="D173" t="str">
            <v> </v>
          </cell>
          <cell r="E173" t="str">
            <v>FRENK PETER SIMBEYE</v>
          </cell>
          <cell r="F173" t="str">
            <v>716223593/746737517</v>
          </cell>
          <cell r="G173">
            <v>4002353405</v>
          </cell>
          <cell r="H173" t="str">
            <v>TAE490737</v>
          </cell>
          <cell r="I173" t="e">
            <v>#N/A</v>
          </cell>
          <cell r="J173" t="str">
            <v>PLASDUS MAHUMBA</v>
          </cell>
          <cell r="K173" t="str">
            <v>ABDRULRAHIMAN</v>
          </cell>
        </row>
        <row r="174">
          <cell r="B174" t="str">
            <v>T864EBY</v>
          </cell>
          <cell r="C174" t="str">
            <v>T443EBW</v>
          </cell>
          <cell r="D174" t="str">
            <v>T277EBW</v>
          </cell>
          <cell r="E174" t="str">
            <v>GABRIEL PIUS BUKENE</v>
          </cell>
          <cell r="F174">
            <v>684074014</v>
          </cell>
          <cell r="G174" t="str">
            <v> </v>
          </cell>
          <cell r="H174" t="str">
            <v> </v>
          </cell>
          <cell r="I174">
            <v>111515433</v>
          </cell>
          <cell r="J174" t="str">
            <v>SADI KIMWAGA</v>
          </cell>
          <cell r="K174" t="str">
            <v>JOSEPH JIRABI</v>
          </cell>
        </row>
        <row r="175">
          <cell r="B175" t="str">
            <v>T494DYR</v>
          </cell>
          <cell r="C175" t="str">
            <v>T940DDJ</v>
          </cell>
          <cell r="D175" t="str">
            <v> </v>
          </cell>
          <cell r="E175" t="str">
            <v>GABRIEL SHIJA MAHONA</v>
          </cell>
          <cell r="F175">
            <v>756471447</v>
          </cell>
          <cell r="G175">
            <v>4003290268</v>
          </cell>
          <cell r="H175" t="str">
            <v>TAE685383</v>
          </cell>
          <cell r="I175" t="str">
            <v>128-308-571</v>
          </cell>
          <cell r="J175" t="str">
            <v>LUSAJO KASUNGA</v>
          </cell>
          <cell r="K175" t="str">
            <v>JUMA ISMAIL</v>
          </cell>
        </row>
        <row r="176">
          <cell r="B176" t="str">
            <v>T528EBY</v>
          </cell>
          <cell r="C176" t="str">
            <v>T539EBX</v>
          </cell>
          <cell r="D176" t="str">
            <v>T120EBW</v>
          </cell>
          <cell r="E176" t="str">
            <v>GASPER ELICHILIA KINYAHA</v>
          </cell>
          <cell r="F176">
            <v>718110870</v>
          </cell>
          <cell r="G176">
            <v>4000194748</v>
          </cell>
          <cell r="H176" t="str">
            <v>TAE339585</v>
          </cell>
          <cell r="I176" t="e">
            <v>#N/A</v>
          </cell>
          <cell r="J176" t="str">
            <v>Martha GOLODI</v>
          </cell>
          <cell r="K176" t="str">
            <v>JOSEPH JIRABI</v>
          </cell>
        </row>
        <row r="177">
          <cell r="B177" t="str">
            <v>T956DSX</v>
          </cell>
          <cell r="C177" t="str">
            <v>T417DTD</v>
          </cell>
          <cell r="D177" t="str">
            <v> </v>
          </cell>
          <cell r="E177" t="str">
            <v>GASPER JOSIA LEMA</v>
          </cell>
          <cell r="F177">
            <v>765188188</v>
          </cell>
          <cell r="G177">
            <v>4000081048</v>
          </cell>
          <cell r="H177" t="str">
            <v>TAE 674007</v>
          </cell>
          <cell r="I177" t="str">
            <v>112-271-570</v>
          </cell>
          <cell r="J177" t="str">
            <v>Ayoub BENESTA</v>
          </cell>
          <cell r="K177" t="str">
            <v>JUMA ISMAIL</v>
          </cell>
        </row>
        <row r="178">
          <cell r="B178" t="str">
            <v>T569DYR</v>
          </cell>
          <cell r="C178" t="str">
            <v>T840DYT</v>
          </cell>
          <cell r="D178" t="str">
            <v> </v>
          </cell>
          <cell r="E178" t="str">
            <v>GEOFREY ODILO KISALALA</v>
          </cell>
          <cell r="F178">
            <v>752210690</v>
          </cell>
          <cell r="G178">
            <v>4001310301</v>
          </cell>
          <cell r="H178" t="str">
            <v>TAE819742</v>
          </cell>
          <cell r="I178" t="str">
            <v>119-993-407</v>
          </cell>
          <cell r="J178" t="str">
            <v>SADI KIMWAGA</v>
          </cell>
          <cell r="K178" t="str">
            <v>JOSEPH JIRABI</v>
          </cell>
        </row>
        <row r="179">
          <cell r="B179" t="str">
            <v>T943DSX</v>
          </cell>
          <cell r="C179" t="str">
            <v>T393DTD</v>
          </cell>
          <cell r="D179" t="str">
            <v> </v>
          </cell>
          <cell r="E179" t="str">
            <v>GEORGE HENRY MALALE</v>
          </cell>
          <cell r="F179">
            <v>677764649</v>
          </cell>
          <cell r="G179">
            <v>4000318252</v>
          </cell>
          <cell r="H179" t="str">
            <v>TAE880598</v>
          </cell>
          <cell r="I179" t="str">
            <v>115-190-962</v>
          </cell>
          <cell r="J179" t="str">
            <v>Ayoub BENESTA</v>
          </cell>
          <cell r="K179" t="str">
            <v>JUMA ISMAIL</v>
          </cell>
        </row>
        <row r="180">
          <cell r="B180" t="str">
            <v>T741EBX</v>
          </cell>
          <cell r="C180" t="str">
            <v>T206EBZ</v>
          </cell>
          <cell r="D180" t="str">
            <v>T678EBV</v>
          </cell>
          <cell r="E180" t="str">
            <v>GERALD RAPHAEL SALAMALA</v>
          </cell>
          <cell r="F180">
            <v>714354057</v>
          </cell>
          <cell r="G180">
            <v>4000162427</v>
          </cell>
          <cell r="H180" t="str">
            <v>AB1303666</v>
          </cell>
          <cell r="I180">
            <v>113397853</v>
          </cell>
          <cell r="J180" t="str">
            <v>PLASDUS MAHUMBA</v>
          </cell>
          <cell r="K180" t="str">
            <v>ABDRULRAHIMAN</v>
          </cell>
        </row>
        <row r="181">
          <cell r="B181" t="str">
            <v>T876EBY</v>
          </cell>
          <cell r="C181" t="str">
            <v>T828ECD</v>
          </cell>
          <cell r="D181" t="str">
            <v>T598EBV</v>
          </cell>
          <cell r="E181" t="str">
            <v>GERVAS ANDREA GERVAS</v>
          </cell>
          <cell r="F181">
            <v>716383839</v>
          </cell>
          <cell r="G181">
            <v>4005673411</v>
          </cell>
          <cell r="H181" t="str">
            <v>TAE677708</v>
          </cell>
          <cell r="I181" t="e">
            <v>#N/A</v>
          </cell>
          <cell r="J181" t="str">
            <v>LUSAJO KASUNGA</v>
          </cell>
          <cell r="K181" t="str">
            <v>JUMA ISMAIL</v>
          </cell>
        </row>
        <row r="182">
          <cell r="B182" t="str">
            <v>T709EBX</v>
          </cell>
          <cell r="C182" t="str">
            <v>T219EBZ</v>
          </cell>
          <cell r="D182" t="str">
            <v>T630EBV</v>
          </cell>
          <cell r="E182" t="str">
            <v>GERVAS STEPHEN MWANGOSI</v>
          </cell>
          <cell r="F182">
            <v>755351288</v>
          </cell>
          <cell r="G182">
            <v>4000180928</v>
          </cell>
          <cell r="H182" t="str">
            <v>TAE423294</v>
          </cell>
          <cell r="I182" t="e">
            <v>#N/A</v>
          </cell>
          <cell r="J182" t="str">
            <v>LUSAJO KASUNGA</v>
          </cell>
          <cell r="K182" t="str">
            <v>JUMA ISMAIL</v>
          </cell>
        </row>
        <row r="183">
          <cell r="B183" t="str">
            <v>T921EBW</v>
          </cell>
          <cell r="C183" t="str">
            <v>T536EBY</v>
          </cell>
          <cell r="D183" t="str">
            <v>T360EBW</v>
          </cell>
          <cell r="E183" t="str">
            <v>MOHAMEDI ATHUMANI MKALI</v>
          </cell>
          <cell r="F183">
            <v>786019100</v>
          </cell>
          <cell r="G183">
            <v>4000191461</v>
          </cell>
          <cell r="H183" t="str">
            <v>TAE729201</v>
          </cell>
          <cell r="I183">
            <v>114739251</v>
          </cell>
          <cell r="J183" t="str">
            <v>SADI KIMWAGA</v>
          </cell>
          <cell r="K183" t="str">
            <v>JOSEPH JIRABI</v>
          </cell>
        </row>
        <row r="184">
          <cell r="B184" t="str">
            <v>T986EBW</v>
          </cell>
          <cell r="C184" t="str">
            <v>T491EBW</v>
          </cell>
          <cell r="D184" t="str">
            <v>T587EBV</v>
          </cell>
          <cell r="E184" t="str">
            <v>THADEUS CHARLES HONGOLI</v>
          </cell>
          <cell r="F184">
            <v>763779369</v>
          </cell>
          <cell r="G184">
            <v>4000353848</v>
          </cell>
          <cell r="H184" t="str">
            <v>TAE818659</v>
          </cell>
          <cell r="I184" t="e">
            <v>#N/A</v>
          </cell>
          <cell r="J184" t="str">
            <v>IRENE SHIJA</v>
          </cell>
          <cell r="K184" t="str">
            <v>ABDRULRAHIMAN</v>
          </cell>
        </row>
        <row r="185">
          <cell r="B185" t="str">
            <v>T107EBX</v>
          </cell>
          <cell r="C185" t="str">
            <v>T528EBW</v>
          </cell>
          <cell r="D185" t="str">
            <v>T214EBV</v>
          </cell>
          <cell r="E185" t="str">
            <v>GODFREY JOHN ANTHONY KUNDI</v>
          </cell>
          <cell r="F185">
            <v>715188542</v>
          </cell>
          <cell r="G185">
            <v>4001089197</v>
          </cell>
          <cell r="H185" t="str">
            <v>TAE833011</v>
          </cell>
          <cell r="I185" t="e">
            <v>#N/A</v>
          </cell>
          <cell r="J185" t="str">
            <v>Martha GOLODI</v>
          </cell>
          <cell r="K185" t="str">
            <v>JOSEPH JIRABI</v>
          </cell>
        </row>
        <row r="186">
          <cell r="B186" t="str">
            <v>T778DYR</v>
          </cell>
          <cell r="C186" t="str">
            <v>T822DYT</v>
          </cell>
          <cell r="D186" t="str">
            <v> </v>
          </cell>
          <cell r="E186" t="str">
            <v>GODLOVE WILLIAM GUGAMI</v>
          </cell>
          <cell r="F186">
            <v>657991150</v>
          </cell>
          <cell r="G186">
            <v>4000258541</v>
          </cell>
          <cell r="H186" t="str">
            <v>TAE675521</v>
          </cell>
          <cell r="I186" t="str">
            <v>114-532-002</v>
          </cell>
          <cell r="J186" t="str">
            <v>Martha GOLODI</v>
          </cell>
          <cell r="K186" t="str">
            <v>JOSEPH JIRABI</v>
          </cell>
        </row>
        <row r="187">
          <cell r="B187" t="str">
            <v>T597DTQ</v>
          </cell>
          <cell r="C187" t="str">
            <v>T806DTQ</v>
          </cell>
          <cell r="D187" t="str">
            <v> </v>
          </cell>
          <cell r="E187" t="str">
            <v>GWAKISA DAVD SONELO</v>
          </cell>
          <cell r="F187">
            <v>715999915</v>
          </cell>
          <cell r="G187">
            <v>4000482848</v>
          </cell>
          <cell r="H187" t="str">
            <v>TAE542396</v>
          </cell>
          <cell r="I187" t="e">
            <v>#N/A</v>
          </cell>
          <cell r="J187" t="str">
            <v>SADI KIMWAGA</v>
          </cell>
          <cell r="K187" t="str">
            <v>JOSEPH JIRABI</v>
          </cell>
        </row>
        <row r="188">
          <cell r="B188" t="str">
            <v>T754EBX</v>
          </cell>
          <cell r="C188" t="str">
            <v>T213EBZ</v>
          </cell>
          <cell r="D188" t="str">
            <v>T984EBV</v>
          </cell>
          <cell r="E188" t="str">
            <v>GWAMAKA PETER MWASAGA</v>
          </cell>
          <cell r="F188">
            <v>754424880</v>
          </cell>
          <cell r="G188">
            <v>4001159994</v>
          </cell>
          <cell r="H188" t="str">
            <v>TAE405357</v>
          </cell>
          <cell r="I188">
            <v>113511931</v>
          </cell>
          <cell r="J188" t="str">
            <v>PLASDUS MAHUMBA</v>
          </cell>
          <cell r="K188" t="str">
            <v>ABDRULRAHIMAN</v>
          </cell>
        </row>
        <row r="189">
          <cell r="B189" t="str">
            <v>T275EBY</v>
          </cell>
          <cell r="C189" t="str">
            <v>T923EBY</v>
          </cell>
          <cell r="D189" t="str">
            <v> </v>
          </cell>
          <cell r="E189" t="str">
            <v>HADI HASSANI SHARIFF</v>
          </cell>
          <cell r="F189">
            <v>658213563</v>
          </cell>
          <cell r="G189">
            <v>4000149841</v>
          </cell>
          <cell r="H189" t="str">
            <v>TAE370435</v>
          </cell>
          <cell r="I189" t="e">
            <v>#N/A</v>
          </cell>
          <cell r="J189" t="str">
            <v>PLASDUS MAHUMBA</v>
          </cell>
          <cell r="K189" t="str">
            <v>ABDRULRAHIMAN</v>
          </cell>
        </row>
        <row r="190">
          <cell r="B190" t="str">
            <v>T838EBY</v>
          </cell>
          <cell r="C190" t="str">
            <v>T584EBY</v>
          </cell>
          <cell r="D190" t="str">
            <v>T763EBV</v>
          </cell>
          <cell r="E190" t="str">
            <v>HAFIDHI ABDALLAH NASSIR</v>
          </cell>
          <cell r="F190">
            <v>715267444</v>
          </cell>
          <cell r="G190">
            <v>4001179970</v>
          </cell>
          <cell r="H190" t="str">
            <v> </v>
          </cell>
          <cell r="I190" t="e">
            <v>#N/A</v>
          </cell>
          <cell r="J190" t="str">
            <v>PLASDUS MAHUMBA</v>
          </cell>
          <cell r="K190" t="str">
            <v>ABDRULRAHIMAN</v>
          </cell>
        </row>
        <row r="191">
          <cell r="B191" t="str">
            <v>T696DEB</v>
          </cell>
          <cell r="C191" t="str">
            <v>T470DEJ</v>
          </cell>
          <cell r="D191" t="str">
            <v> </v>
          </cell>
          <cell r="E191" t="str">
            <v>HAMAD OMARY HAMAD</v>
          </cell>
          <cell r="F191">
            <v>683860123</v>
          </cell>
          <cell r="G191">
            <v>4000147732</v>
          </cell>
          <cell r="H191" t="str">
            <v>TAE 597142</v>
          </cell>
          <cell r="I191" t="e">
            <v>#N/A</v>
          </cell>
          <cell r="J191" t="str">
            <v>IRENE SHIJA</v>
          </cell>
          <cell r="K191" t="str">
            <v>ABDRULRAHIMAN</v>
          </cell>
        </row>
        <row r="192">
          <cell r="B192" t="str">
            <v>T837EBY</v>
          </cell>
          <cell r="C192" t="str">
            <v>T546EBX</v>
          </cell>
          <cell r="D192" t="str">
            <v>T974EBV</v>
          </cell>
          <cell r="E192" t="str">
            <v>HAMAD RAMADHAN KAMOTE</v>
          </cell>
          <cell r="F192">
            <v>695424290</v>
          </cell>
          <cell r="G192">
            <v>4001666353</v>
          </cell>
          <cell r="H192" t="str">
            <v>TAE313634</v>
          </cell>
          <cell r="I192" t="e">
            <v>#N/A</v>
          </cell>
          <cell r="J192" t="str">
            <v>PLASDUS MAHUMBA</v>
          </cell>
          <cell r="K192" t="str">
            <v>ABDRULRAHIMAN</v>
          </cell>
        </row>
        <row r="193">
          <cell r="B193" t="str">
            <v>T314DDJ</v>
          </cell>
          <cell r="C193" t="str">
            <v>T360DHS</v>
          </cell>
          <cell r="D193" t="str">
            <v> </v>
          </cell>
          <cell r="E193" t="str">
            <v>HAMADI  MOHAMED KACHEM</v>
          </cell>
          <cell r="F193">
            <v>656010705</v>
          </cell>
          <cell r="G193">
            <v>4002040927</v>
          </cell>
          <cell r="H193" t="str">
            <v>TAE 352328</v>
          </cell>
          <cell r="I193" t="e">
            <v>#N/A</v>
          </cell>
          <cell r="J193" t="str">
            <v>SADI KIMWAGA</v>
          </cell>
          <cell r="K193" t="str">
            <v>JOSEPH JIRABI</v>
          </cell>
        </row>
        <row r="194">
          <cell r="B194" t="str">
            <v>T392ECN</v>
          </cell>
          <cell r="C194" t="str">
            <v>T796ECG</v>
          </cell>
          <cell r="D194" t="str">
            <v>T347EBW</v>
          </cell>
          <cell r="E194" t="str">
            <v>HAMADI RASHID DOWILE</v>
          </cell>
          <cell r="F194">
            <v>712910838</v>
          </cell>
          <cell r="G194">
            <v>4000797098</v>
          </cell>
          <cell r="H194" t="str">
            <v>TAE671601</v>
          </cell>
          <cell r="I194" t="e">
            <v>#N/A</v>
          </cell>
          <cell r="J194" t="str">
            <v>IRENE SHIJA</v>
          </cell>
          <cell r="K194" t="str">
            <v>ABDRULRAHIMAN</v>
          </cell>
        </row>
        <row r="195">
          <cell r="B195" t="str">
            <v>T795DDS</v>
          </cell>
          <cell r="C195" t="str">
            <v>T345DBH</v>
          </cell>
          <cell r="D195" t="str">
            <v> </v>
          </cell>
          <cell r="E195" t="str">
            <v>HAMIS BUNDALA IZINA</v>
          </cell>
          <cell r="F195">
            <v>4000090639</v>
          </cell>
          <cell r="G195" t="str">
            <v>0767428847/0787238815</v>
          </cell>
          <cell r="H195" t="str">
            <v>TAE863841</v>
          </cell>
          <cell r="I195" t="str">
            <v>115-917-447</v>
          </cell>
          <cell r="J195" t="str">
            <v>PLASDUS MAHUMBA</v>
          </cell>
          <cell r="K195" t="str">
            <v>ABDRULRAHIMAN</v>
          </cell>
        </row>
        <row r="196">
          <cell r="B196" t="str">
            <v>T518EBY</v>
          </cell>
          <cell r="C196" t="str">
            <v>T556EBX</v>
          </cell>
          <cell r="D196" t="str">
            <v>T690EBV</v>
          </cell>
          <cell r="E196" t="str">
            <v>HAMIS MASOUD MWANKWALLE</v>
          </cell>
          <cell r="F196">
            <v>755115060</v>
          </cell>
          <cell r="G196">
            <v>4000007618</v>
          </cell>
          <cell r="H196" t="str">
            <v>TAE105620</v>
          </cell>
          <cell r="I196">
            <v>110992165</v>
          </cell>
          <cell r="J196" t="str">
            <v>SADI KIMWAGA</v>
          </cell>
          <cell r="K196" t="str">
            <v>JOSEPH JIRABI</v>
          </cell>
        </row>
        <row r="197">
          <cell r="B197" t="str">
            <v>T580DTQ</v>
          </cell>
          <cell r="C197" t="str">
            <v>T823DTQ</v>
          </cell>
          <cell r="D197" t="str">
            <v> </v>
          </cell>
          <cell r="E197" t="str">
            <v>HAMISI ABDALLAH HAMISI</v>
          </cell>
          <cell r="F197">
            <v>786939220</v>
          </cell>
          <cell r="G197">
            <v>4000032509</v>
          </cell>
          <cell r="H197" t="str">
            <v>TAE608299</v>
          </cell>
          <cell r="I197" t="e">
            <v>#N/A</v>
          </cell>
          <cell r="J197" t="str">
            <v>Martha GOLODI</v>
          </cell>
          <cell r="K197" t="str">
            <v>JOSEPH JIRABI</v>
          </cell>
        </row>
        <row r="198">
          <cell r="B198" t="str">
            <v>T403DHT</v>
          </cell>
          <cell r="C198" t="str">
            <v>T908DHG</v>
          </cell>
          <cell r="D198" t="str">
            <v> </v>
          </cell>
          <cell r="E198" t="str">
            <v>HAMISI FADHILI MDOE</v>
          </cell>
          <cell r="F198">
            <v>686826278</v>
          </cell>
          <cell r="G198">
            <v>4000966963</v>
          </cell>
          <cell r="H198" t="str">
            <v>TAE679563</v>
          </cell>
          <cell r="I198" t="str">
            <v>118-614-909</v>
          </cell>
          <cell r="J198" t="str">
            <v>SADI KIMWAGA</v>
          </cell>
          <cell r="K198" t="str">
            <v>JOSEPH JIRABI</v>
          </cell>
        </row>
        <row r="199">
          <cell r="B199" t="str">
            <v>T767EBW</v>
          </cell>
          <cell r="C199" t="str">
            <v>T809ECG</v>
          </cell>
          <cell r="D199" t="str">
            <v>T990EBV</v>
          </cell>
          <cell r="E199" t="str">
            <v>HAMISI MOHAMED MBWANA</v>
          </cell>
          <cell r="F199">
            <v>688861116</v>
          </cell>
          <cell r="G199">
            <v>4001247446</v>
          </cell>
          <cell r="H199" t="str">
            <v>TAE714732</v>
          </cell>
          <cell r="I199" t="e">
            <v>#N/A</v>
          </cell>
          <cell r="J199" t="str">
            <v>Martha GOLODI</v>
          </cell>
          <cell r="K199" t="str">
            <v>JOSEPH JIRABI</v>
          </cell>
        </row>
        <row r="200">
          <cell r="B200" t="str">
            <v>T717EBX</v>
          </cell>
          <cell r="C200" t="str">
            <v>T248EBZ</v>
          </cell>
          <cell r="D200" t="str">
            <v>T658EBV</v>
          </cell>
          <cell r="E200" t="str">
            <v>YUSUPH RAHIBU SULEIMAN</v>
          </cell>
          <cell r="F200">
            <v>787985669</v>
          </cell>
          <cell r="G200">
            <v>4000244828</v>
          </cell>
          <cell r="H200" t="str">
            <v>TAE633656</v>
          </cell>
          <cell r="I200" t="e">
            <v>#N/A</v>
          </cell>
          <cell r="J200" t="str">
            <v>IRENE SHIJA</v>
          </cell>
          <cell r="K200" t="str">
            <v>ABDRULRAHIMAN</v>
          </cell>
        </row>
        <row r="201">
          <cell r="B201" t="str">
            <v>T878EBY</v>
          </cell>
          <cell r="C201" t="str">
            <v>T568EBY</v>
          </cell>
          <cell r="D201" t="str">
            <v>T586EBV</v>
          </cell>
          <cell r="E201" t="str">
            <v>HAMISI RAMADHANI SULTAN</v>
          </cell>
          <cell r="F201">
            <v>768601847</v>
          </cell>
          <cell r="G201">
            <v>4000176141</v>
          </cell>
          <cell r="H201" t="str">
            <v>TAE388386</v>
          </cell>
          <cell r="I201" t="e">
            <v>#N/A</v>
          </cell>
          <cell r="J201" t="str">
            <v>LUSAJO KASUNGA</v>
          </cell>
          <cell r="K201" t="str">
            <v>JUMA ISMAIL</v>
          </cell>
        </row>
        <row r="202">
          <cell r="B202" t="str">
            <v>T348EBX</v>
          </cell>
          <cell r="C202" t="str">
            <v>T886EBY</v>
          </cell>
          <cell r="D202" t="str">
            <v> </v>
          </cell>
          <cell r="E202" t="str">
            <v>BAKARI SALUM MTEMA</v>
          </cell>
          <cell r="F202">
            <v>653662420</v>
          </cell>
          <cell r="G202">
            <v>4000384001</v>
          </cell>
          <cell r="H202" t="str">
            <v>TAE671438</v>
          </cell>
          <cell r="I202">
            <v>115873849</v>
          </cell>
          <cell r="J202" t="str">
            <v>Ayoub BENESTA</v>
          </cell>
          <cell r="K202" t="str">
            <v>JUMA ISMAIL</v>
          </cell>
        </row>
        <row r="203">
          <cell r="B203" t="str">
            <v>T583DYR</v>
          </cell>
          <cell r="C203" t="str">
            <v>T835DYT</v>
          </cell>
          <cell r="D203" t="str">
            <v> </v>
          </cell>
          <cell r="E203" t="str">
            <v>HAMUDU MAJID MARUZUKU</v>
          </cell>
          <cell r="F203">
            <v>748131714</v>
          </cell>
          <cell r="G203">
            <v>4001726848</v>
          </cell>
          <cell r="H203" t="str">
            <v>TAE69082</v>
          </cell>
          <cell r="I203" t="e">
            <v>#N/A</v>
          </cell>
          <cell r="J203" t="str">
            <v>PLASDUS MAHUMBA</v>
          </cell>
          <cell r="K203" t="str">
            <v>ABDRULRAHIMAN</v>
          </cell>
        </row>
        <row r="204">
          <cell r="B204" t="str">
            <v>T702DYR</v>
          </cell>
          <cell r="C204" t="str">
            <v>T968DYT</v>
          </cell>
          <cell r="D204" t="str">
            <v> </v>
          </cell>
          <cell r="E204" t="str">
            <v>HAMZA HARUNA SAID</v>
          </cell>
          <cell r="F204">
            <v>759152709</v>
          </cell>
          <cell r="G204">
            <v>4006951627</v>
          </cell>
          <cell r="H204" t="str">
            <v>TAE690785</v>
          </cell>
          <cell r="I204" t="str">
            <v>157-334-298</v>
          </cell>
          <cell r="J204" t="str">
            <v>Ayoub BENESTA</v>
          </cell>
          <cell r="K204" t="str">
            <v>JUMA ISMAIL</v>
          </cell>
        </row>
        <row r="205">
          <cell r="B205" t="str">
            <v>T874EBY</v>
          </cell>
          <cell r="C205" t="str">
            <v>T551EBY</v>
          </cell>
          <cell r="D205" t="str">
            <v>T760EBV</v>
          </cell>
          <cell r="E205" t="str">
            <v>HAMZA SEIF SWALEHE</v>
          </cell>
          <cell r="F205">
            <v>718121474</v>
          </cell>
          <cell r="G205">
            <v>4000199184</v>
          </cell>
          <cell r="H205" t="str">
            <v>TAE325534</v>
          </cell>
          <cell r="I205" t="e">
            <v>#N/A</v>
          </cell>
          <cell r="J205" t="str">
            <v>IRENE SHIJA</v>
          </cell>
          <cell r="K205" t="str">
            <v>ABDRULRAHIMAN</v>
          </cell>
        </row>
        <row r="206">
          <cell r="B206" t="str">
            <v>T680EBX</v>
          </cell>
          <cell r="C206" t="str">
            <v>T196EBZ</v>
          </cell>
          <cell r="D206" t="str">
            <v>T273EBW</v>
          </cell>
          <cell r="E206" t="str">
            <v>HARFANI MANENO MGAWE</v>
          </cell>
          <cell r="F206">
            <v>674952626</v>
          </cell>
          <cell r="G206">
            <v>4001422894</v>
          </cell>
          <cell r="H206" t="str">
            <v>AB1097377</v>
          </cell>
          <cell r="I206" t="e">
            <v>#N/A</v>
          </cell>
          <cell r="J206" t="str">
            <v>LUSAJO KASUNGA</v>
          </cell>
          <cell r="K206" t="str">
            <v>JUMA ISMAIL</v>
          </cell>
        </row>
        <row r="207">
          <cell r="B207" t="str">
            <v>T756EBX</v>
          </cell>
          <cell r="C207" t="str">
            <v>T242EBZ</v>
          </cell>
          <cell r="D207" t="str">
            <v>T154EBW</v>
          </cell>
          <cell r="E207" t="str">
            <v xml:space="preserve">HAROUB OMARY JAKA </v>
          </cell>
          <cell r="F207">
            <v>757939269</v>
          </cell>
          <cell r="G207">
            <v>4002419139</v>
          </cell>
          <cell r="H207" t="str">
            <v>TAE723946</v>
          </cell>
          <cell r="I207">
            <v>112536620</v>
          </cell>
          <cell r="J207" t="str">
            <v>PLASDUS MAHUMBA</v>
          </cell>
          <cell r="K207" t="str">
            <v>ABDRULRAHIMAN</v>
          </cell>
        </row>
        <row r="208">
          <cell r="B208" t="str">
            <v>T927EBW</v>
          </cell>
          <cell r="C208" t="str">
            <v>T405EBW</v>
          </cell>
          <cell r="D208" t="str">
            <v>T136EBW</v>
          </cell>
          <cell r="E208" t="str">
            <v>MARCUS AUGUSTIN MBEYA</v>
          </cell>
          <cell r="F208">
            <v>655752076</v>
          </cell>
          <cell r="G208">
            <v>4002559784</v>
          </cell>
          <cell r="H208" t="str">
            <v>TAE415658</v>
          </cell>
          <cell r="I208"/>
          <cell r="J208" t="str">
            <v>SADI KIMWAGA</v>
          </cell>
          <cell r="K208" t="str">
            <v>JOSEPH JIRABI</v>
          </cell>
        </row>
        <row r="209">
          <cell r="B209" t="str">
            <v>T146EBX</v>
          </cell>
          <cell r="C209" t="str">
            <v>T595EBX</v>
          </cell>
          <cell r="D209" t="str">
            <v>T508EBV</v>
          </cell>
          <cell r="E209" t="str">
            <v>HASSAN ABDALLAH JUMA</v>
          </cell>
          <cell r="F209">
            <v>757763306</v>
          </cell>
          <cell r="G209">
            <v>4000374082</v>
          </cell>
          <cell r="H209" t="str">
            <v>TAE438814</v>
          </cell>
          <cell r="I209" t="str">
            <v>115-774-107</v>
          </cell>
          <cell r="J209" t="str">
            <v>Ayoub BENESTA</v>
          </cell>
          <cell r="K209" t="str">
            <v>JUMA ISMAIL</v>
          </cell>
        </row>
        <row r="210">
          <cell r="B210" t="str">
            <v>T578DYR</v>
          </cell>
          <cell r="C210" t="str">
            <v>T936DYT</v>
          </cell>
          <cell r="D210" t="str">
            <v> </v>
          </cell>
          <cell r="E210" t="str">
            <v>HASSAN AWADHI TAMIM</v>
          </cell>
          <cell r="F210">
            <v>755487776</v>
          </cell>
          <cell r="G210">
            <v>4000126578</v>
          </cell>
          <cell r="H210" t="str">
            <v>TAE663719</v>
          </cell>
          <cell r="I210" t="str">
            <v>112-904-255</v>
          </cell>
          <cell r="J210" t="str">
            <v>Ayoub BENESTA</v>
          </cell>
          <cell r="K210" t="str">
            <v>JUMA ISMAIL</v>
          </cell>
        </row>
        <row r="211">
          <cell r="B211" t="str">
            <v>T414DHG</v>
          </cell>
          <cell r="C211" t="str">
            <v>T361DHS</v>
          </cell>
          <cell r="D211" t="str">
            <v>T991DVQ</v>
          </cell>
          <cell r="E211" t="str">
            <v>HASSAN HAMADI YAKOBO</v>
          </cell>
          <cell r="F211">
            <v>745349798</v>
          </cell>
          <cell r="G211">
            <v>4001794062</v>
          </cell>
          <cell r="H211" t="str">
            <v>TAE054904</v>
          </cell>
          <cell r="I211" t="str">
            <v>122-157-970</v>
          </cell>
          <cell r="J211" t="str">
            <v>IRENE SHIJA</v>
          </cell>
          <cell r="K211" t="str">
            <v>ABDRULRAHIMAN</v>
          </cell>
        </row>
        <row r="212">
          <cell r="B212" t="str">
            <v>T781EBW</v>
          </cell>
          <cell r="C212" t="str">
            <v>T810ECG</v>
          </cell>
          <cell r="D212" t="str">
            <v>T631EBV</v>
          </cell>
          <cell r="E212" t="str">
            <v>HASSAN JUMA MBALE</v>
          </cell>
          <cell r="F212">
            <v>745888100</v>
          </cell>
          <cell r="G212">
            <v>4000268539</v>
          </cell>
          <cell r="H212" t="str">
            <v>TAE677648</v>
          </cell>
          <cell r="I212">
            <v>113208430</v>
          </cell>
          <cell r="J212" t="str">
            <v>Ayoub BENESTA</v>
          </cell>
          <cell r="K212" t="str">
            <v>JUMA ISMAIL</v>
          </cell>
        </row>
        <row r="213">
          <cell r="B213" t="str">
            <v>T514EBY</v>
          </cell>
          <cell r="C213" t="str">
            <v>T428EBW</v>
          </cell>
          <cell r="D213" t="str">
            <v>T280EBW</v>
          </cell>
          <cell r="E213" t="str">
            <v>HASSAN MZEE BOHERO</v>
          </cell>
          <cell r="F213">
            <v>764412523</v>
          </cell>
          <cell r="G213">
            <v>4000809432</v>
          </cell>
          <cell r="H213" t="str">
            <v>TAE925227</v>
          </cell>
          <cell r="I213">
            <v>117716023</v>
          </cell>
          <cell r="J213" t="str">
            <v>SADI KIMWAGA</v>
          </cell>
          <cell r="K213" t="str">
            <v>JOSEPH JIRABI</v>
          </cell>
        </row>
        <row r="214">
          <cell r="B214" t="str">
            <v>T803DYR</v>
          </cell>
          <cell r="C214" t="str">
            <v>T820DYT</v>
          </cell>
          <cell r="D214" t="str">
            <v> </v>
          </cell>
          <cell r="E214" t="str">
            <v>HASSAN RAMADHANI ALLY</v>
          </cell>
          <cell r="F214">
            <v>767080819</v>
          </cell>
          <cell r="G214">
            <v>4000286114</v>
          </cell>
          <cell r="H214" t="str">
            <v>TAE696155</v>
          </cell>
          <cell r="I214" t="e">
            <v>#N/A</v>
          </cell>
          <cell r="J214" t="str">
            <v>PLASDUS MAHUMBA</v>
          </cell>
          <cell r="K214" t="str">
            <v>ABDRULRAHIMAN</v>
          </cell>
        </row>
        <row r="215">
          <cell r="B215" t="str">
            <v>T812EBW</v>
          </cell>
          <cell r="C215" t="str">
            <v>T813ECG</v>
          </cell>
          <cell r="D215" t="str">
            <v>T296EBW</v>
          </cell>
          <cell r="E215" t="str">
            <v>HASSAN RAMADHANI SHABANI</v>
          </cell>
          <cell r="F215">
            <v>752429037</v>
          </cell>
          <cell r="G215">
            <v>4002584489</v>
          </cell>
          <cell r="H215" t="str">
            <v>TAE391986</v>
          </cell>
          <cell r="I215" t="e">
            <v>#N/A</v>
          </cell>
          <cell r="J215" t="str">
            <v>PLASDUS MAHUMBA</v>
          </cell>
          <cell r="K215" t="str">
            <v>ABDRULRAHIMAN</v>
          </cell>
        </row>
        <row r="216">
          <cell r="B216" t="str">
            <v>T903EBW</v>
          </cell>
          <cell r="C216" t="str">
            <v>T259EBZ</v>
          </cell>
          <cell r="D216" t="str">
            <v>T768EBV</v>
          </cell>
          <cell r="E216" t="str">
            <v>HASSAN RICHARD MWANYERERE</v>
          </cell>
          <cell r="F216">
            <v>688031176</v>
          </cell>
          <cell r="G216">
            <v>4003463297</v>
          </cell>
          <cell r="H216" t="str">
            <v>TAE 664986</v>
          </cell>
          <cell r="I216" t="str">
            <v>129-276-592</v>
          </cell>
          <cell r="J216" t="str">
            <v>SADI KIMWAGA</v>
          </cell>
          <cell r="K216" t="str">
            <v>JOSEPH JIRABI</v>
          </cell>
        </row>
        <row r="217">
          <cell r="B217" t="str">
            <v>T766DYR</v>
          </cell>
          <cell r="C217" t="str">
            <v>T826DYT</v>
          </cell>
          <cell r="D217" t="str">
            <v> </v>
          </cell>
          <cell r="E217" t="str">
            <v>HASSAN SAID TUPA</v>
          </cell>
          <cell r="F217">
            <v>714658148</v>
          </cell>
          <cell r="G217">
            <v>4000312663</v>
          </cell>
          <cell r="H217" t="str">
            <v>TAE607295</v>
          </cell>
          <cell r="I217" t="str">
            <v>114-569-755</v>
          </cell>
          <cell r="J217" t="str">
            <v>LUSAJO KASUNGA</v>
          </cell>
          <cell r="K217" t="str">
            <v>JUMA ISMAIL</v>
          </cell>
        </row>
        <row r="218">
          <cell r="B218" t="str">
            <v>T386ECN</v>
          </cell>
          <cell r="C218" t="str">
            <v>T817ECG</v>
          </cell>
          <cell r="D218" t="str">
            <v>T967EBV</v>
          </cell>
          <cell r="E218" t="str">
            <v>HASSANI HAMISI SHAHA</v>
          </cell>
          <cell r="F218">
            <v>784229114</v>
          </cell>
          <cell r="G218">
            <v>4000628725</v>
          </cell>
          <cell r="H218" t="str">
            <v>TAE737596</v>
          </cell>
          <cell r="I218" t="e">
            <v>#N/A</v>
          </cell>
          <cell r="J218" t="str">
            <v>LUSAJO KASUNGA</v>
          </cell>
          <cell r="K218" t="str">
            <v>JUMA ISMAIL</v>
          </cell>
        </row>
        <row r="219">
          <cell r="B219" t="str">
            <v>T932EBW</v>
          </cell>
          <cell r="C219" t="str">
            <v>T415EBW</v>
          </cell>
          <cell r="D219" t="str">
            <v>T668EBV</v>
          </cell>
          <cell r="E219" t="str">
            <v>HASSANI MABROUCK TUNZA</v>
          </cell>
          <cell r="F219">
            <v>684886281</v>
          </cell>
          <cell r="G219">
            <v>4000159466</v>
          </cell>
          <cell r="H219" t="str">
            <v>AB10044476</v>
          </cell>
          <cell r="I219" t="e">
            <v>#N/A</v>
          </cell>
          <cell r="J219" t="str">
            <v>SADI KIMWAGA</v>
          </cell>
          <cell r="K219" t="str">
            <v>JOSEPH JIRABI</v>
          </cell>
        </row>
        <row r="220">
          <cell r="B220" t="str">
            <v>T576DTQ</v>
          </cell>
          <cell r="C220" t="str">
            <v>T769DTQ</v>
          </cell>
          <cell r="D220" t="str">
            <v> </v>
          </cell>
          <cell r="E220" t="str">
            <v>HIJA MUSSA LIJUBA</v>
          </cell>
          <cell r="F220">
            <v>628001048</v>
          </cell>
          <cell r="G220">
            <v>4000154692</v>
          </cell>
          <cell r="H220" t="str">
            <v>AB10040533</v>
          </cell>
          <cell r="I220">
            <v>113205296</v>
          </cell>
          <cell r="J220" t="str">
            <v>Ayoub BENESTA</v>
          </cell>
          <cell r="K220" t="str">
            <v>JUMA ISMAIL</v>
          </cell>
        </row>
        <row r="221">
          <cell r="B221" t="str">
            <v>T835EBY</v>
          </cell>
          <cell r="C221" t="str">
            <v>T567EBX</v>
          </cell>
          <cell r="D221" t="str">
            <v>T646EBV</v>
          </cell>
          <cell r="E221" t="str">
            <v>HUMUDI SAID AMORI</v>
          </cell>
          <cell r="F221">
            <v>716612556</v>
          </cell>
          <cell r="G221">
            <v>4005373288</v>
          </cell>
          <cell r="H221" t="str">
            <v>AB1231633</v>
          </cell>
          <cell r="I221" t="str">
            <v>114-113-778</v>
          </cell>
          <cell r="J221" t="str">
            <v>PLASDUS MAHUMBA</v>
          </cell>
          <cell r="K221" t="str">
            <v>ABDRULRAHIMAN</v>
          </cell>
        </row>
        <row r="222">
          <cell r="B222" t="str">
            <v>T343EBX</v>
          </cell>
          <cell r="C222" t="str">
            <v>T412EBW</v>
          </cell>
          <cell r="D222" t="str">
            <v>T350EBW</v>
          </cell>
          <cell r="E222" t="str">
            <v>HUSSEIN ALLY MAIGA</v>
          </cell>
          <cell r="F222">
            <v>784305757</v>
          </cell>
          <cell r="G222">
            <v>4000139250</v>
          </cell>
          <cell r="H222" t="str">
            <v>TAE324183</v>
          </cell>
          <cell r="I222">
            <v>112850120</v>
          </cell>
          <cell r="J222" t="str">
            <v>Martha GOLODI</v>
          </cell>
          <cell r="K222" t="str">
            <v>JOSEPH JIRABI</v>
          </cell>
        </row>
        <row r="223">
          <cell r="B223" t="str">
            <v>T302EBX</v>
          </cell>
          <cell r="C223" t="str">
            <v>T499EBW</v>
          </cell>
          <cell r="D223" t="str">
            <v>T942EBV</v>
          </cell>
          <cell r="E223" t="str">
            <v>MUSSA MASASI MRINDOKO</v>
          </cell>
          <cell r="F223" t="str">
            <v>0753088291/0715088291</v>
          </cell>
          <cell r="G223">
            <v>4000156082</v>
          </cell>
          <cell r="H223" t="str">
            <v>TAE477374</v>
          </cell>
          <cell r="I223" t="e">
            <v>#N/A</v>
          </cell>
          <cell r="J223" t="str">
            <v>IRENE SHIJA</v>
          </cell>
          <cell r="K223" t="str">
            <v>ABDRULRAHIMAN</v>
          </cell>
        </row>
        <row r="224">
          <cell r="B224" t="str">
            <v>T713DEB</v>
          </cell>
          <cell r="C224" t="str">
            <v>T931DEK</v>
          </cell>
          <cell r="D224" t="str">
            <v> </v>
          </cell>
          <cell r="E224" t="str">
            <v>HUSSEIN MALIKI MTALY</v>
          </cell>
          <cell r="F224">
            <v>763171220</v>
          </cell>
          <cell r="G224">
            <v>4000367709</v>
          </cell>
          <cell r="H224" t="str">
            <v>TAE428354</v>
          </cell>
          <cell r="I224" t="str">
            <v>115-143-662</v>
          </cell>
          <cell r="J224" t="str">
            <v>IRENE SHIJA</v>
          </cell>
          <cell r="K224" t="str">
            <v>ABDRULRAHIMAN</v>
          </cell>
        </row>
        <row r="225">
          <cell r="B225" t="str">
            <v>T953DSX</v>
          </cell>
          <cell r="C225" t="str">
            <v>T772DTQ</v>
          </cell>
          <cell r="D225" t="str">
            <v> </v>
          </cell>
          <cell r="E225" t="str">
            <v xml:space="preserve">HUSSEIN MALIKI MTALY </v>
          </cell>
          <cell r="F225"/>
          <cell r="G225">
            <v>4000367709</v>
          </cell>
          <cell r="H225" t="str">
            <v>TAE428354</v>
          </cell>
          <cell r="I225"/>
          <cell r="J225" t="str">
            <v>LUSAJO KASUNGA</v>
          </cell>
          <cell r="K225" t="str">
            <v>JUMA ISMAIL</v>
          </cell>
        </row>
        <row r="226">
          <cell r="B226" t="str">
            <v>T928EBW</v>
          </cell>
          <cell r="C226" t="str">
            <v>T586EBY</v>
          </cell>
          <cell r="D226" t="str">
            <v>T641EBV</v>
          </cell>
          <cell r="E226" t="str">
            <v>HUSSEIN SIMON BOBSON</v>
          </cell>
          <cell r="F226">
            <v>715490050</v>
          </cell>
          <cell r="G226">
            <v>4000107216</v>
          </cell>
          <cell r="H226" t="str">
            <v>TAE750793</v>
          </cell>
          <cell r="I226" t="e">
            <v>#N/A</v>
          </cell>
          <cell r="J226" t="str">
            <v>SADI KIMWAGA</v>
          </cell>
          <cell r="K226" t="str">
            <v>JOSEPH JIRABI</v>
          </cell>
        </row>
        <row r="227">
          <cell r="B227" t="str">
            <v>T750DEB</v>
          </cell>
          <cell r="C227" t="str">
            <v>T490DEJ</v>
          </cell>
          <cell r="D227" t="str">
            <v> </v>
          </cell>
          <cell r="E227" t="str">
            <v>IBRAHIM MWINSHEHE KILAKALA</v>
          </cell>
          <cell r="F227">
            <v>613808159</v>
          </cell>
          <cell r="G227">
            <v>4001242560</v>
          </cell>
          <cell r="H227" t="str">
            <v>TAE463880</v>
          </cell>
          <cell r="I227" t="str">
            <v>109-171-840</v>
          </cell>
          <cell r="J227" t="str">
            <v>LUSAJO KASUNGA</v>
          </cell>
          <cell r="K227" t="str">
            <v>JUMA ISMAIL</v>
          </cell>
        </row>
        <row r="228">
          <cell r="B228" t="str">
            <v>T326ECN</v>
          </cell>
          <cell r="C228" t="str">
            <v>T784ECG</v>
          </cell>
          <cell r="D228" t="str">
            <v>T304EBW</v>
          </cell>
          <cell r="E228" t="str">
            <v>IBRAHIMU SELEMANI SENGAMBA</v>
          </cell>
          <cell r="F228" t="str">
            <v>783764138/744502168</v>
          </cell>
          <cell r="G228">
            <v>4001555625</v>
          </cell>
          <cell r="H228" t="str">
            <v>TAE676432</v>
          </cell>
          <cell r="I228" t="e">
            <v>#N/A</v>
          </cell>
          <cell r="J228" t="str">
            <v>LUSAJO KASUNGA</v>
          </cell>
          <cell r="K228" t="str">
            <v>JUMA ISMAIL</v>
          </cell>
        </row>
        <row r="229">
          <cell r="B229" t="str">
            <v>T312EBX</v>
          </cell>
          <cell r="C229" t="str">
            <v>T930EBY</v>
          </cell>
          <cell r="D229" t="str">
            <v> </v>
          </cell>
          <cell r="E229" t="str">
            <v>IDD HUSSEIN KAZUBA</v>
          </cell>
          <cell r="F229">
            <v>717553245</v>
          </cell>
          <cell r="G229">
            <v>4000649615</v>
          </cell>
          <cell r="H229" t="str">
            <v>TAE792777</v>
          </cell>
          <cell r="I229">
            <v>117242250</v>
          </cell>
          <cell r="J229" t="str">
            <v>LUSAJO KASUNGA</v>
          </cell>
          <cell r="K229" t="str">
            <v>JUMA ISMAIL</v>
          </cell>
        </row>
        <row r="230">
          <cell r="B230" t="str">
            <v>T342DHG</v>
          </cell>
          <cell r="C230" t="str">
            <v>T869DHG</v>
          </cell>
          <cell r="D230" t="str">
            <v> </v>
          </cell>
          <cell r="E230" t="str">
            <v>IDDY RAJAB IDDY</v>
          </cell>
          <cell r="F230">
            <v>767415401</v>
          </cell>
          <cell r="G230">
            <v>4000362438</v>
          </cell>
          <cell r="H230" t="str">
            <v>TAE676836</v>
          </cell>
          <cell r="I230" t="e">
            <v>#N/A</v>
          </cell>
          <cell r="J230" t="str">
            <v>SADI KIMWAGA</v>
          </cell>
          <cell r="K230" t="str">
            <v>JOSEPH JIRABI</v>
          </cell>
        </row>
        <row r="231">
          <cell r="B231" t="str">
            <v>T871EBW</v>
          </cell>
          <cell r="C231" t="str">
            <v>T566EBX</v>
          </cell>
          <cell r="D231" t="str">
            <v>T962EBV</v>
          </cell>
          <cell r="E231" t="str">
            <v>IDRISA IBRAHIM SAID</v>
          </cell>
          <cell r="F231">
            <v>689661725</v>
          </cell>
          <cell r="G231">
            <v>4001107322</v>
          </cell>
          <cell r="H231" t="str">
            <v>TAE641301</v>
          </cell>
          <cell r="I231" t="str">
            <v>119-152-437</v>
          </cell>
          <cell r="J231" t="str">
            <v>Martha GOLODI</v>
          </cell>
          <cell r="K231" t="str">
            <v>JOSEPH JIRABI</v>
          </cell>
        </row>
        <row r="232">
          <cell r="B232" t="str">
            <v>T810EBY</v>
          </cell>
          <cell r="C232" t="str">
            <v>T489ECE</v>
          </cell>
          <cell r="D232" t="str">
            <v>T650EBV</v>
          </cell>
          <cell r="E232" t="str">
            <v xml:space="preserve">ISMAEL JULIUS FIDELIS </v>
          </cell>
          <cell r="F232">
            <v>753708346</v>
          </cell>
          <cell r="G232">
            <v>4002914951</v>
          </cell>
          <cell r="H232" t="str">
            <v>TAE6111900</v>
          </cell>
          <cell r="I232" t="e">
            <v>#N/A</v>
          </cell>
          <cell r="J232" t="str">
            <v>PLASDUS MAHUMBA</v>
          </cell>
          <cell r="K232" t="str">
            <v>ABDRULRAHIMAN</v>
          </cell>
        </row>
        <row r="233">
          <cell r="B233" t="str">
            <v>T151EBX</v>
          </cell>
          <cell r="C233" t="str">
            <v>T601EBX</v>
          </cell>
          <cell r="D233" t="str">
            <v>T659EBV</v>
          </cell>
          <cell r="E233" t="str">
            <v>INNOCENT MASIMA MGOYA</v>
          </cell>
          <cell r="F233" t="str">
            <v>754344532/0658883216</v>
          </cell>
          <cell r="G233">
            <v>4012299713</v>
          </cell>
          <cell r="H233" t="str">
            <v>TAE323716</v>
          </cell>
          <cell r="I233">
            <v>116002175</v>
          </cell>
          <cell r="J233" t="str">
            <v>IRENE SHIJA</v>
          </cell>
          <cell r="K233" t="str">
            <v>ABDRULRAHIMAN</v>
          </cell>
        </row>
        <row r="234">
          <cell r="B234" t="str">
            <v>T191EBX</v>
          </cell>
          <cell r="C234" t="str">
            <v>T585EBX</v>
          </cell>
          <cell r="D234" t="str">
            <v>T729EBV</v>
          </cell>
          <cell r="E234" t="str">
            <v>ISAYA JOHN MSENA</v>
          </cell>
          <cell r="F234">
            <v>787543674</v>
          </cell>
          <cell r="G234">
            <v>4000170073</v>
          </cell>
          <cell r="H234" t="str">
            <v>TAE320449</v>
          </cell>
          <cell r="I234">
            <v>113485485</v>
          </cell>
          <cell r="J234" t="str">
            <v>IRENE SHIJA</v>
          </cell>
          <cell r="K234" t="str">
            <v>ABDRULRAHIMAN</v>
          </cell>
        </row>
        <row r="235">
          <cell r="B235" t="str">
            <v>T645DHL</v>
          </cell>
          <cell r="C235" t="str">
            <v>T348DHS</v>
          </cell>
          <cell r="D235" t="str">
            <v> </v>
          </cell>
          <cell r="E235" t="str">
            <v>ISIHAKA IDRISA HAMIDU</v>
          </cell>
          <cell r="F235">
            <v>4006325506</v>
          </cell>
          <cell r="G235">
            <v>672222756</v>
          </cell>
          <cell r="H235" t="str">
            <v>TAE493644</v>
          </cell>
          <cell r="I235" t="str">
            <v>112-800-034</v>
          </cell>
          <cell r="J235" t="str">
            <v>SADI KIMWAGA</v>
          </cell>
          <cell r="K235" t="str">
            <v>JOSEPH JIRABI</v>
          </cell>
        </row>
        <row r="236">
          <cell r="B236" t="str">
            <v>T676EBX</v>
          </cell>
          <cell r="C236" t="str">
            <v>T578EBY</v>
          </cell>
          <cell r="D236" t="str">
            <v>T654EBV</v>
          </cell>
          <cell r="E236" t="str">
            <v>ISIHAKA MUSSA HAMIDU</v>
          </cell>
          <cell r="F236">
            <v>759037292</v>
          </cell>
          <cell r="G236">
            <v>4000730942</v>
          </cell>
          <cell r="H236" t="str">
            <v>TAE117826</v>
          </cell>
          <cell r="I236" t="str">
            <v>117-417-131</v>
          </cell>
          <cell r="J236" t="str">
            <v>LUSAJO KASUNGA</v>
          </cell>
          <cell r="K236" t="str">
            <v>JUMA ISMAIL</v>
          </cell>
        </row>
        <row r="237">
          <cell r="B237" t="str">
            <v>T714EBX</v>
          </cell>
          <cell r="C237" t="str">
            <v>T215EBZ</v>
          </cell>
          <cell r="D237" t="str">
            <v>T660EBV</v>
          </cell>
          <cell r="E237" t="str">
            <v>MWACKY ERNESTO MBAGO</v>
          </cell>
          <cell r="F237">
            <v>659436939</v>
          </cell>
          <cell r="G237">
            <v>4000085015</v>
          </cell>
          <cell r="H237" t="str">
            <v>TAE390175</v>
          </cell>
          <cell r="I237">
            <v>112329870</v>
          </cell>
          <cell r="J237" t="str">
            <v>LUSAJO KASUNGA</v>
          </cell>
          <cell r="K237" t="str">
            <v>JUMA ISMAIL</v>
          </cell>
        </row>
        <row r="238">
          <cell r="B238" t="str">
            <v>T425DHG</v>
          </cell>
          <cell r="C238" t="str">
            <v>T917DEK</v>
          </cell>
          <cell r="D238" t="str">
            <v> </v>
          </cell>
          <cell r="E238" t="str">
            <v>ISMAIL NASSORO SAID</v>
          </cell>
          <cell r="F238">
            <v>683759303</v>
          </cell>
          <cell r="G238">
            <v>4001686268</v>
          </cell>
          <cell r="H238" t="str">
            <v>TAE665246</v>
          </cell>
          <cell r="I238" t="e">
            <v>#N/A</v>
          </cell>
          <cell r="J238" t="str">
            <v>IRENE SHIJA</v>
          </cell>
          <cell r="K238" t="str">
            <v>ABDRULRAHIMAN</v>
          </cell>
        </row>
        <row r="239">
          <cell r="B239" t="str">
            <v>T441DHG</v>
          </cell>
          <cell r="C239" t="str">
            <v>T971DHL</v>
          </cell>
          <cell r="D239" t="str">
            <v> </v>
          </cell>
          <cell r="E239" t="str">
            <v>ISMAIL YAHAYA MISANYA</v>
          </cell>
          <cell r="F239">
            <v>767893839</v>
          </cell>
          <cell r="G239">
            <v>4000843657</v>
          </cell>
          <cell r="H239" t="str">
            <v>TAE721329</v>
          </cell>
          <cell r="I239" t="str">
            <v>118-089-278</v>
          </cell>
          <cell r="J239" t="str">
            <v>Ayoub BENESTA</v>
          </cell>
          <cell r="K239" t="str">
            <v>JUMA ISMAIL</v>
          </cell>
        </row>
        <row r="240">
          <cell r="B240" t="str">
            <v>T891EBW</v>
          </cell>
          <cell r="C240" t="str">
            <v>T421EBW</v>
          </cell>
          <cell r="D240" t="str">
            <v>T521EBV</v>
          </cell>
          <cell r="E240" t="str">
            <v>ISSA MOHAMED KIMWAGA</v>
          </cell>
          <cell r="F240">
            <v>694055651</v>
          </cell>
          <cell r="G240">
            <v>4000738198</v>
          </cell>
          <cell r="H240" t="str">
            <v>TAE660429</v>
          </cell>
          <cell r="I240" t="str">
            <v>117-626-539</v>
          </cell>
          <cell r="J240" t="str">
            <v>SADI KIMWAGA</v>
          </cell>
          <cell r="K240" t="str">
            <v>JOSEPH JIRABI</v>
          </cell>
        </row>
        <row r="241">
          <cell r="B241" t="str">
            <v>T850EBY</v>
          </cell>
          <cell r="C241" t="str">
            <v>T427EBW</v>
          </cell>
          <cell r="D241" t="str">
            <v>T223EBV</v>
          </cell>
          <cell r="E241" t="str">
            <v>ISSA RAMADHAN MWAMPAMBE</v>
          </cell>
          <cell r="F241">
            <v>788364678</v>
          </cell>
          <cell r="G241">
            <v>4000156551</v>
          </cell>
          <cell r="H241" t="str">
            <v>TAE370110</v>
          </cell>
          <cell r="I241" t="e">
            <v>#N/A</v>
          </cell>
          <cell r="J241" t="str">
            <v>Martha GOLODI</v>
          </cell>
          <cell r="K241" t="str">
            <v>JOSEPH JIRABI</v>
          </cell>
        </row>
        <row r="242">
          <cell r="B242" t="str">
            <v>T868EBW</v>
          </cell>
          <cell r="C242" t="str">
            <v>T580EBY</v>
          </cell>
          <cell r="D242" t="str">
            <v>T642EBV</v>
          </cell>
          <cell r="E242" t="str">
            <v>ISSACK KONRADI KASIANO</v>
          </cell>
          <cell r="F242">
            <v>710758027</v>
          </cell>
          <cell r="G242">
            <v>4000353882</v>
          </cell>
          <cell r="H242" t="str">
            <v>TAE703632</v>
          </cell>
          <cell r="I242" t="str">
            <v>115-570-633</v>
          </cell>
          <cell r="J242" t="str">
            <v>SADI KIMWAGA</v>
          </cell>
          <cell r="K242" t="str">
            <v>JOSEPH JIRABI</v>
          </cell>
        </row>
        <row r="243">
          <cell r="B243" t="str">
            <v>T754DEB</v>
          </cell>
          <cell r="C243" t="str">
            <v>T946DDJ</v>
          </cell>
          <cell r="D243" t="str">
            <v> </v>
          </cell>
          <cell r="E243" t="str">
            <v>JABU RASHIDI ISSA</v>
          </cell>
          <cell r="F243">
            <v>689935935</v>
          </cell>
          <cell r="G243">
            <v>4000257690</v>
          </cell>
          <cell r="H243" t="str">
            <v>AB10084914</v>
          </cell>
          <cell r="I243" t="str">
            <v>114-528-307</v>
          </cell>
          <cell r="J243" t="str">
            <v>Martha GOLODI</v>
          </cell>
          <cell r="K243" t="str">
            <v>JOSEPH JIRABI</v>
          </cell>
        </row>
        <row r="244">
          <cell r="B244" t="str">
            <v>T758EBX</v>
          </cell>
          <cell r="C244" t="str">
            <v>T232EBZ</v>
          </cell>
          <cell r="D244" t="str">
            <v>T965EBV</v>
          </cell>
          <cell r="E244" t="str">
            <v>JACKSON JACOB BURA</v>
          </cell>
          <cell r="F244">
            <v>745937774</v>
          </cell>
          <cell r="G244">
            <v>4005988428</v>
          </cell>
          <cell r="H244" t="str">
            <v>AB10096911</v>
          </cell>
          <cell r="I244" t="e">
            <v>#N/A</v>
          </cell>
          <cell r="J244" t="str">
            <v>PLASDUS MAHUMBA</v>
          </cell>
          <cell r="K244" t="str">
            <v>ABDRULRAHIMAN</v>
          </cell>
        </row>
        <row r="245">
          <cell r="B245" t="str">
            <v>T790EBW</v>
          </cell>
          <cell r="C245" t="str">
            <v>T351ECH</v>
          </cell>
          <cell r="D245" t="str">
            <v>T109EBW</v>
          </cell>
          <cell r="E245" t="str">
            <v>JACKSON MODEST KWEMBE</v>
          </cell>
          <cell r="F245">
            <v>762611814</v>
          </cell>
          <cell r="G245">
            <v>4000744730</v>
          </cell>
          <cell r="H245" t="str">
            <v>TAE724681</v>
          </cell>
          <cell r="I245" t="str">
            <v>117-525-961</v>
          </cell>
          <cell r="J245" t="str">
            <v>IRENE SHIJA</v>
          </cell>
          <cell r="K245" t="str">
            <v>ABDRULRAHIMAN</v>
          </cell>
        </row>
        <row r="246">
          <cell r="B246" t="str">
            <v>T109EBX</v>
          </cell>
          <cell r="C246" t="str">
            <v>T474EBW</v>
          </cell>
          <cell r="D246" t="str">
            <v>T594EBV</v>
          </cell>
          <cell r="E246" t="str">
            <v>JACOB SALVINUS MAINGO</v>
          </cell>
          <cell r="F246">
            <v>693828270</v>
          </cell>
          <cell r="G246">
            <v>4001501258</v>
          </cell>
          <cell r="H246" t="str">
            <v>TAE388996</v>
          </cell>
          <cell r="I246">
            <v>116780461</v>
          </cell>
          <cell r="J246" t="str">
            <v>IRENE SHIJA</v>
          </cell>
          <cell r="K246" t="str">
            <v>ABDRULRAHIMAN</v>
          </cell>
        </row>
        <row r="247">
          <cell r="B247" t="str">
            <v>T523EBY</v>
          </cell>
          <cell r="C247" t="str">
            <v>T563EBX</v>
          </cell>
          <cell r="D247" t="str">
            <v>T941EBV</v>
          </cell>
          <cell r="E247" t="str">
            <v>JAMES COSMAS CHUVAKA</v>
          </cell>
          <cell r="F247">
            <v>685076607</v>
          </cell>
          <cell r="G247">
            <v>4000497145</v>
          </cell>
          <cell r="H247" t="str">
            <v>TAE542485</v>
          </cell>
          <cell r="I247" t="str">
            <v>116-506-408</v>
          </cell>
          <cell r="J247" t="str">
            <v>Ayoub BENESTA</v>
          </cell>
          <cell r="K247" t="str">
            <v>JUMA ISMAIL</v>
          </cell>
        </row>
        <row r="248">
          <cell r="B248" t="str">
            <v>T341EBX</v>
          </cell>
          <cell r="C248" t="str">
            <v>T882EBY</v>
          </cell>
          <cell r="D248" t="str">
            <v> </v>
          </cell>
          <cell r="E248" t="str">
            <v>JAMES JOSEPH NJAU</v>
          </cell>
          <cell r="F248">
            <v>673261636</v>
          </cell>
          <cell r="G248">
            <v>4000934064</v>
          </cell>
          <cell r="H248" t="str">
            <v>TAE 373108</v>
          </cell>
          <cell r="I248" t="str">
            <v>118-477-685</v>
          </cell>
          <cell r="J248" t="str">
            <v>IRENE SHIJA</v>
          </cell>
          <cell r="K248" t="str">
            <v>ABDRULRAHIMAN</v>
          </cell>
        </row>
        <row r="249">
          <cell r="B249" t="str">
            <v>T509EBY</v>
          </cell>
          <cell r="C249" t="str">
            <v>T558EBX</v>
          </cell>
          <cell r="D249" t="str">
            <v>T655EBV</v>
          </cell>
          <cell r="E249" t="str">
            <v>JAMES STANLEY LOTH</v>
          </cell>
          <cell r="F249">
            <v>747877333</v>
          </cell>
          <cell r="G249">
            <v>4001548207</v>
          </cell>
          <cell r="H249" t="str">
            <v>TAE701207</v>
          </cell>
          <cell r="I249">
            <v>121054574</v>
          </cell>
          <cell r="J249" t="str">
            <v>SADI KIMWAGA</v>
          </cell>
          <cell r="K249" t="str">
            <v>JOSEPH JIRABI</v>
          </cell>
        </row>
        <row r="250">
          <cell r="B250" t="str">
            <v>T822DDS</v>
          </cell>
          <cell r="C250" t="str">
            <v>T920DEK</v>
          </cell>
          <cell r="D250" t="str">
            <v> </v>
          </cell>
          <cell r="E250" t="str">
            <v>JANUARY LAMECK AUGUSTINO</v>
          </cell>
          <cell r="F250">
            <v>757030129</v>
          </cell>
          <cell r="G250">
            <v>4000303070</v>
          </cell>
          <cell r="H250" t="str">
            <v>TAE369888</v>
          </cell>
          <cell r="I250" t="str">
            <v>115-011-812</v>
          </cell>
          <cell r="J250" t="str">
            <v>LUSAJO KASUNGA</v>
          </cell>
          <cell r="K250" t="str">
            <v>JUMA ISMAIL</v>
          </cell>
        </row>
        <row r="251">
          <cell r="B251" t="str">
            <v>T342EBX</v>
          </cell>
          <cell r="C251" t="str">
            <v>T580EBX</v>
          </cell>
          <cell r="D251" t="str">
            <v>T721EBV</v>
          </cell>
          <cell r="E251" t="str">
            <v>JAPHARI SALUM SHABANI</v>
          </cell>
          <cell r="F251">
            <v>693768000</v>
          </cell>
          <cell r="G251">
            <v>4002588662</v>
          </cell>
          <cell r="H251" t="str">
            <v>TAE688797</v>
          </cell>
          <cell r="I251" t="str">
            <v>125-444-563</v>
          </cell>
          <cell r="J251" t="str">
            <v>Ayoub BENESTA</v>
          </cell>
          <cell r="K251" t="str">
            <v>JUMA ISMAIL</v>
          </cell>
        </row>
        <row r="252">
          <cell r="B252" t="str">
            <v>T803EBW</v>
          </cell>
          <cell r="C252" t="str">
            <v>T350ECH</v>
          </cell>
          <cell r="D252" t="str">
            <v>T301EBW</v>
          </cell>
          <cell r="E252" t="str">
            <v>JAPHARY NASSORO JAPHARY</v>
          </cell>
          <cell r="F252">
            <v>767310391</v>
          </cell>
          <cell r="G252">
            <v>4000283619</v>
          </cell>
          <cell r="H252" t="str">
            <v>TAE840837</v>
          </cell>
          <cell r="I252" t="e">
            <v>#N/A</v>
          </cell>
          <cell r="J252" t="str">
            <v>Martha GOLODI</v>
          </cell>
          <cell r="K252" t="str">
            <v>JOSEPH JIRABI</v>
          </cell>
        </row>
        <row r="253">
          <cell r="B253" t="str">
            <v>T378ECN</v>
          </cell>
          <cell r="C253" t="str">
            <v>T791ECG</v>
          </cell>
          <cell r="D253" t="str">
            <v>T314EBW</v>
          </cell>
          <cell r="E253" t="str">
            <v>JEREMIAHY SIMONE MWALUKO</v>
          </cell>
          <cell r="F253">
            <v>629513240</v>
          </cell>
          <cell r="G253">
            <v>40001864935</v>
          </cell>
          <cell r="H253" t="str">
            <v>TAE659254</v>
          </cell>
          <cell r="I253" t="str">
            <v>122-457-621</v>
          </cell>
          <cell r="J253" t="str">
            <v>LUSAJO KASUNGA</v>
          </cell>
          <cell r="K253" t="str">
            <v>JUMA ISMAIL</v>
          </cell>
        </row>
        <row r="254">
          <cell r="B254" t="str">
            <v>T340EBX</v>
          </cell>
          <cell r="C254" t="str">
            <v>T885EBY</v>
          </cell>
          <cell r="D254" t="str">
            <v> </v>
          </cell>
          <cell r="E254" t="str">
            <v>JITENGENI YAHYA MZEE</v>
          </cell>
          <cell r="F254">
            <v>789941155</v>
          </cell>
          <cell r="G254">
            <v>4001271657</v>
          </cell>
          <cell r="H254" t="str">
            <v>TAE644604</v>
          </cell>
          <cell r="I254" t="e">
            <v>#N/A</v>
          </cell>
          <cell r="J254" t="str">
            <v>IRENE SHIJA</v>
          </cell>
          <cell r="K254" t="str">
            <v>ABDRULRAHIMAN</v>
          </cell>
        </row>
        <row r="255">
          <cell r="B255" t="str">
            <v>T188EBX</v>
          </cell>
          <cell r="C255" t="str">
            <v>T591EBX</v>
          </cell>
          <cell r="D255" t="str">
            <v>T749EBV</v>
          </cell>
          <cell r="E255" t="str">
            <v>JOEL JONATHAN SHOO</v>
          </cell>
          <cell r="F255">
            <v>766258696</v>
          </cell>
          <cell r="G255">
            <v>4000081773</v>
          </cell>
          <cell r="H255" t="str">
            <v>TAE615259</v>
          </cell>
          <cell r="I255">
            <v>113843780</v>
          </cell>
          <cell r="J255" t="str">
            <v>Martha GOLODI</v>
          </cell>
          <cell r="K255" t="str">
            <v>JOSEPH JIRABI</v>
          </cell>
        </row>
        <row r="256">
          <cell r="B256" t="str">
            <v>T420DHG</v>
          </cell>
          <cell r="C256" t="str">
            <v>T918DHG</v>
          </cell>
          <cell r="D256" t="str">
            <v> </v>
          </cell>
          <cell r="E256" t="str">
            <v>JOEL SAMSON MANDAGO</v>
          </cell>
          <cell r="F256">
            <v>684593630</v>
          </cell>
          <cell r="G256">
            <v>4001281879</v>
          </cell>
          <cell r="H256" t="str">
            <v>TAE927219</v>
          </cell>
          <cell r="I256" t="str">
            <v>119-851-823</v>
          </cell>
          <cell r="J256" t="str">
            <v>Ayoub BENESTA</v>
          </cell>
          <cell r="K256" t="str">
            <v>JUMA ISMAIL</v>
          </cell>
        </row>
        <row r="257">
          <cell r="B257" t="str">
            <v>T349DHG</v>
          </cell>
          <cell r="C257" t="str">
            <v>T915DHG</v>
          </cell>
          <cell r="D257" t="str">
            <v> </v>
          </cell>
          <cell r="E257" t="str">
            <v>JOHN FRANK MHINA</v>
          </cell>
          <cell r="F257">
            <v>689523640</v>
          </cell>
          <cell r="G257">
            <v>4002889262</v>
          </cell>
          <cell r="H257" t="str">
            <v>TAE677154</v>
          </cell>
          <cell r="I257" t="str">
            <v>126-883-803</v>
          </cell>
          <cell r="J257" t="str">
            <v>IRENE SHIJA</v>
          </cell>
          <cell r="K257" t="str">
            <v>ABDRULRAHIMAN</v>
          </cell>
        </row>
        <row r="258">
          <cell r="B258" t="str">
            <v>T104EBX</v>
          </cell>
          <cell r="C258" t="str">
            <v>T574EBX</v>
          </cell>
          <cell r="D258" t="str">
            <v>T569EBV</v>
          </cell>
          <cell r="E258" t="str">
            <v>JOHN NICHOLAUS MASSAWE</v>
          </cell>
          <cell r="F258">
            <v>784491948</v>
          </cell>
          <cell r="G258">
            <v>4000379938</v>
          </cell>
          <cell r="H258" t="str">
            <v>TAE 292817</v>
          </cell>
          <cell r="I258" t="e">
            <v>#N/A</v>
          </cell>
          <cell r="J258" t="str">
            <v>IRENE SHIJA</v>
          </cell>
          <cell r="K258" t="str">
            <v>ABDRULRAHIMAN</v>
          </cell>
        </row>
        <row r="259">
          <cell r="B259" t="str">
            <v>T574DEB</v>
          </cell>
          <cell r="C259" t="str">
            <v>T934DDJ</v>
          </cell>
          <cell r="D259" t="str">
            <v> </v>
          </cell>
          <cell r="E259" t="str">
            <v>JOHN PAUL MASANJA</v>
          </cell>
          <cell r="F259">
            <v>766770707</v>
          </cell>
          <cell r="G259">
            <v>4000450872</v>
          </cell>
          <cell r="H259" t="str">
            <v>TAE760619</v>
          </cell>
          <cell r="I259" t="e">
            <v>#N/A</v>
          </cell>
          <cell r="J259" t="str">
            <v>LUSAJO KASUNGA</v>
          </cell>
          <cell r="K259" t="str">
            <v>JUMA ISMAIL</v>
          </cell>
        </row>
        <row r="260">
          <cell r="B260" t="str">
            <v>T578DTQ</v>
          </cell>
          <cell r="C260" t="str">
            <v>T822DTQ</v>
          </cell>
          <cell r="D260" t="str">
            <v> </v>
          </cell>
          <cell r="E260" t="str">
            <v xml:space="preserve">JOSEPH LAWRENCE MAHANO </v>
          </cell>
          <cell r="F260">
            <v>685909171</v>
          </cell>
          <cell r="G260">
            <v>4001323107</v>
          </cell>
          <cell r="H260" t="str">
            <v>TAE431098</v>
          </cell>
          <cell r="I260" t="e">
            <v>#N/A</v>
          </cell>
          <cell r="J260" t="str">
            <v>IRENE SHIJA</v>
          </cell>
          <cell r="K260" t="str">
            <v>ABDRULRAHIMAN</v>
          </cell>
        </row>
        <row r="261">
          <cell r="B261" t="str">
            <v>T233EBX</v>
          </cell>
          <cell r="C261" t="str">
            <v>T922EBY</v>
          </cell>
          <cell r="D261" t="str">
            <v> </v>
          </cell>
          <cell r="E261" t="str">
            <v>JOSEPH PETRO JAMES</v>
          </cell>
          <cell r="F261">
            <v>764119526</v>
          </cell>
          <cell r="G261">
            <v>4001981469</v>
          </cell>
          <cell r="H261" t="str">
            <v>TAE527953</v>
          </cell>
          <cell r="I261" t="str">
            <v>122-885-364</v>
          </cell>
          <cell r="J261" t="str">
            <v>Ayoub BENESTA</v>
          </cell>
          <cell r="K261" t="str">
            <v>JUMA ISMAIL</v>
          </cell>
        </row>
        <row r="262">
          <cell r="B262" t="str">
            <v>T750EBX</v>
          </cell>
          <cell r="C262" t="str">
            <v>T282EBZ</v>
          </cell>
          <cell r="D262" t="str">
            <v>T686EBV</v>
          </cell>
          <cell r="E262" t="str">
            <v>JOSEPH SEBASTIAN FULGENCE</v>
          </cell>
          <cell r="F262">
            <v>788585960</v>
          </cell>
          <cell r="G262">
            <v>4001147732</v>
          </cell>
          <cell r="H262" t="str">
            <v>TAE753905</v>
          </cell>
          <cell r="I262">
            <v>119289718</v>
          </cell>
          <cell r="J262" t="str">
            <v>PLASDUS MAHUMBA</v>
          </cell>
          <cell r="K262" t="str">
            <v>ABDRULRAHIMAN</v>
          </cell>
        </row>
        <row r="263">
          <cell r="B263" t="str">
            <v>T712DYR</v>
          </cell>
          <cell r="C263" t="str">
            <v>T816DTQ</v>
          </cell>
          <cell r="D263" t="str">
            <v> </v>
          </cell>
          <cell r="E263" t="str">
            <v>RAJABU HUSSEIN AHMAD</v>
          </cell>
          <cell r="F263">
            <v>753042807</v>
          </cell>
          <cell r="G263">
            <v>4000307518</v>
          </cell>
          <cell r="H263" t="str">
            <v>TAE695463</v>
          </cell>
          <cell r="I263" t="str">
            <v>111-304-246</v>
          </cell>
          <cell r="J263" t="str">
            <v>LUSAJO KASUNGA</v>
          </cell>
          <cell r="K263" t="str">
            <v>JUMA ISMAIL</v>
          </cell>
        </row>
        <row r="264">
          <cell r="B264" t="str">
            <v>T508EBY</v>
          </cell>
          <cell r="C264" t="str">
            <v>T409EBW</v>
          </cell>
          <cell r="D264" t="str">
            <v>T653EBV</v>
          </cell>
          <cell r="E264" t="str">
            <v>JOSEPH WILLIAM NTANDU</v>
          </cell>
          <cell r="F264">
            <v>757093298</v>
          </cell>
          <cell r="G264">
            <v>4000153195</v>
          </cell>
          <cell r="H264" t="str">
            <v>TAE802925</v>
          </cell>
          <cell r="I264">
            <v>113240318</v>
          </cell>
          <cell r="J264" t="str">
            <v>Ayoub BENESTA</v>
          </cell>
          <cell r="K264" t="str">
            <v>JUMA ISMAIL</v>
          </cell>
        </row>
        <row r="265">
          <cell r="B265" t="str">
            <v>T856EBY</v>
          </cell>
          <cell r="C265" t="str">
            <v>T436EBW</v>
          </cell>
          <cell r="D265" t="str">
            <v>T762EBV</v>
          </cell>
          <cell r="E265" t="str">
            <v>JOSEPH XZAVIER MPILUKA</v>
          </cell>
          <cell r="F265" t="str">
            <v>711696052/763298016</v>
          </cell>
          <cell r="G265">
            <v>4002334286</v>
          </cell>
          <cell r="H265" t="str">
            <v>TAE456109</v>
          </cell>
          <cell r="I265" t="e">
            <v>#N/A</v>
          </cell>
          <cell r="J265" t="str">
            <v>Martha GOLODI</v>
          </cell>
          <cell r="K265" t="str">
            <v>JOSEPH JIRABI</v>
          </cell>
        </row>
        <row r="266">
          <cell r="B266" t="str">
            <v>T702DEB</v>
          </cell>
          <cell r="C266" t="str">
            <v>T523DDC</v>
          </cell>
          <cell r="D266" t="str">
            <v> </v>
          </cell>
          <cell r="E266"/>
          <cell r="F266"/>
          <cell r="G266"/>
          <cell r="H266"/>
          <cell r="I266" t="str">
            <v>113-320-265</v>
          </cell>
          <cell r="J266" t="str">
            <v>SADI KIMWAGA</v>
          </cell>
          <cell r="K266" t="str">
            <v>JOSEPH JIRABI</v>
          </cell>
        </row>
        <row r="267">
          <cell r="B267" t="str">
            <v>T401DHT</v>
          </cell>
          <cell r="C267" t="str">
            <v>T972DAC</v>
          </cell>
          <cell r="D267" t="str">
            <v> </v>
          </cell>
          <cell r="E267" t="str">
            <v>JOSEPHAT MARO KEBURE</v>
          </cell>
          <cell r="F267">
            <v>746383535</v>
          </cell>
          <cell r="G267">
            <v>4000797606</v>
          </cell>
          <cell r="H267" t="str">
            <v>TAE817004</v>
          </cell>
          <cell r="I267" t="str">
            <v>117-893-677</v>
          </cell>
          <cell r="J267" t="str">
            <v>Martha GOLODI</v>
          </cell>
          <cell r="K267" t="str">
            <v>JOSEPH JIRABI</v>
          </cell>
        </row>
        <row r="268">
          <cell r="B268" t="str">
            <v>T592DTQ</v>
          </cell>
          <cell r="C268" t="str">
            <v>T997DTQ</v>
          </cell>
          <cell r="D268" t="str">
            <v> </v>
          </cell>
          <cell r="E268" t="str">
            <v>JOSEPHAT STANSLAUS SHAWA</v>
          </cell>
          <cell r="F268">
            <v>682800082</v>
          </cell>
          <cell r="G268">
            <v>4000194663</v>
          </cell>
          <cell r="H268" t="str">
            <v>TAE 486446</v>
          </cell>
          <cell r="I268" t="e">
            <v>#N/A</v>
          </cell>
          <cell r="J268" t="str">
            <v>IRENE SHIJA</v>
          </cell>
          <cell r="K268" t="str">
            <v>ABDRULRAHIMAN</v>
          </cell>
        </row>
        <row r="269">
          <cell r="B269" t="str">
            <v>T266EBX</v>
          </cell>
          <cell r="C269" t="str">
            <v>T902EBY</v>
          </cell>
          <cell r="D269" t="str">
            <v> </v>
          </cell>
          <cell r="E269" t="str">
            <v>JULIUS CHARLES MSANGA</v>
          </cell>
          <cell r="F269">
            <v>655330003</v>
          </cell>
          <cell r="G269">
            <v>4002681502</v>
          </cell>
          <cell r="H269" t="str">
            <v>TAE761802</v>
          </cell>
          <cell r="I269" t="str">
            <v>125-789-250</v>
          </cell>
          <cell r="J269" t="str">
            <v>Ayoub BENESTA</v>
          </cell>
          <cell r="K269" t="str">
            <v>JUMA ISMAIL</v>
          </cell>
        </row>
        <row r="270">
          <cell r="B270" t="str">
            <v>T797EBW</v>
          </cell>
          <cell r="C270" t="str">
            <v>T345ECH</v>
          </cell>
          <cell r="D270" t="str">
            <v>T756EBV</v>
          </cell>
          <cell r="E270" t="str">
            <v>HAMISI MOHAMEDI MLAWA</v>
          </cell>
          <cell r="F270">
            <v>656772323</v>
          </cell>
          <cell r="G270">
            <v>4000296712</v>
          </cell>
          <cell r="H270" t="str">
            <v>TAE439148</v>
          </cell>
          <cell r="I270"/>
          <cell r="J270" t="str">
            <v>IRENE SHIJA</v>
          </cell>
          <cell r="K270" t="str">
            <v>ABDRULRAHIMAN</v>
          </cell>
        </row>
        <row r="271">
          <cell r="B271" t="str">
            <v>T170EBX</v>
          </cell>
          <cell r="C271" t="str">
            <v>T599EBX</v>
          </cell>
          <cell r="D271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E271" t="str">
            <v>JUMA ATHUMANI MTENGUKA</v>
          </cell>
          <cell r="F271">
            <v>697300142</v>
          </cell>
          <cell r="G271">
            <v>4001182435</v>
          </cell>
          <cell r="H271" t="str">
            <v>AB10086329</v>
          </cell>
          <cell r="I271">
            <v>119402905</v>
          </cell>
          <cell r="J271" t="str">
            <v>Ayoub BENESTA</v>
          </cell>
          <cell r="K271" t="str">
            <v>JUMA ISMAIL</v>
          </cell>
        </row>
        <row r="272">
          <cell r="B272" t="str">
            <v>T719DYR</v>
          </cell>
          <cell r="C272" t="str">
            <v>T928DYT</v>
          </cell>
          <cell r="D272" t="str">
            <v> </v>
          </cell>
          <cell r="E272" t="str">
            <v>JUMA HESSEN ATHUMANI</v>
          </cell>
          <cell r="F272">
            <v>682954240</v>
          </cell>
          <cell r="G272">
            <v>4004702720</v>
          </cell>
          <cell r="H272" t="str">
            <v>TAE744194</v>
          </cell>
          <cell r="I272" t="str">
            <v>141-288-733</v>
          </cell>
          <cell r="J272" t="str">
            <v>LUSAJO KASUNGA</v>
          </cell>
          <cell r="K272" t="str">
            <v>JUMA ISMAIL</v>
          </cell>
        </row>
        <row r="273">
          <cell r="B273" t="str">
            <v>T959DSX</v>
          </cell>
          <cell r="C273" t="str">
            <v>T395DTD</v>
          </cell>
          <cell r="D273" t="str">
            <v> </v>
          </cell>
          <cell r="E273" t="str">
            <v>JUMA JAFARI KASELE</v>
          </cell>
          <cell r="F273" t="str">
            <v>O787333791</v>
          </cell>
          <cell r="G273">
            <v>4004702720</v>
          </cell>
          <cell r="H273" t="str">
            <v>TAE77984</v>
          </cell>
          <cell r="I273" t="e">
            <v>#N/A</v>
          </cell>
          <cell r="J273" t="str">
            <v>LUSAJO KASUNGA</v>
          </cell>
          <cell r="K273" t="str">
            <v>JUMA ISMAIL</v>
          </cell>
        </row>
        <row r="274">
          <cell r="B274" t="str">
            <v>T416DCT</v>
          </cell>
          <cell r="C274" t="str">
            <v>T448DDC</v>
          </cell>
          <cell r="D274" t="str">
            <v> </v>
          </cell>
          <cell r="E274" t="str">
            <v>JUMA JAFARI KASELE</v>
          </cell>
          <cell r="F274">
            <v>787333791</v>
          </cell>
          <cell r="G274">
            <v>4006320990</v>
          </cell>
          <cell r="H274" t="str">
            <v>TAE772984</v>
          </cell>
          <cell r="I274" t="e">
            <v>#N/A</v>
          </cell>
          <cell r="J274" t="str">
            <v>LUSAJO KASUNGA</v>
          </cell>
          <cell r="K274" t="str">
            <v>JUMA ISMAIL</v>
          </cell>
        </row>
        <row r="275">
          <cell r="B275" t="str">
            <v>T329ECN</v>
          </cell>
          <cell r="C275" t="str">
            <v>T837ECG</v>
          </cell>
          <cell r="D275" t="str">
            <v>T764EBV</v>
          </cell>
          <cell r="E275" t="str">
            <v>JUMA KOBA SAID</v>
          </cell>
          <cell r="F275">
            <v>658497928</v>
          </cell>
          <cell r="G275">
            <v>4001317098</v>
          </cell>
          <cell r="H275" t="str">
            <v>TAE653367</v>
          </cell>
          <cell r="I275" t="str">
            <v>120-026-526</v>
          </cell>
          <cell r="J275" t="str">
            <v>LUSAJO KASUNGA</v>
          </cell>
          <cell r="K275" t="str">
            <v>JUMA ISMAIL</v>
          </cell>
        </row>
        <row r="276">
          <cell r="B276" t="str">
            <v>T584DYR</v>
          </cell>
          <cell r="C276" t="str">
            <v>T954DYT</v>
          </cell>
          <cell r="D276" t="str">
            <v> </v>
          </cell>
          <cell r="E276" t="str">
            <v>JUMA MSHANGANI NASSOR</v>
          </cell>
          <cell r="F276">
            <v>683152877</v>
          </cell>
          <cell r="G276">
            <v>4000069800</v>
          </cell>
          <cell r="H276" t="str">
            <v>TAE517655</v>
          </cell>
          <cell r="I276" t="str">
            <v>112-096-671</v>
          </cell>
          <cell r="J276" t="str">
            <v>Ayoub BENESTA</v>
          </cell>
          <cell r="K276" t="str">
            <v>JUMA ISMAIL</v>
          </cell>
        </row>
        <row r="277">
          <cell r="B277" t="str">
            <v>T266DDJ</v>
          </cell>
          <cell r="C277" t="str">
            <v>T910DDJ</v>
          </cell>
          <cell r="D277" t="str">
            <v> </v>
          </cell>
          <cell r="E277" t="str">
            <v>JUMA RAJABU LISSU</v>
          </cell>
          <cell r="F277" t="str">
            <v> +255 715 851 550</v>
          </cell>
          <cell r="G277">
            <v>4003143775</v>
          </cell>
          <cell r="H277" t="str">
            <v>TAE726111</v>
          </cell>
          <cell r="I277" t="str">
            <v>127-740-623</v>
          </cell>
          <cell r="J277" t="str">
            <v>Ayoub BENESTA</v>
          </cell>
          <cell r="K277" t="str">
            <v>JUMA ISMAIL</v>
          </cell>
        </row>
        <row r="278">
          <cell r="B278" t="str">
            <v>T413DHE</v>
          </cell>
          <cell r="C278" t="str">
            <v>T118DHM</v>
          </cell>
          <cell r="D278" t="str">
            <v> </v>
          </cell>
          <cell r="E278" t="str">
            <v>MOHAMEDI SAIDI HASSANI</v>
          </cell>
          <cell r="F278" t="str">
            <v>0768727560/0774727560</v>
          </cell>
          <cell r="G278">
            <v>4000292296</v>
          </cell>
          <cell r="H278"/>
          <cell r="I278" t="e">
            <v>#N/A</v>
          </cell>
          <cell r="J278" t="str">
            <v>SADI KIMWAGA</v>
          </cell>
          <cell r="K278" t="str">
            <v>JOSEPH JIRABI</v>
          </cell>
        </row>
        <row r="279">
          <cell r="B279" t="str">
            <v>T882EBW</v>
          </cell>
          <cell r="C279" t="str">
            <v>T414EBW</v>
          </cell>
          <cell r="D279" t="str">
            <v>T647EBV</v>
          </cell>
          <cell r="E279" t="str">
            <v>JUMA SHUKURU JUMA</v>
          </cell>
          <cell r="F279">
            <v>758030391</v>
          </cell>
          <cell r="G279">
            <v>4000725577</v>
          </cell>
          <cell r="H279" t="str">
            <v>TAE676056</v>
          </cell>
          <cell r="I279" t="str">
            <v>158-636-271</v>
          </cell>
          <cell r="J279" t="str">
            <v>SADI KIMWAGA</v>
          </cell>
          <cell r="K279" t="str">
            <v>JOSEPH JIRABI</v>
          </cell>
        </row>
        <row r="280">
          <cell r="B280" t="str">
            <v>T259EBY</v>
          </cell>
          <cell r="C280" t="str">
            <v>T913EBY</v>
          </cell>
          <cell r="D280" t="str">
            <v> </v>
          </cell>
          <cell r="E280" t="str">
            <v>JUMANNE ALLY MUHINA</v>
          </cell>
          <cell r="F280" t="str">
            <v>0789292424/0655272622</v>
          </cell>
          <cell r="G280">
            <v>4000399103</v>
          </cell>
          <cell r="H280" t="str">
            <v>TAE579815</v>
          </cell>
          <cell r="I280" t="str">
            <v>101-022-153</v>
          </cell>
          <cell r="J280" t="str">
            <v>PLASDUS MAHUMBA</v>
          </cell>
          <cell r="K280" t="str">
            <v>ABDRULRAHIMAN</v>
          </cell>
        </row>
        <row r="281">
          <cell r="B281" t="str">
            <v>T402ECN</v>
          </cell>
          <cell r="C281" t="str">
            <v>T807ECG</v>
          </cell>
          <cell r="D281" t="str">
            <v>T513EBV</v>
          </cell>
          <cell r="E281" t="str">
            <v>JUMANNE ALLY NJECHELE</v>
          </cell>
          <cell r="F281">
            <v>683989092</v>
          </cell>
          <cell r="G281">
            <v>4000102552</v>
          </cell>
          <cell r="H281" t="str">
            <v>TAE713569</v>
          </cell>
          <cell r="I281">
            <v>112578056</v>
          </cell>
          <cell r="J281" t="str">
            <v>Martha GOLODI</v>
          </cell>
          <cell r="K281" t="str">
            <v>JOSEPH JIRABI</v>
          </cell>
        </row>
        <row r="282">
          <cell r="B282" t="str">
            <v>T338DHG</v>
          </cell>
          <cell r="C282" t="str">
            <v>T863DHG</v>
          </cell>
          <cell r="D282" t="str">
            <v> </v>
          </cell>
          <cell r="E282" t="str">
            <v>JUNUS ABDALLAH MUHANGO</v>
          </cell>
          <cell r="F282">
            <v>753320656</v>
          </cell>
          <cell r="G282">
            <v>4000171281</v>
          </cell>
          <cell r="H282" t="str">
            <v>TAE399528</v>
          </cell>
          <cell r="I282" t="str">
            <v>113-457-155</v>
          </cell>
          <cell r="J282" t="str">
            <v>Martha GOLODI</v>
          </cell>
          <cell r="K282" t="str">
            <v>JOSEPH JIRABI</v>
          </cell>
        </row>
        <row r="283">
          <cell r="B283" t="str">
            <v>T721DEB</v>
          </cell>
          <cell r="C283" t="str">
            <v>T742DEU</v>
          </cell>
          <cell r="D283" t="str">
            <v> </v>
          </cell>
          <cell r="E283" t="str">
            <v>KASSIM ABDALLAH GONZA</v>
          </cell>
          <cell r="F283">
            <v>683526656</v>
          </cell>
          <cell r="G283">
            <v>4002051908</v>
          </cell>
          <cell r="H283" t="str">
            <v>AB00032971</v>
          </cell>
          <cell r="I283" t="str">
            <v>123-212-045</v>
          </cell>
          <cell r="J283" t="str">
            <v>PLASDUS MAHUMBA</v>
          </cell>
          <cell r="K283" t="str">
            <v>ABDRULRAHIMAN</v>
          </cell>
        </row>
        <row r="284">
          <cell r="B284" t="str">
            <v>T583DTQ</v>
          </cell>
          <cell r="C284" t="str">
            <v>T768DTQ</v>
          </cell>
          <cell r="D284" t="str">
            <v> </v>
          </cell>
          <cell r="E284" t="str">
            <v>KASSIM ATHUMAN RASHID</v>
          </cell>
          <cell r="F284">
            <v>787181227</v>
          </cell>
          <cell r="G284">
            <v>4000433545</v>
          </cell>
          <cell r="H284" t="str">
            <v>AB10122528</v>
          </cell>
          <cell r="I284">
            <v>116307774</v>
          </cell>
          <cell r="J284" t="str">
            <v>SADI KIMWAGA</v>
          </cell>
          <cell r="K284" t="str">
            <v>JOSEPH JIRABI</v>
          </cell>
        </row>
        <row r="285">
          <cell r="B285" t="str">
            <v>T732EBX</v>
          </cell>
          <cell r="C285" t="str">
            <v>T228EBZ</v>
          </cell>
          <cell r="D285" t="str">
            <v>T307EBW</v>
          </cell>
          <cell r="E285" t="str">
            <v>KELNALDO MATHIS JUMA</v>
          </cell>
          <cell r="F285">
            <v>785503392</v>
          </cell>
          <cell r="G285">
            <v>4001122959</v>
          </cell>
          <cell r="H285" t="str">
            <v>TAE286758</v>
          </cell>
          <cell r="I285" t="e">
            <v>#N/A</v>
          </cell>
          <cell r="J285" t="str">
            <v>PLASDUS MAHUMBA</v>
          </cell>
          <cell r="K285" t="str">
            <v>ABDRULRAHIMAN</v>
          </cell>
        </row>
        <row r="286">
          <cell r="B286" t="str">
            <v>T517EBY</v>
          </cell>
          <cell r="C286" t="str">
            <v>T434EBW</v>
          </cell>
          <cell r="D286" t="str">
            <v>T944EBV</v>
          </cell>
          <cell r="E286" t="str">
            <v>KELVIN JOSEPH MWAMI</v>
          </cell>
          <cell r="F286">
            <v>682131462</v>
          </cell>
          <cell r="G286">
            <v>4005181832</v>
          </cell>
          <cell r="H286" t="str">
            <v>TAE673912</v>
          </cell>
          <cell r="I286">
            <v>136985450</v>
          </cell>
          <cell r="J286" t="str">
            <v>Ayoub BENESTA</v>
          </cell>
          <cell r="K286" t="str">
            <v>JUMA ISMAIL</v>
          </cell>
        </row>
        <row r="287">
          <cell r="B287" t="str">
            <v>T876EBW</v>
          </cell>
          <cell r="C287" t="str">
            <v>T423EBW</v>
          </cell>
          <cell r="D287" t="str">
            <v>T119EBW</v>
          </cell>
          <cell r="E287" t="str">
            <v>KHALFANI EMMANUEL MUHIGI</v>
          </cell>
          <cell r="F287"/>
          <cell r="G287">
            <v>4002047589</v>
          </cell>
          <cell r="H287" t="str">
            <v>AB10084073</v>
          </cell>
          <cell r="I287" t="e">
            <v>#N/A</v>
          </cell>
          <cell r="J287" t="str">
            <v>Martha GOLODI</v>
          </cell>
          <cell r="K287" t="str">
            <v>JOSEPH JIRABI</v>
          </cell>
        </row>
        <row r="288">
          <cell r="B288" t="str">
            <v>T724DYR</v>
          </cell>
          <cell r="C288" t="str">
            <v>T923DYT</v>
          </cell>
          <cell r="D288" t="str">
            <v> </v>
          </cell>
          <cell r="E288" t="str">
            <v>KHALIDY MOHAMEDY KIDOMO</v>
          </cell>
          <cell r="F288" t="str">
            <v>,</v>
          </cell>
          <cell r="G288">
            <v>4000054287</v>
          </cell>
          <cell r="H288" t="str">
            <v>TAE700050</v>
          </cell>
          <cell r="I288" t="e">
            <v>#N/A</v>
          </cell>
          <cell r="J288" t="str">
            <v>IRENE SHIJA</v>
          </cell>
          <cell r="K288" t="str">
            <v>ABDRULRAHIMAN</v>
          </cell>
        </row>
        <row r="289">
          <cell r="B289" t="str">
            <v>T746DEB</v>
          </cell>
          <cell r="C289" t="str">
            <v>T916DDJ</v>
          </cell>
          <cell r="D289" t="str">
            <v> </v>
          </cell>
          <cell r="E289" t="str">
            <v>KHERI HASSAN MILANZI</v>
          </cell>
          <cell r="F289">
            <v>624265371</v>
          </cell>
          <cell r="G289">
            <v>4003229859</v>
          </cell>
          <cell r="H289" t="str">
            <v>TAE652121</v>
          </cell>
          <cell r="I289" t="str">
            <v>128-127-178</v>
          </cell>
          <cell r="J289" t="str">
            <v>LUSAJO KASUNGA</v>
          </cell>
          <cell r="K289" t="str">
            <v>JUMA ISMAIL</v>
          </cell>
        </row>
        <row r="290">
          <cell r="B290" t="str">
            <v>T519EBY</v>
          </cell>
          <cell r="C290" t="str">
            <v>T921EBY</v>
          </cell>
          <cell r="D290" t="str">
            <v> </v>
          </cell>
          <cell r="E290" t="str">
            <v>RAMADHANI PAZI JAMES</v>
          </cell>
          <cell r="F290">
            <v>719909012</v>
          </cell>
          <cell r="G290">
            <v>4000162992</v>
          </cell>
          <cell r="H290" t="str">
            <v>TAE677237</v>
          </cell>
          <cell r="I290"/>
          <cell r="J290" t="str">
            <v>Ayoub BENESTA</v>
          </cell>
          <cell r="K290" t="str">
            <v>JUMA ISMAIL</v>
          </cell>
        </row>
        <row r="291">
          <cell r="B291" t="str">
            <v>T689DEB</v>
          </cell>
          <cell r="C291" t="str">
            <v>T740DEU</v>
          </cell>
          <cell r="D291" t="str">
            <v> </v>
          </cell>
          <cell r="E291" t="str">
            <v>KITUNDA HUSSEIN KUDEBA</v>
          </cell>
          <cell r="F291">
            <v>693351572</v>
          </cell>
          <cell r="G291">
            <v>4002581677</v>
          </cell>
          <cell r="H291" t="str">
            <v>TAE411849</v>
          </cell>
          <cell r="I291" t="e">
            <v>#N/A</v>
          </cell>
          <cell r="J291" t="str">
            <v>PLASDUS MAHUMBA</v>
          </cell>
          <cell r="K291" t="str">
            <v>ABDRULRAHIMAN</v>
          </cell>
        </row>
        <row r="292">
          <cell r="B292" t="str">
            <v>T810EBW</v>
          </cell>
          <cell r="C292" t="str">
            <v>T344ECH</v>
          </cell>
          <cell r="D292" t="str">
            <v>T629EBV</v>
          </cell>
          <cell r="E292" t="str">
            <v>KULWA HAMISI MAKOO</v>
          </cell>
          <cell r="F292">
            <v>743838808</v>
          </cell>
          <cell r="G292">
            <v>4002894093</v>
          </cell>
          <cell r="H292" t="str">
            <v>TAE654437</v>
          </cell>
          <cell r="I292" t="e">
            <v>#N/A</v>
          </cell>
          <cell r="J292" t="str">
            <v>SADI KIMWAGA</v>
          </cell>
          <cell r="K292" t="str">
            <v>JOSEPH JIRABI</v>
          </cell>
        </row>
        <row r="293">
          <cell r="B293" t="str">
            <v>T492DYR</v>
          </cell>
          <cell r="C293" t="str">
            <v>T812DYT</v>
          </cell>
          <cell r="D293" t="str">
            <v> </v>
          </cell>
          <cell r="E293" t="str">
            <v>LAMECK CHARLES ROMAN</v>
          </cell>
          <cell r="F293">
            <v>767271586</v>
          </cell>
          <cell r="G293">
            <v>4001361713</v>
          </cell>
          <cell r="H293" t="str">
            <v>TAE199304</v>
          </cell>
          <cell r="I293" t="str">
            <v>120-116-983</v>
          </cell>
          <cell r="J293" t="str">
            <v>Martha GOLODI</v>
          </cell>
          <cell r="K293" t="str">
            <v>JOSEPH JIRABI</v>
          </cell>
        </row>
        <row r="294">
          <cell r="B294" t="str">
            <v>T690DHL</v>
          </cell>
          <cell r="C294" t="str">
            <v>T880DHG</v>
          </cell>
          <cell r="D294" t="str">
            <v> </v>
          </cell>
          <cell r="E294" t="str">
            <v>LOCAL</v>
          </cell>
          <cell r="F294"/>
          <cell r="G294">
            <v>4001361713</v>
          </cell>
          <cell r="H294"/>
          <cell r="I294" t="e">
            <v>#N/A</v>
          </cell>
          <cell r="J294" t="str">
            <v>PLASDUS MAHUMBA</v>
          </cell>
          <cell r="K294" t="str">
            <v>ABDRULRAHIMAN</v>
          </cell>
        </row>
        <row r="295">
          <cell r="B295" t="str">
            <v>T497DYR</v>
          </cell>
          <cell r="C295" t="str">
            <v>T809DYT</v>
          </cell>
          <cell r="D295" t="str">
            <v> </v>
          </cell>
          <cell r="E295" t="str">
            <v xml:space="preserve">HOSEA MRINGI MACHA </v>
          </cell>
          <cell r="F295"/>
          <cell r="G295">
            <v>4000233554</v>
          </cell>
          <cell r="H295" t="str">
            <v>TAE661067</v>
          </cell>
          <cell r="I295"/>
          <cell r="J295" t="str">
            <v>SADI KIMWAGA</v>
          </cell>
          <cell r="K295" t="str">
            <v>JOSEPH JIRABI</v>
          </cell>
        </row>
        <row r="296">
          <cell r="B296" t="str">
            <v>T892EBW</v>
          </cell>
          <cell r="C296" t="str">
            <v>T433EBW</v>
          </cell>
          <cell r="D296" t="str">
            <v>T627EBV</v>
          </cell>
          <cell r="E296" t="str">
            <v>MADENGE SALUM SHOMARI</v>
          </cell>
          <cell r="F296" t="str">
            <v>719670601/787972942</v>
          </cell>
          <cell r="G296">
            <v>4001361713</v>
          </cell>
          <cell r="H296" t="str">
            <v>TAE054870</v>
          </cell>
          <cell r="I296">
            <v>113886099</v>
          </cell>
          <cell r="J296" t="str">
            <v>Martha GOLODI</v>
          </cell>
          <cell r="K296" t="str">
            <v>JOSEPH JIRABI</v>
          </cell>
        </row>
        <row r="297">
          <cell r="B297" t="str">
            <v>T774EBW</v>
          </cell>
          <cell r="C297" t="str">
            <v>T814ECG</v>
          </cell>
          <cell r="D297" t="str">
            <v>T652EBV</v>
          </cell>
          <cell r="E297" t="str">
            <v>MAKERE GACHUMA MAKERE</v>
          </cell>
          <cell r="F297">
            <v>756858304</v>
          </cell>
          <cell r="G297">
            <v>4001361713</v>
          </cell>
          <cell r="H297" t="str">
            <v>TAE816216</v>
          </cell>
          <cell r="I297">
            <v>111992398</v>
          </cell>
          <cell r="J297" t="str">
            <v>Martha GOLODI</v>
          </cell>
          <cell r="K297" t="str">
            <v>JOSEPH JIRABI</v>
          </cell>
        </row>
        <row r="298">
          <cell r="B298" t="str">
            <v>T748EBX</v>
          </cell>
          <cell r="C298" t="str">
            <v>T236EBZ</v>
          </cell>
          <cell r="D298" t="str">
            <v>T963EBV</v>
          </cell>
          <cell r="E298" t="str">
            <v>MANASE JOHSON YINDI</v>
          </cell>
          <cell r="F298">
            <v>782328848</v>
          </cell>
          <cell r="G298">
            <v>4001361713</v>
          </cell>
          <cell r="H298" t="str">
            <v>TAE477579</v>
          </cell>
          <cell r="I298" t="e">
            <v>#N/A</v>
          </cell>
          <cell r="J298" t="str">
            <v>PLASDUS MAHUMBA</v>
          </cell>
          <cell r="K298" t="str">
            <v>ABDRULRAHIMAN</v>
          </cell>
        </row>
        <row r="299">
          <cell r="B299" t="str">
            <v>T591DTQ</v>
          </cell>
          <cell r="C299" t="str">
            <v>T810DTQ</v>
          </cell>
          <cell r="D299" t="str">
            <v> </v>
          </cell>
          <cell r="E299" t="str">
            <v>MANDELA WILSON MANYILIZU</v>
          </cell>
          <cell r="F299">
            <v>758412928</v>
          </cell>
          <cell r="G299">
            <v>4002880690</v>
          </cell>
          <cell r="H299" t="str">
            <v>TAE684983</v>
          </cell>
          <cell r="I299">
            <v>0</v>
          </cell>
          <cell r="J299" t="str">
            <v>Ayoub BENESTA</v>
          </cell>
          <cell r="K299" t="str">
            <v>JUMA ISMAIL</v>
          </cell>
        </row>
        <row r="300">
          <cell r="B300" t="str">
            <v>T379ECN</v>
          </cell>
          <cell r="C300" t="str">
            <v>T806ECG</v>
          </cell>
          <cell r="D300" t="str">
            <v>T986EBV</v>
          </cell>
          <cell r="E300" t="str">
            <v>MANENO MOHAMED KAKIMA</v>
          </cell>
          <cell r="F300">
            <v>753443796</v>
          </cell>
          <cell r="G300">
            <v>4001442617</v>
          </cell>
          <cell r="H300" t="str">
            <v>TAE339937</v>
          </cell>
          <cell r="I300" t="str">
            <v>120-607-456</v>
          </cell>
          <cell r="J300" t="str">
            <v>PLASDUS MAHUMBA</v>
          </cell>
          <cell r="K300" t="str">
            <v>ABDRULRAHIMAN</v>
          </cell>
        </row>
        <row r="301">
          <cell r="B301" t="str">
            <v>T148EBX</v>
          </cell>
          <cell r="C301" t="str">
            <v>T583EBX</v>
          </cell>
          <cell r="D301" t="str">
            <v>T511EBV</v>
          </cell>
          <cell r="E301" t="str">
            <v>BOAZI GWILA MAKALANGA</v>
          </cell>
          <cell r="F301">
            <v>719000000</v>
          </cell>
          <cell r="G301">
            <v>4000767261</v>
          </cell>
          <cell r="H301" t="str">
            <v>AB10059014</v>
          </cell>
          <cell r="I301"/>
          <cell r="J301" t="str">
            <v>Ayoub BENESTA</v>
          </cell>
          <cell r="K301" t="str">
            <v>JUMA ISMAIL</v>
          </cell>
        </row>
        <row r="302">
          <cell r="B302" t="str">
            <v>T799DYR</v>
          </cell>
          <cell r="C302" t="str">
            <v>T930DYT</v>
          </cell>
          <cell r="D302" t="str">
            <v> </v>
          </cell>
          <cell r="E302" t="str">
            <v>MAPESA RAJABU NTULINONGWA</v>
          </cell>
          <cell r="F302">
            <v>786410115</v>
          </cell>
          <cell r="G302">
            <v>4001227968</v>
          </cell>
          <cell r="H302" t="str">
            <v>TAE349740</v>
          </cell>
          <cell r="I302" t="str">
            <v>119-607-582</v>
          </cell>
          <cell r="J302" t="str">
            <v>Ayoub BENESTA</v>
          </cell>
          <cell r="K302" t="str">
            <v>JUMA ISMAIL</v>
          </cell>
        </row>
        <row r="303">
          <cell r="B303" t="str">
            <v>T749DEB</v>
          </cell>
          <cell r="C303" t="str">
            <v>T945DEK</v>
          </cell>
          <cell r="D303" t="str">
            <v> </v>
          </cell>
          <cell r="E303" t="str">
            <v>N/A</v>
          </cell>
          <cell r="F303"/>
          <cell r="G303"/>
          <cell r="H303"/>
          <cell r="I303" t="e">
            <v>#N/A</v>
          </cell>
          <cell r="J303" t="str">
            <v>SADI KIMWAGA</v>
          </cell>
          <cell r="K303" t="str">
            <v>JOSEPH JIRABI</v>
          </cell>
        </row>
        <row r="304">
          <cell r="B304" t="str">
            <v>T434DHG</v>
          </cell>
          <cell r="C304" t="str">
            <v>T912DHG</v>
          </cell>
          <cell r="D304" t="str">
            <v> </v>
          </cell>
          <cell r="E304" t="str">
            <v>MARTIN ANTHONI SANGA</v>
          </cell>
          <cell r="F304">
            <v>685181719</v>
          </cell>
          <cell r="G304">
            <v>4005735084</v>
          </cell>
          <cell r="H304" t="str">
            <v>AB1296804</v>
          </cell>
          <cell r="I304" t="str">
            <v>139-673-638</v>
          </cell>
          <cell r="J304" t="str">
            <v>IRENE SHIJA</v>
          </cell>
          <cell r="K304" t="str">
            <v>ABDRULRAHIMAN</v>
          </cell>
        </row>
        <row r="305">
          <cell r="B305" t="str">
            <v>T396ECN</v>
          </cell>
          <cell r="C305" t="str">
            <v>T828ECG</v>
          </cell>
          <cell r="D305" t="str">
            <v>T152EBW</v>
          </cell>
          <cell r="E305" t="str">
            <v>MARTIN KYEJO MARTIN</v>
          </cell>
          <cell r="F305" t="str">
            <v>718196444/688788707</v>
          </cell>
          <cell r="G305">
            <v>4000917515</v>
          </cell>
          <cell r="H305" t="str">
            <v>TAE687093</v>
          </cell>
          <cell r="I305">
            <v>118404173</v>
          </cell>
          <cell r="J305" t="str">
            <v>Ayoub BENESTA</v>
          </cell>
          <cell r="K305" t="str">
            <v>JUMA ISMAIL</v>
          </cell>
        </row>
        <row r="306">
          <cell r="B306" t="str">
            <v>T437DHG</v>
          </cell>
          <cell r="C306" t="str">
            <v>T344DHS</v>
          </cell>
          <cell r="D306" t="str">
            <v> </v>
          </cell>
          <cell r="E306" t="str">
            <v>MARTIN PAUL MPINGA</v>
          </cell>
          <cell r="F306">
            <v>685893600</v>
          </cell>
          <cell r="G306">
            <v>4002615695</v>
          </cell>
          <cell r="H306" t="str">
            <v>AB10065443</v>
          </cell>
          <cell r="I306" t="e">
            <v>#N/A</v>
          </cell>
          <cell r="J306" t="str">
            <v>LUSAJO KASUNGA</v>
          </cell>
          <cell r="K306" t="str">
            <v>JUMA ISMAIL</v>
          </cell>
        </row>
        <row r="307">
          <cell r="B307" t="str">
            <v>T328EBY</v>
          </cell>
          <cell r="C307" t="str">
            <v>T606EBX</v>
          </cell>
          <cell r="D307" t="str">
            <v>T680EBV</v>
          </cell>
          <cell r="E307" t="str">
            <v>MASHAKA HARUNA MDAKI</v>
          </cell>
          <cell r="F307">
            <v>652889088</v>
          </cell>
          <cell r="G307">
            <v>4000335540</v>
          </cell>
          <cell r="H307" t="str">
            <v>TAE691638</v>
          </cell>
          <cell r="I307" t="str">
            <v>115-379-410</v>
          </cell>
          <cell r="J307" t="str">
            <v>SADI KIMWAGA</v>
          </cell>
          <cell r="K307" t="str">
            <v>JOSEPH JIRABI</v>
          </cell>
        </row>
        <row r="308">
          <cell r="B308" t="str">
            <v>T776EBW</v>
          </cell>
          <cell r="C308" t="str">
            <v>T832ECG</v>
          </cell>
          <cell r="D308" t="str">
            <v>T940EBV</v>
          </cell>
          <cell r="E308" t="str">
            <v>NASIBU HOSENI MWAHEMBA</v>
          </cell>
          <cell r="F308">
            <v>711767665</v>
          </cell>
          <cell r="G308">
            <v>4003102439</v>
          </cell>
          <cell r="H308" t="str">
            <v>TAE661141</v>
          </cell>
          <cell r="I308" t="str">
            <v>127-601-623</v>
          </cell>
          <cell r="J308" t="str">
            <v>Ayoub BENESTA</v>
          </cell>
          <cell r="K308" t="str">
            <v>JUMA ISMAIL</v>
          </cell>
        </row>
        <row r="309">
          <cell r="B309" t="str">
            <v>T411ECN</v>
          </cell>
          <cell r="C309" t="str">
            <v>T793ECG</v>
          </cell>
          <cell r="D309" t="str">
            <v>T336EBW</v>
          </cell>
          <cell r="E309" t="str">
            <v>MASOUDI SAIDY MUHALI</v>
          </cell>
          <cell r="F309">
            <v>787790210</v>
          </cell>
          <cell r="G309">
            <v>4001075727</v>
          </cell>
          <cell r="H309" t="str">
            <v>TAE354143</v>
          </cell>
          <cell r="I309" t="e">
            <v>#N/A</v>
          </cell>
          <cell r="J309" t="str">
            <v>SADI KIMWAGA</v>
          </cell>
          <cell r="K309" t="str">
            <v>JOSEPH JIRABI</v>
          </cell>
        </row>
        <row r="310">
          <cell r="B310" t="str">
            <v>T773EBW</v>
          </cell>
          <cell r="C310" t="str">
            <v>T824ECG</v>
          </cell>
          <cell r="D310" t="str">
            <v>T673EBV</v>
          </cell>
          <cell r="E310" t="str">
            <v>YOHANES PAULO MLIMAKALA</v>
          </cell>
          <cell r="F310">
            <v>713048883</v>
          </cell>
          <cell r="G310">
            <v>4000483327</v>
          </cell>
          <cell r="H310" t="str">
            <v>TAE418285</v>
          </cell>
          <cell r="I310" t="str">
            <v>116-533-308</v>
          </cell>
          <cell r="J310" t="str">
            <v>Ayoub BENESTA</v>
          </cell>
          <cell r="K310" t="str">
            <v>JUMA ISMAIL</v>
          </cell>
        </row>
        <row r="311">
          <cell r="B311" t="str">
            <v>T586DYR</v>
          </cell>
          <cell r="C311" t="str">
            <v>T919DYT</v>
          </cell>
          <cell r="D311" t="str">
            <v> </v>
          </cell>
          <cell r="E311" t="str">
            <v>MATHIAS ISDORY MGOMBE</v>
          </cell>
          <cell r="F311">
            <v>755342938</v>
          </cell>
          <cell r="G311">
            <v>4000023802</v>
          </cell>
          <cell r="H311" t="str">
            <v>TAE410866</v>
          </cell>
          <cell r="I311">
            <v>111297576</v>
          </cell>
          <cell r="J311" t="str">
            <v>LUSAJO KASUNGA</v>
          </cell>
          <cell r="K311" t="str">
            <v>JUMA ISMAIL</v>
          </cell>
        </row>
        <row r="312">
          <cell r="B312" t="str">
            <v>T410DHE</v>
          </cell>
          <cell r="C312" t="str">
            <v>T864DEV</v>
          </cell>
          <cell r="D312" t="str">
            <v> </v>
          </cell>
          <cell r="E312" t="str">
            <v>MEDALD JACKSON MEDALD</v>
          </cell>
          <cell r="F312">
            <v>718861154</v>
          </cell>
          <cell r="G312">
            <v>4006479708</v>
          </cell>
          <cell r="H312" t="str">
            <v>AB10084130</v>
          </cell>
          <cell r="I312" t="str">
            <v>151-700-101</v>
          </cell>
          <cell r="J312" t="str">
            <v>SADI KIMWAGA</v>
          </cell>
          <cell r="K312" t="str">
            <v>JOSEPH JIRABI</v>
          </cell>
        </row>
        <row r="313">
          <cell r="B313" t="str">
            <v>T977EBW</v>
          </cell>
          <cell r="C313" t="str">
            <v>T482EBW</v>
          </cell>
          <cell r="D313" t="str">
            <v>T525EBV</v>
          </cell>
          <cell r="E313" t="str">
            <v>MELKIZEDEKI BEATUS DUMA</v>
          </cell>
          <cell r="F313">
            <v>696909881</v>
          </cell>
          <cell r="G313">
            <v>4000198728</v>
          </cell>
          <cell r="H313" t="str">
            <v>TAE182517</v>
          </cell>
          <cell r="I313" t="str">
            <v>113-838-809</v>
          </cell>
          <cell r="J313" t="str">
            <v>SADI KIMWAGA</v>
          </cell>
          <cell r="K313" t="str">
            <v>JOSEPH JIRABI</v>
          </cell>
        </row>
        <row r="314">
          <cell r="B314" t="str">
            <v>T735DYR</v>
          </cell>
          <cell r="C314" t="str">
            <v>T518DDC</v>
          </cell>
          <cell r="D314" t="str">
            <v> </v>
          </cell>
          <cell r="E314" t="str">
            <v>MESKO MASOUD MALEKELA</v>
          </cell>
          <cell r="F314">
            <v>765674543</v>
          </cell>
          <cell r="G314">
            <v>4000210193</v>
          </cell>
          <cell r="H314" t="str">
            <v>TAE876742</v>
          </cell>
          <cell r="I314">
            <v>113977868</v>
          </cell>
          <cell r="J314" t="str">
            <v>Ayoub BENESTA</v>
          </cell>
          <cell r="K314" t="str">
            <v>JUMA ISMAIL</v>
          </cell>
        </row>
        <row r="315">
          <cell r="B315" t="str">
            <v>T401ECN</v>
          </cell>
          <cell r="C315" t="str">
            <v>T798ECG</v>
          </cell>
          <cell r="D315" t="str">
            <v>T670EBV</v>
          </cell>
          <cell r="E315" t="str">
            <v>METHOD JAMES LWENA</v>
          </cell>
          <cell r="F315" t="str">
            <v>0787807092/0754807092</v>
          </cell>
          <cell r="G315">
            <v>4000027290</v>
          </cell>
          <cell r="H315" t="str">
            <v>TAE368936</v>
          </cell>
          <cell r="I315" t="e">
            <v>#N/A</v>
          </cell>
          <cell r="J315" t="str">
            <v>IRENE SHIJA</v>
          </cell>
          <cell r="K315" t="str">
            <v>ABDRULRAHIMAN</v>
          </cell>
        </row>
        <row r="316">
          <cell r="B316" t="str">
            <v>T951DSX</v>
          </cell>
          <cell r="C316" t="str">
            <v>T435DTD</v>
          </cell>
          <cell r="D316" t="str">
            <v> </v>
          </cell>
          <cell r="E316" t="str">
            <v>METHODY LEO GOBANYA</v>
          </cell>
          <cell r="F316">
            <v>768552800</v>
          </cell>
          <cell r="G316">
            <v>4005298009</v>
          </cell>
          <cell r="H316" t="str">
            <v>TAE747393</v>
          </cell>
          <cell r="I316" t="e">
            <v>#N/A</v>
          </cell>
          <cell r="J316" t="str">
            <v>LUSAJO KASUNGA</v>
          </cell>
          <cell r="K316" t="str">
            <v>JUMA ISMAIL</v>
          </cell>
        </row>
        <row r="317">
          <cell r="B317" t="str">
            <v>T526EBY</v>
          </cell>
          <cell r="C317" t="str">
            <v>T425EBW</v>
          </cell>
          <cell r="D317" t="str">
            <v>T142EBW</v>
          </cell>
          <cell r="E317" t="str">
            <v>MFAUME SALUM LWAUPA</v>
          </cell>
          <cell r="F317">
            <v>752453082</v>
          </cell>
          <cell r="G317">
            <v>4000107938</v>
          </cell>
          <cell r="H317" t="str">
            <v>TAE049656</v>
          </cell>
          <cell r="I317">
            <v>112681442</v>
          </cell>
          <cell r="J317" t="str">
            <v>SADI KIMWAGA</v>
          </cell>
          <cell r="K317" t="str">
            <v>JOSEPH JIRABI</v>
          </cell>
        </row>
        <row r="318">
          <cell r="B318" t="str">
            <v>T960DSX</v>
          </cell>
          <cell r="C318" t="str">
            <v>T418DTD</v>
          </cell>
          <cell r="D318" t="str">
            <v> </v>
          </cell>
          <cell r="E318" t="str">
            <v>SWEDI SALEHE MAJORO</v>
          </cell>
          <cell r="F318">
            <v>628677014</v>
          </cell>
          <cell r="G318">
            <v>4005459328</v>
          </cell>
          <cell r="H318" t="str">
            <v>TAE806978</v>
          </cell>
          <cell r="I318" t="str">
            <v>138-321-932</v>
          </cell>
          <cell r="J318" t="str">
            <v>Martha GOLODI</v>
          </cell>
          <cell r="K318" t="str">
            <v>JOSEPH JIRABI</v>
          </cell>
        </row>
        <row r="319">
          <cell r="B319" t="str">
            <v>T126EBX</v>
          </cell>
          <cell r="C319" t="str">
            <v>T587EBX</v>
          </cell>
          <cell r="D319" t="str">
            <v>T531EBV</v>
          </cell>
          <cell r="E319" t="str">
            <v>MICHAEL DOMINICK MAZIKU</v>
          </cell>
          <cell r="F319">
            <v>786556000</v>
          </cell>
          <cell r="G319">
            <v>4000141188</v>
          </cell>
          <cell r="H319" t="str">
            <v>TAE780349</v>
          </cell>
          <cell r="I319">
            <v>112835156</v>
          </cell>
          <cell r="J319" t="str">
            <v>Martha GOLODI</v>
          </cell>
          <cell r="K319" t="str">
            <v>JOSEPH JIRABI</v>
          </cell>
        </row>
        <row r="320">
          <cell r="B320" t="str">
            <v>T854EBY</v>
          </cell>
          <cell r="C320" t="str">
            <v>T539EBY</v>
          </cell>
          <cell r="D320" t="str">
            <v>T608EBV</v>
          </cell>
          <cell r="E320" t="str">
            <v>ABDUL BAKARI PESA</v>
          </cell>
          <cell r="F320">
            <v>4000023282</v>
          </cell>
          <cell r="G320">
            <v>782868980</v>
          </cell>
          <cell r="H320" t="str">
            <v>TAE487625</v>
          </cell>
          <cell r="I320" t="str">
            <v>113-245-190</v>
          </cell>
          <cell r="J320" t="str">
            <v>Martha GOLODI</v>
          </cell>
          <cell r="K320" t="str">
            <v>JOSEPH JIRABI</v>
          </cell>
        </row>
        <row r="321">
          <cell r="B321" t="str">
            <v>T267EBX</v>
          </cell>
          <cell r="C321" t="str">
            <v>T562EBX</v>
          </cell>
          <cell r="D321" t="str">
            <v>T519EBV</v>
          </cell>
          <cell r="E321" t="str">
            <v>MICHAEL PAUL SEMBUYAGI</v>
          </cell>
          <cell r="F321">
            <v>714849667</v>
          </cell>
          <cell r="G321">
            <v>4000006031</v>
          </cell>
          <cell r="H321" t="str">
            <v>TAE676091</v>
          </cell>
          <cell r="I321" t="e">
            <v>#N/A</v>
          </cell>
          <cell r="J321" t="str">
            <v>Martha GOLODI</v>
          </cell>
          <cell r="K321" t="str">
            <v>JOSEPH JIRABI</v>
          </cell>
        </row>
        <row r="322">
          <cell r="B322">
            <v>0</v>
          </cell>
          <cell r="C322" t="str">
            <v>T798DTQ</v>
          </cell>
          <cell r="D322" t="str">
            <v> </v>
          </cell>
          <cell r="E322" t="str">
            <v>MICHAEL PETER MKINGA</v>
          </cell>
          <cell r="F322">
            <v>677777697</v>
          </cell>
          <cell r="G322">
            <v>4001182483</v>
          </cell>
          <cell r="H322" t="str">
            <v>TAE663895</v>
          </cell>
          <cell r="I322" t="e">
            <v>#N/A</v>
          </cell>
          <cell r="J322" t="str">
            <v>IRENE SHIJA</v>
          </cell>
          <cell r="K322" t="str">
            <v>ABDRULRAHIMAN</v>
          </cell>
        </row>
        <row r="323">
          <cell r="B323" t="str">
            <v>T600DTQ</v>
          </cell>
          <cell r="C323" t="str">
            <v>T805DTQ</v>
          </cell>
          <cell r="D323" t="str">
            <v> </v>
          </cell>
          <cell r="E323" t="str">
            <v>MIKIDADI RASHIDI MGEZA</v>
          </cell>
          <cell r="F323">
            <v>753496770</v>
          </cell>
          <cell r="G323">
            <v>4000441861</v>
          </cell>
          <cell r="H323" t="str">
            <v>TAE631285</v>
          </cell>
          <cell r="I323" t="e">
            <v>#N/A</v>
          </cell>
          <cell r="J323" t="str">
            <v>SADI KIMWAGA</v>
          </cell>
          <cell r="K323" t="str">
            <v>JOSEPH JIRABI</v>
          </cell>
        </row>
        <row r="324">
          <cell r="B324" t="str">
            <v>T589DYR</v>
          </cell>
          <cell r="C324" t="str">
            <v>T831DYT</v>
          </cell>
          <cell r="D324" t="str">
            <v> </v>
          </cell>
          <cell r="E324" t="str">
            <v>MISTWAHI AMRI SAID</v>
          </cell>
          <cell r="F324">
            <v>784781815</v>
          </cell>
          <cell r="G324">
            <v>4000025809</v>
          </cell>
          <cell r="H324" t="str">
            <v>TAE576824</v>
          </cell>
          <cell r="I324" t="str">
            <v>111-211-329</v>
          </cell>
          <cell r="J324" t="str">
            <v>Martha GOLODI</v>
          </cell>
          <cell r="K324" t="str">
            <v>JOSEPH JIRABI</v>
          </cell>
        </row>
        <row r="325">
          <cell r="B325" t="str">
            <v>T419DHG</v>
          </cell>
          <cell r="C325" t="str">
            <v>T497DDC</v>
          </cell>
          <cell r="D325" t="str">
            <v> </v>
          </cell>
          <cell r="E325" t="str">
            <v>LOCAL</v>
          </cell>
          <cell r="F325"/>
          <cell r="G325"/>
          <cell r="H325"/>
          <cell r="I325" t="str">
            <v>141-750-283</v>
          </cell>
          <cell r="J325" t="str">
            <v>PLASDUS MAHUMBA</v>
          </cell>
          <cell r="K325" t="str">
            <v>ABDRULRAHIMAN</v>
          </cell>
        </row>
        <row r="326">
          <cell r="B326" t="str">
            <v>T595DTQ</v>
          </cell>
          <cell r="C326" t="str">
            <v>T440DTD</v>
          </cell>
          <cell r="D326" t="str">
            <v> </v>
          </cell>
          <cell r="E326" t="str">
            <v>MNAWARU AHMADA BYEMPISI</v>
          </cell>
          <cell r="F326">
            <v>765995311</v>
          </cell>
          <cell r="G326">
            <v>4000138740</v>
          </cell>
          <cell r="H326" t="str">
            <v>TAE703190</v>
          </cell>
          <cell r="I326"/>
          <cell r="J326" t="str">
            <v>Ayoub BENESTA</v>
          </cell>
          <cell r="K326" t="str">
            <v>JUMA ISMAIL</v>
          </cell>
        </row>
        <row r="327">
          <cell r="B327" t="str">
            <v>T711DEB</v>
          </cell>
          <cell r="C327" t="str">
            <v>T917DDJ</v>
          </cell>
          <cell r="D327" t="str">
            <v> </v>
          </cell>
          <cell r="E327" t="str">
            <v>MOHAMED ATHUMANI MKALI</v>
          </cell>
          <cell r="F327">
            <v>717805654</v>
          </cell>
          <cell r="G327">
            <v>4000191461</v>
          </cell>
          <cell r="H327" t="str">
            <v>TAE729201</v>
          </cell>
          <cell r="I327" t="e">
            <v>#N/A</v>
          </cell>
          <cell r="J327" t="str">
            <v>LUSAJO KASUNGA</v>
          </cell>
          <cell r="K327" t="str">
            <v>JUMA ISMAIL</v>
          </cell>
        </row>
        <row r="328">
          <cell r="B328" t="str">
            <v>T406DHG</v>
          </cell>
          <cell r="C328" t="str">
            <v>T975DHL</v>
          </cell>
          <cell r="D328" t="str">
            <v> </v>
          </cell>
          <cell r="E328" t="str">
            <v>MOHAMED BAKARI MSHIRAZI</v>
          </cell>
          <cell r="F328">
            <v>778615108</v>
          </cell>
          <cell r="G328">
            <v>4004504999</v>
          </cell>
          <cell r="H328" t="str">
            <v>TAE540265</v>
          </cell>
          <cell r="I328" t="str">
            <v>133-846-425</v>
          </cell>
          <cell r="J328" t="str">
            <v>Martha GOLODI</v>
          </cell>
          <cell r="K328" t="str">
            <v>JOSEPH JIRABI</v>
          </cell>
        </row>
        <row r="329">
          <cell r="B329" t="str">
            <v>T767DYR</v>
          </cell>
          <cell r="C329" t="str">
            <v>T952DYT</v>
          </cell>
          <cell r="D329" t="str">
            <v> </v>
          </cell>
          <cell r="E329" t="str">
            <v>MOHAMED JUMA DANGA</v>
          </cell>
          <cell r="F329">
            <v>785825610</v>
          </cell>
          <cell r="G329">
            <v>4000684143</v>
          </cell>
          <cell r="H329" t="str">
            <v>TAE928770</v>
          </cell>
          <cell r="I329" t="str">
            <v>117-333-590</v>
          </cell>
          <cell r="J329" t="str">
            <v>PLASDUS MAHUMBA</v>
          </cell>
          <cell r="K329" t="str">
            <v>ABDRULRAHIMAN</v>
          </cell>
        </row>
        <row r="330">
          <cell r="B330" t="str">
            <v>T184EBX</v>
          </cell>
          <cell r="C330" t="str">
            <v>T590EBX</v>
          </cell>
          <cell r="D330" t="str">
            <v>T672EBV</v>
          </cell>
          <cell r="E330" t="str">
            <v>MOHAMED MAKANDA MUHOGO</v>
          </cell>
          <cell r="F330">
            <v>659202170</v>
          </cell>
          <cell r="G330">
            <v>4001990682</v>
          </cell>
          <cell r="H330" t="str">
            <v>TAE674007</v>
          </cell>
          <cell r="I330">
            <v>122904229</v>
          </cell>
          <cell r="J330" t="str">
            <v>Ayoub BENESTA</v>
          </cell>
          <cell r="K330" t="str">
            <v>JUMA ISMAIL</v>
          </cell>
        </row>
        <row r="331">
          <cell r="B331" t="str">
            <v>T419DHE</v>
          </cell>
          <cell r="C331" t="str">
            <v>T967DHL</v>
          </cell>
          <cell r="D331" t="str">
            <v> </v>
          </cell>
          <cell r="E331" t="str">
            <v>MOHAMED MASHAKA NGENZI</v>
          </cell>
          <cell r="F331">
            <v>655929066</v>
          </cell>
          <cell r="G331">
            <v>4000354068</v>
          </cell>
          <cell r="H331" t="str">
            <v>TAE545564</v>
          </cell>
          <cell r="I331" t="e">
            <v>#N/A</v>
          </cell>
          <cell r="J331" t="str">
            <v>LUSAJO KASUNGA</v>
          </cell>
          <cell r="K331" t="str">
            <v>JUMA ISMAIL</v>
          </cell>
        </row>
        <row r="332">
          <cell r="B332" t="str">
            <v>T235EBX</v>
          </cell>
          <cell r="C332" t="str">
            <v>T905EBY</v>
          </cell>
          <cell r="D332" t="str">
            <v> </v>
          </cell>
          <cell r="E332" t="str">
            <v>JOEL SAMSON MANDAGO</v>
          </cell>
          <cell r="F332">
            <v>684593630</v>
          </cell>
          <cell r="G332">
            <v>4001281879</v>
          </cell>
          <cell r="H332" t="str">
            <v>TAE302873</v>
          </cell>
          <cell r="I332"/>
          <cell r="J332" t="str">
            <v>Ayoub BENESTA</v>
          </cell>
          <cell r="K332" t="str">
            <v>JUMA ISMAIL</v>
          </cell>
        </row>
        <row r="333">
          <cell r="B333" t="str">
            <v>T329EBX</v>
          </cell>
          <cell r="C333" t="str">
            <v>T916EBY</v>
          </cell>
          <cell r="D333" t="str">
            <v> </v>
          </cell>
          <cell r="E333" t="str">
            <v>MOHAMED RAMADHAN MJEMA</v>
          </cell>
          <cell r="F333">
            <v>682387652</v>
          </cell>
          <cell r="G333">
            <v>4000332975</v>
          </cell>
          <cell r="H333" t="str">
            <v>TAE379240</v>
          </cell>
          <cell r="I333" t="e">
            <v>#N/A</v>
          </cell>
          <cell r="J333" t="str">
            <v>IRENE SHIJA</v>
          </cell>
          <cell r="K333" t="str">
            <v>ABDRULRAHIMAN</v>
          </cell>
        </row>
        <row r="334">
          <cell r="B334" t="str">
            <v>T947DSX</v>
          </cell>
          <cell r="C334" t="str">
            <v>T442DTD</v>
          </cell>
          <cell r="D334" t="str">
            <v> </v>
          </cell>
          <cell r="E334" t="str">
            <v>MOHAMED SAID BAKILI</v>
          </cell>
          <cell r="F334">
            <v>692773139</v>
          </cell>
          <cell r="G334">
            <v>4004662558</v>
          </cell>
          <cell r="H334" t="str">
            <v>TAE868332</v>
          </cell>
          <cell r="I334" t="str">
            <v>134-626-356</v>
          </cell>
          <cell r="J334" t="str">
            <v>Ayoub BENESTA</v>
          </cell>
          <cell r="K334" t="str">
            <v>JUMA ISMAIL</v>
          </cell>
        </row>
        <row r="335">
          <cell r="B335" t="str">
            <v>T315EBX</v>
          </cell>
          <cell r="C335" t="str">
            <v>T887EBY</v>
          </cell>
          <cell r="D335" t="str">
            <v> </v>
          </cell>
          <cell r="E335" t="str">
            <v>MOHAMED SAID HAKUNGWA</v>
          </cell>
          <cell r="F335">
            <v>745178744</v>
          </cell>
          <cell r="G335">
            <v>4000175539</v>
          </cell>
          <cell r="H335" t="str">
            <v>AB10003551</v>
          </cell>
          <cell r="I335" t="str">
            <v>113-254-319</v>
          </cell>
          <cell r="J335" t="str">
            <v>IRENE SHIJA</v>
          </cell>
          <cell r="K335" t="str">
            <v>ABDRULRAHIMAN</v>
          </cell>
        </row>
        <row r="336">
          <cell r="B336" t="str">
            <v>T511EBY</v>
          </cell>
          <cell r="C336" t="str">
            <v>T929EBY</v>
          </cell>
          <cell r="D336" t="str">
            <v> </v>
          </cell>
          <cell r="E336" t="str">
            <v>MOHAMED SELEMANI LUZUA</v>
          </cell>
          <cell r="F336">
            <v>658278686</v>
          </cell>
          <cell r="G336">
            <v>4000016503</v>
          </cell>
          <cell r="H336" t="str">
            <v>TAE372016</v>
          </cell>
          <cell r="I336">
            <v>111182612</v>
          </cell>
          <cell r="J336" t="str">
            <v>Ayoub BENESTA</v>
          </cell>
          <cell r="K336" t="str">
            <v>JUMA ISMAIL</v>
          </cell>
        </row>
        <row r="337">
          <cell r="B337" t="str">
            <v>T269EBX</v>
          </cell>
          <cell r="C337" t="str">
            <v>T894EBY</v>
          </cell>
          <cell r="D337" t="str">
            <v> </v>
          </cell>
          <cell r="E337" t="str">
            <v>MOHAMEDI IDDI KULWA</v>
          </cell>
          <cell r="F337">
            <v>747229294</v>
          </cell>
          <cell r="G337">
            <v>4001782237</v>
          </cell>
          <cell r="H337" t="str">
            <v>TAE445572</v>
          </cell>
          <cell r="I337" t="e">
            <v>#N/A</v>
          </cell>
          <cell r="J337" t="str">
            <v>LUSAJO KASUNGA</v>
          </cell>
          <cell r="K337" t="str">
            <v>JUMA ISMAIL</v>
          </cell>
        </row>
        <row r="338">
          <cell r="B338" t="str">
            <v>T318EBX</v>
          </cell>
          <cell r="C338" t="str">
            <v>T586EBX</v>
          </cell>
          <cell r="D338" t="str">
            <v>T612EBV</v>
          </cell>
          <cell r="E338" t="str">
            <v>MOHAMEDI MOSHI NYANZA</v>
          </cell>
          <cell r="F338">
            <v>743400615</v>
          </cell>
          <cell r="G338">
            <v>4001895170</v>
          </cell>
          <cell r="H338" t="str">
            <v>TAE517037</v>
          </cell>
          <cell r="I338" t="e">
            <v>#N/A</v>
          </cell>
          <cell r="J338" t="str">
            <v>Martha GOLODI</v>
          </cell>
          <cell r="K338" t="str">
            <v>JOSEPH JIRABI</v>
          </cell>
        </row>
        <row r="339">
          <cell r="B339" t="str">
            <v>T965EBW</v>
          </cell>
          <cell r="C339" t="str">
            <v>T523EBW</v>
          </cell>
          <cell r="D339" t="str">
            <v>T527EBV</v>
          </cell>
          <cell r="E339" t="str">
            <v>MOHAMUD ALLY MWABUDA</v>
          </cell>
          <cell r="F339">
            <v>784138308</v>
          </cell>
          <cell r="G339">
            <v>4002667174</v>
          </cell>
          <cell r="H339" t="str">
            <v>TAE661153</v>
          </cell>
          <cell r="I339" t="e">
            <v>#N/A</v>
          </cell>
          <cell r="J339" t="str">
            <v>IRENE SHIJA</v>
          </cell>
          <cell r="K339" t="str">
            <v>ABDRULRAHIMAN</v>
          </cell>
        </row>
        <row r="340">
          <cell r="B340" t="str">
            <v>T742EBX</v>
          </cell>
          <cell r="C340" t="str">
            <v>T570EBY</v>
          </cell>
          <cell r="D340" t="str">
            <v>T987EBV</v>
          </cell>
          <cell r="E340" t="str">
            <v>MONDI STANSLAUS NDAKI</v>
          </cell>
          <cell r="F340">
            <v>769787976</v>
          </cell>
          <cell r="G340">
            <v>4000436771</v>
          </cell>
          <cell r="H340" t="str">
            <v>TAE676831</v>
          </cell>
          <cell r="I340" t="e">
            <v>#N/A</v>
          </cell>
          <cell r="J340" t="str">
            <v>PLASDUS MAHUMBA</v>
          </cell>
          <cell r="K340" t="str">
            <v>ABDRULRAHIMAN</v>
          </cell>
        </row>
        <row r="341">
          <cell r="B341" t="str">
            <v>T964EBW</v>
          </cell>
          <cell r="C341" t="str">
            <v>T520EBW</v>
          </cell>
          <cell r="D341" t="str">
            <v>T564EBV</v>
          </cell>
          <cell r="E341" t="str">
            <v>MORGAN  MOFAT KAYANGE</v>
          </cell>
          <cell r="F341">
            <v>755853645</v>
          </cell>
          <cell r="G341">
            <v>4000098112</v>
          </cell>
          <cell r="H341" t="str">
            <v>TAE323367</v>
          </cell>
          <cell r="I341" t="e">
            <v>#N/A</v>
          </cell>
          <cell r="J341" t="str">
            <v>IRENE SHIJA</v>
          </cell>
          <cell r="K341" t="str">
            <v>ABDRULRAHIMAN</v>
          </cell>
        </row>
        <row r="342">
          <cell r="B342" t="str">
            <v>T129EBX</v>
          </cell>
          <cell r="C342" t="str">
            <v>T607EBX</v>
          </cell>
          <cell r="D342" t="str">
            <v>T643EBV</v>
          </cell>
          <cell r="E342" t="str">
            <v>MORIS DANIEL NGOZOMA</v>
          </cell>
          <cell r="F342">
            <v>718605628</v>
          </cell>
          <cell r="G342">
            <v>4000300133</v>
          </cell>
          <cell r="H342" t="str">
            <v>TAE675094</v>
          </cell>
          <cell r="I342" t="str">
            <v>113-765-674</v>
          </cell>
          <cell r="J342" t="str">
            <v>Ayoub BENESTA</v>
          </cell>
          <cell r="K342" t="str">
            <v>JUMA ISMAIL</v>
          </cell>
        </row>
        <row r="343">
          <cell r="B343" t="str">
            <v>T954EBW</v>
          </cell>
          <cell r="C343" t="str">
            <v>T481EBW</v>
          </cell>
          <cell r="D343" t="str">
            <v>T625EBV</v>
          </cell>
          <cell r="E343" t="str">
            <v>MOSES ELIBARIKI MSHANA</v>
          </cell>
          <cell r="F343" t="str">
            <v>753833033/0789560494</v>
          </cell>
          <cell r="G343">
            <v>4000129353</v>
          </cell>
          <cell r="H343" t="str">
            <v>TAE414195</v>
          </cell>
          <cell r="I343">
            <v>112986618</v>
          </cell>
          <cell r="J343" t="str">
            <v>IRENE SHIJA</v>
          </cell>
          <cell r="K343" t="str">
            <v>ABDRULRAHIMAN</v>
          </cell>
        </row>
        <row r="344">
          <cell r="B344" t="str">
            <v>T582DTQ</v>
          </cell>
          <cell r="C344" t="str">
            <v>T820DTQ</v>
          </cell>
          <cell r="D344" t="str">
            <v> </v>
          </cell>
          <cell r="E344" t="str">
            <v xml:space="preserve">MOUD KIMWELI MUSSA </v>
          </cell>
          <cell r="F344">
            <v>687910980</v>
          </cell>
          <cell r="G344">
            <v>4000851092</v>
          </cell>
          <cell r="H344" t="str">
            <v>TAE671764</v>
          </cell>
          <cell r="I344" t="e">
            <v>#N/A</v>
          </cell>
          <cell r="J344" t="str">
            <v>PLASDUS MAHUMBA</v>
          </cell>
          <cell r="K344" t="str">
            <v>ABDRULRAHIMAN</v>
          </cell>
        </row>
        <row r="345">
          <cell r="B345" t="str">
            <v>T915EBW</v>
          </cell>
          <cell r="C345" t="str">
            <v>T548EBX</v>
          </cell>
          <cell r="D345" t="str">
            <v>T755EBV</v>
          </cell>
          <cell r="E345" t="str">
            <v>GODFREY FRANK MBOJA</v>
          </cell>
          <cell r="F345">
            <v>758215904</v>
          </cell>
          <cell r="G345">
            <v>4000334244</v>
          </cell>
          <cell r="H345" t="str">
            <v>TAE626582</v>
          </cell>
          <cell r="I345" t="str">
            <v>115-353-977</v>
          </cell>
          <cell r="J345" t="str">
            <v>Martha GOLODI</v>
          </cell>
          <cell r="K345" t="str">
            <v>JOSEPH JIRABI</v>
          </cell>
        </row>
        <row r="346">
          <cell r="B346" t="str">
            <v>T446DYR</v>
          </cell>
          <cell r="C346" t="str">
            <v>T828DYT</v>
          </cell>
          <cell r="D346" t="str">
            <v> </v>
          </cell>
          <cell r="E346" t="str">
            <v>MRISHO SHABANI JUMA</v>
          </cell>
          <cell r="F346">
            <v>688981889</v>
          </cell>
          <cell r="G346">
            <v>4000459090</v>
          </cell>
          <cell r="H346" t="str">
            <v>TAE677664</v>
          </cell>
          <cell r="I346">
            <v>116204444</v>
          </cell>
          <cell r="J346" t="str">
            <v>Martha GOLODI</v>
          </cell>
          <cell r="K346" t="str">
            <v>JOSEPH JIRABI</v>
          </cell>
        </row>
        <row r="347">
          <cell r="B347" t="str">
            <v>T640DEB</v>
          </cell>
          <cell r="C347" t="str">
            <v>T376DEH</v>
          </cell>
          <cell r="D347" t="str">
            <v> </v>
          </cell>
          <cell r="E347" t="str">
            <v>MSAFIRI AMOS ANTON</v>
          </cell>
          <cell r="F347">
            <v>765913481</v>
          </cell>
          <cell r="G347">
            <v>4001520735</v>
          </cell>
          <cell r="H347" t="str">
            <v>TAE832544</v>
          </cell>
          <cell r="I347" t="str">
            <v>120-939-807</v>
          </cell>
          <cell r="J347" t="str">
            <v>PLASDUS MAHUMBA</v>
          </cell>
          <cell r="K347" t="str">
            <v>ABDRULRAHIMAN</v>
          </cell>
        </row>
        <row r="348">
          <cell r="B348" t="str">
            <v>T731DYR</v>
          </cell>
          <cell r="C348" t="str">
            <v>T935DYT</v>
          </cell>
          <cell r="D348" t="str">
            <v> </v>
          </cell>
          <cell r="E348" t="str">
            <v>MTAVYA BAKARI MTAVYA</v>
          </cell>
          <cell r="F348">
            <v>763859094</v>
          </cell>
          <cell r="G348">
            <v>4000018306</v>
          </cell>
          <cell r="H348" t="str">
            <v>TAE369965</v>
          </cell>
          <cell r="I348">
            <v>116290170</v>
          </cell>
          <cell r="J348" t="str">
            <v>IRENE SHIJA</v>
          </cell>
          <cell r="K348" t="str">
            <v>ABDRULRAHIMAN</v>
          </cell>
        </row>
        <row r="349">
          <cell r="B349" t="str">
            <v>T576DYR</v>
          </cell>
          <cell r="C349" t="str">
            <v>T801DYT</v>
          </cell>
          <cell r="D349" t="str">
            <v> </v>
          </cell>
          <cell r="E349" t="str">
            <v>MTWANGARA OMARY SEIF</v>
          </cell>
          <cell r="F349">
            <v>743797911</v>
          </cell>
          <cell r="G349">
            <v>4000400790</v>
          </cell>
          <cell r="H349" t="str">
            <v>TAE712186</v>
          </cell>
          <cell r="I349">
            <v>111034540</v>
          </cell>
          <cell r="J349" t="str">
            <v>IRENE SHIJA</v>
          </cell>
          <cell r="K349" t="str">
            <v>ABDRULRAHIMAN</v>
          </cell>
        </row>
        <row r="350">
          <cell r="B350" t="str">
            <v>T650DTQ</v>
          </cell>
          <cell r="C350" t="str">
            <v>T773DTQ</v>
          </cell>
          <cell r="D350" t="str">
            <v> </v>
          </cell>
          <cell r="E350" t="str">
            <v>MUHAMMED MAABAD AHMED</v>
          </cell>
          <cell r="F350">
            <v>624531038</v>
          </cell>
          <cell r="G350">
            <v>4001774173</v>
          </cell>
          <cell r="H350" t="str">
            <v>TAE524073</v>
          </cell>
          <cell r="I350" t="str">
            <v>122-062-228</v>
          </cell>
          <cell r="J350" t="str">
            <v>SADI KIMWAGA</v>
          </cell>
          <cell r="K350" t="str">
            <v>JOSEPH JIRABI</v>
          </cell>
        </row>
        <row r="351">
          <cell r="B351" t="str">
            <v>T745EBX</v>
          </cell>
          <cell r="C351" t="str">
            <v>T208EBZ</v>
          </cell>
          <cell r="D351" t="str">
            <v>287EBW</v>
          </cell>
          <cell r="E351" t="str">
            <v>MUHSIN JUMA ATHUMAN</v>
          </cell>
          <cell r="F351">
            <v>693886644</v>
          </cell>
          <cell r="G351">
            <v>4002090838</v>
          </cell>
          <cell r="H351" t="str">
            <v>TAE650721</v>
          </cell>
          <cell r="I351" t="str">
            <v>123-367-227</v>
          </cell>
          <cell r="J351" t="str">
            <v>PLASDUS MAHUMBA</v>
          </cell>
          <cell r="K351" t="str">
            <v>ABDRULRAHIMAN</v>
          </cell>
        </row>
        <row r="352">
          <cell r="B352" t="str">
            <v>T710EBX</v>
          </cell>
          <cell r="C352" t="str">
            <v>T230EBZ</v>
          </cell>
          <cell r="D352" t="str">
            <v>T724EBV</v>
          </cell>
          <cell r="E352" t="str">
            <v>MUMBA YASSINI KHAMISI</v>
          </cell>
          <cell r="F352">
            <v>674227708</v>
          </cell>
          <cell r="G352">
            <v>4000971752</v>
          </cell>
          <cell r="H352" t="str">
            <v>TAE653522</v>
          </cell>
          <cell r="I352" t="e">
            <v>#N/A</v>
          </cell>
          <cell r="J352" t="str">
            <v>LUSAJO KASUNGA</v>
          </cell>
          <cell r="K352" t="str">
            <v>JUMA ISMAIL</v>
          </cell>
        </row>
        <row r="353">
          <cell r="B353" t="str">
            <v>T762EBW</v>
          </cell>
          <cell r="C353" t="str">
            <v>T343ECH</v>
          </cell>
          <cell r="D353" t="str">
            <v>T952EBV</v>
          </cell>
          <cell r="E353" t="str">
            <v>MURPHY RAJABY CHALANGE</v>
          </cell>
          <cell r="F353">
            <v>763145761</v>
          </cell>
          <cell r="G353">
            <v>4000385553</v>
          </cell>
          <cell r="H353" t="str">
            <v>TAE675931</v>
          </cell>
          <cell r="I353" t="e">
            <v>#N/A</v>
          </cell>
          <cell r="J353" t="str">
            <v>Martha GOLODI</v>
          </cell>
          <cell r="K353" t="str">
            <v>JOSEPH JIRABI</v>
          </cell>
        </row>
        <row r="354">
          <cell r="B354" t="str">
            <v>T436DHG</v>
          </cell>
          <cell r="C354" t="str">
            <v>T913DHG</v>
          </cell>
          <cell r="D354" t="str">
            <v> </v>
          </cell>
          <cell r="E354" t="str">
            <v>MUSIN KAOZY MTEBE</v>
          </cell>
          <cell r="F354">
            <v>749497738</v>
          </cell>
          <cell r="G354">
            <v>4000366301</v>
          </cell>
          <cell r="H354" t="str">
            <v>TAE680631</v>
          </cell>
          <cell r="I354" t="str">
            <v>115-705-091</v>
          </cell>
          <cell r="J354" t="str">
            <v>PLASDUS MAHUMBA</v>
          </cell>
          <cell r="K354" t="str">
            <v>ABDRULRAHIMAN</v>
          </cell>
        </row>
        <row r="355">
          <cell r="B355" t="str">
            <v>T887EBW</v>
          </cell>
          <cell r="C355" t="str">
            <v>T548EBY</v>
          </cell>
          <cell r="D355" t="str">
            <v>T782EBV</v>
          </cell>
          <cell r="E355" t="str">
            <v>MUSSA ABDI OMAR</v>
          </cell>
          <cell r="F355">
            <v>766394642</v>
          </cell>
          <cell r="G355">
            <v>4000171278</v>
          </cell>
          <cell r="H355" t="str">
            <v>TAE312577</v>
          </cell>
          <cell r="I355" t="e">
            <v>#N/A</v>
          </cell>
          <cell r="J355" t="str">
            <v>Martha GOLODI</v>
          </cell>
          <cell r="K355" t="str">
            <v>JOSEPH JIRABI</v>
          </cell>
        </row>
        <row r="356">
          <cell r="B356" t="str">
            <v>T995EBW</v>
          </cell>
          <cell r="C356" t="str">
            <v>T275ECE</v>
          </cell>
          <cell r="D356" t="str">
            <v>T934EBV</v>
          </cell>
          <cell r="E356" t="str">
            <v>ALBERT AUSTANCE BIMANYWENDA</v>
          </cell>
          <cell r="F356">
            <v>719070725</v>
          </cell>
          <cell r="G356">
            <v>4000529900</v>
          </cell>
          <cell r="H356" t="str">
            <v>TAE339663</v>
          </cell>
          <cell r="I356" t="e">
            <v>#N/A</v>
          </cell>
          <cell r="J356" t="str">
            <v>SADI KIMWAGA</v>
          </cell>
          <cell r="K356" t="str">
            <v>JOSEPH JIRABI</v>
          </cell>
        </row>
        <row r="357">
          <cell r="B357" t="str">
            <v>T842EBY</v>
          </cell>
          <cell r="C357" t="str">
            <v>T432EBW</v>
          </cell>
          <cell r="D357" t="str">
            <v>T533EBV</v>
          </cell>
          <cell r="E357" t="str">
            <v>MUSSA JUMA MOHAMED</v>
          </cell>
          <cell r="F357">
            <v>688476905</v>
          </cell>
          <cell r="G357">
            <v>4000691649</v>
          </cell>
          <cell r="H357" t="str">
            <v>TAE674506</v>
          </cell>
          <cell r="I357" t="e">
            <v>#N/A</v>
          </cell>
          <cell r="J357" t="str">
            <v>LUSAJO KASUNGA</v>
          </cell>
          <cell r="K357" t="str">
            <v>JUMA ISMAIL</v>
          </cell>
        </row>
        <row r="358">
          <cell r="B358" t="str">
            <v>T395ECN</v>
          </cell>
          <cell r="C358" t="str">
            <v>T836ECG</v>
          </cell>
          <cell r="D358" t="str">
            <v>T988EBV</v>
          </cell>
          <cell r="E358" t="str">
            <v>MUSSA MASHAKA KAUZE</v>
          </cell>
          <cell r="F358" t="str">
            <v>712200623/0746443480</v>
          </cell>
          <cell r="G358">
            <v>4000033129</v>
          </cell>
          <cell r="H358" t="str">
            <v>TAE689108</v>
          </cell>
          <cell r="I358">
            <v>111480176</v>
          </cell>
          <cell r="J358" t="str">
            <v>LUSAJO KASUNGA</v>
          </cell>
          <cell r="K358" t="str">
            <v>JUMA ISMAIL</v>
          </cell>
        </row>
        <row r="359">
          <cell r="B359" t="str">
            <v>T498DYR</v>
          </cell>
          <cell r="C359" t="str">
            <v>T818DYT</v>
          </cell>
          <cell r="D359" t="str">
            <v> </v>
          </cell>
          <cell r="E359" t="str">
            <v>MUSSA OMARY HAMZA</v>
          </cell>
          <cell r="F359">
            <v>767408336</v>
          </cell>
          <cell r="G359">
            <v>4000036597</v>
          </cell>
          <cell r="H359" t="str">
            <v>TAE 749867</v>
          </cell>
          <cell r="I359" t="e">
            <v>#N/A</v>
          </cell>
          <cell r="J359" t="str">
            <v>Martha GOLODI</v>
          </cell>
          <cell r="K359" t="str">
            <v>JOSEPH JIRABI</v>
          </cell>
        </row>
        <row r="360">
          <cell r="B360" t="str">
            <v>T278EBY</v>
          </cell>
          <cell r="C360" t="str">
            <v>T926EBY</v>
          </cell>
          <cell r="D360" t="str">
            <v> </v>
          </cell>
          <cell r="E360" t="str">
            <v>MUSSA RAMADHAN MITEMILIGWA</v>
          </cell>
          <cell r="F360">
            <v>4001113828</v>
          </cell>
          <cell r="G360">
            <v>655574057</v>
          </cell>
          <cell r="H360" t="str">
            <v>TAE684057</v>
          </cell>
          <cell r="I360">
            <v>117340589</v>
          </cell>
          <cell r="J360" t="str">
            <v>PLASDUS MAHUMBA</v>
          </cell>
          <cell r="K360" t="str">
            <v>ABDRULRAHIMAN</v>
          </cell>
        </row>
        <row r="361">
          <cell r="B361" t="str">
            <v>T797DDS</v>
          </cell>
          <cell r="C361" t="str">
            <v>T377DEH</v>
          </cell>
          <cell r="D361" t="str">
            <v> </v>
          </cell>
          <cell r="E361" t="str">
            <v>MUSSA RASHIDI HASSANI</v>
          </cell>
          <cell r="F361">
            <v>719313136</v>
          </cell>
          <cell r="G361">
            <v>4000174795</v>
          </cell>
          <cell r="H361" t="str">
            <v>TAE756788</v>
          </cell>
          <cell r="I361" t="str">
            <v>113-525-592</v>
          </cell>
          <cell r="J361" t="str">
            <v>Martha GOLODI</v>
          </cell>
          <cell r="K361" t="str">
            <v>JOSEPH JIRABI</v>
          </cell>
        </row>
        <row r="362">
          <cell r="B362" t="str">
            <v>T516EBY</v>
          </cell>
          <cell r="C362" t="str">
            <v>T544EBY</v>
          </cell>
          <cell r="D362" t="str">
            <v>T638EBV</v>
          </cell>
          <cell r="E362" t="str">
            <v>MUSTAPHA MAHAMUDU KAMCHOCHE</v>
          </cell>
          <cell r="F362">
            <v>789522227</v>
          </cell>
          <cell r="G362">
            <v>4004516286</v>
          </cell>
          <cell r="H362" t="str">
            <v>TAE703633</v>
          </cell>
          <cell r="I362"/>
          <cell r="J362" t="str">
            <v>Ayoub BENESTA</v>
          </cell>
          <cell r="K362" t="str">
            <v>JUMA ISMAIL</v>
          </cell>
        </row>
        <row r="363">
          <cell r="B363" t="str">
            <v>T816EBW</v>
          </cell>
          <cell r="C363" t="str">
            <v>T349ECH</v>
          </cell>
          <cell r="D363" t="str">
            <v>T761EBV</v>
          </cell>
          <cell r="E363" t="str">
            <v>MUSTAPHA SELEMANI MSANGULE</v>
          </cell>
          <cell r="F363">
            <v>756961707</v>
          </cell>
          <cell r="G363">
            <v>4000033855</v>
          </cell>
          <cell r="H363" t="str">
            <v>TAE015330</v>
          </cell>
          <cell r="I363" t="e">
            <v>#N/A</v>
          </cell>
          <cell r="J363" t="str">
            <v>SADI KIMWAGA</v>
          </cell>
          <cell r="K363" t="str">
            <v>JOSEPH JIRABI</v>
          </cell>
        </row>
        <row r="364">
          <cell r="B364" t="str">
            <v>T332EBX</v>
          </cell>
          <cell r="C364" t="str">
            <v>T924EBY</v>
          </cell>
          <cell r="D364" t="str">
            <v> </v>
          </cell>
          <cell r="E364" t="str">
            <v>MUZAMIRU SAIDI NAHODA</v>
          </cell>
          <cell r="F364">
            <v>717745930</v>
          </cell>
          <cell r="G364">
            <v>4004789644</v>
          </cell>
          <cell r="H364" t="str">
            <v>TAE390175</v>
          </cell>
          <cell r="I364" t="str">
            <v>135-141-836</v>
          </cell>
          <cell r="J364" t="str">
            <v>IRENE SHIJA</v>
          </cell>
          <cell r="K364" t="str">
            <v>ABDRULRAHIMAN</v>
          </cell>
        </row>
        <row r="365">
          <cell r="B365" t="str">
            <v>T178EBX</v>
          </cell>
          <cell r="C365" t="str">
            <v>T582EBX</v>
          </cell>
          <cell r="D365" t="str">
            <v>T733EBV</v>
          </cell>
          <cell r="E365" t="str">
            <v>MWAITA ALLY ISIHAKA</v>
          </cell>
          <cell r="F365">
            <v>752630264</v>
          </cell>
          <cell r="G365">
            <v>4000106045</v>
          </cell>
          <cell r="H365" t="str">
            <v>TAE841393</v>
          </cell>
          <cell r="I365">
            <v>112647015</v>
          </cell>
          <cell r="J365" t="str">
            <v>IRENE SHIJA</v>
          </cell>
          <cell r="K365" t="str">
            <v>ABDRULRAHIMAN</v>
          </cell>
        </row>
        <row r="366">
          <cell r="B366" t="str">
            <v>T124EBX</v>
          </cell>
          <cell r="C366" t="str">
            <v>T598EBX</v>
          </cell>
          <cell r="D366" t="str">
            <v>T703EBV</v>
          </cell>
          <cell r="E366" t="str">
            <v>MWALIM SALIM KASSIM</v>
          </cell>
          <cell r="F366">
            <v>788432282</v>
          </cell>
          <cell r="G366">
            <v>4000794331</v>
          </cell>
          <cell r="H366" t="str">
            <v>TAE677448</v>
          </cell>
          <cell r="I366">
            <v>117781607</v>
          </cell>
          <cell r="J366" t="str">
            <v>Ayoub BENESTA</v>
          </cell>
          <cell r="K366" t="str">
            <v>JUMA ISMAIL</v>
          </cell>
        </row>
        <row r="367">
          <cell r="B367" t="str">
            <v>T261DDJ</v>
          </cell>
          <cell r="C367" t="str">
            <v>T351DHS</v>
          </cell>
          <cell r="D367" t="str">
            <v> </v>
          </cell>
          <cell r="E367" t="str">
            <v>MWALIMU MRABA BAKARI</v>
          </cell>
          <cell r="F367">
            <v>652462060</v>
          </cell>
          <cell r="G367">
            <v>4001465910</v>
          </cell>
          <cell r="H367" t="str">
            <v>TAE679475</v>
          </cell>
          <cell r="I367" t="e">
            <v>#N/A</v>
          </cell>
          <cell r="J367" t="str">
            <v>Martha GOLODI</v>
          </cell>
          <cell r="K367" t="str">
            <v>JOSEPH JIRABI</v>
          </cell>
        </row>
        <row r="368">
          <cell r="B368" t="str">
            <v>T404DHG</v>
          </cell>
          <cell r="C368" t="str">
            <v>T124DHM</v>
          </cell>
          <cell r="D368" t="str">
            <v> </v>
          </cell>
          <cell r="E368" t="str">
            <v>MWALIMU OMARY KIANGA</v>
          </cell>
          <cell r="F368" t="str">
            <v>0714362274/0713659501</v>
          </cell>
          <cell r="G368">
            <v>4002325403</v>
          </cell>
          <cell r="H368" t="str">
            <v>AB0274611</v>
          </cell>
          <cell r="I368" t="str">
            <v>124-306-531</v>
          </cell>
          <cell r="J368" t="str">
            <v>SADI KIMWAGA</v>
          </cell>
          <cell r="K368" t="str">
            <v>JOSEPH JIRABI</v>
          </cell>
        </row>
        <row r="369">
          <cell r="B369" t="str">
            <v>T816DDS</v>
          </cell>
          <cell r="C369" t="str">
            <v>T879DHG</v>
          </cell>
          <cell r="D369" t="str">
            <v> </v>
          </cell>
          <cell r="E369" t="str">
            <v>MWIDIN DANIEL MALATO</v>
          </cell>
          <cell r="F369">
            <v>679660031</v>
          </cell>
          <cell r="G369">
            <v>4000964146</v>
          </cell>
          <cell r="H369" t="str">
            <v>TAE 443537</v>
          </cell>
          <cell r="I369" t="e">
            <v>#N/A</v>
          </cell>
          <cell r="J369" t="str">
            <v>SADI KIMWAGA</v>
          </cell>
          <cell r="K369" t="str">
            <v>JOSEPH JIRABI</v>
          </cell>
        </row>
        <row r="370">
          <cell r="B370" t="str">
            <v>T325EBX</v>
          </cell>
          <cell r="C370" t="str">
            <v>T605EBX</v>
          </cell>
          <cell r="D370" t="str">
            <v>T289EBW</v>
          </cell>
          <cell r="E370" t="str">
            <v>MZEE ALLY GANDI</v>
          </cell>
          <cell r="F370" t="str">
            <v>788191884/767764862</v>
          </cell>
          <cell r="G370">
            <v>4000071003</v>
          </cell>
          <cell r="H370" t="str">
            <v>TAE797889</v>
          </cell>
          <cell r="I370">
            <v>112101705</v>
          </cell>
          <cell r="J370" t="str">
            <v>Martha GOLODI</v>
          </cell>
          <cell r="K370" t="str">
            <v>JOSEPH JIRABI</v>
          </cell>
        </row>
        <row r="371">
          <cell r="B371" t="str">
            <v>T821DDS</v>
          </cell>
          <cell r="C371" t="str">
            <v>T388DEH</v>
          </cell>
          <cell r="D371" t="str">
            <v> </v>
          </cell>
          <cell r="E371" t="str">
            <v>KISELEKE YUSUPH KIPONZA</v>
          </cell>
          <cell r="F371">
            <v>655718845</v>
          </cell>
          <cell r="G371">
            <v>4001648757</v>
          </cell>
          <cell r="H371" t="str">
            <v>TAE606480</v>
          </cell>
          <cell r="I371"/>
          <cell r="J371" t="str">
            <v>Ayoub BENESTA</v>
          </cell>
          <cell r="K371" t="str">
            <v>JUMA ISMAIL</v>
          </cell>
        </row>
        <row r="372">
          <cell r="B372" t="str">
            <v>T444DHG</v>
          </cell>
          <cell r="C372" t="str">
            <v>T109DHM</v>
          </cell>
          <cell r="D372" t="str">
            <v> </v>
          </cell>
          <cell r="E372" t="str">
            <v>NASIBU SAIDY GUBWE</v>
          </cell>
          <cell r="F372">
            <v>767844538</v>
          </cell>
          <cell r="G372">
            <v>4006340874</v>
          </cell>
          <cell r="H372" t="str">
            <v>TAE683612</v>
          </cell>
          <cell r="I372" t="str">
            <v>144-695-674</v>
          </cell>
          <cell r="J372" t="str">
            <v>LUSAJO KASUNGA</v>
          </cell>
          <cell r="K372" t="str">
            <v>JUMA ISMAIL</v>
          </cell>
        </row>
        <row r="373">
          <cell r="B373" t="str">
            <v>T102EBX</v>
          </cell>
          <cell r="C373" t="str">
            <v>T456EBW</v>
          </cell>
          <cell r="D373" t="str">
            <v>T626EBV</v>
          </cell>
          <cell r="E373" t="str">
            <v>NASSIBU MSENGESI MLASA</v>
          </cell>
          <cell r="F373">
            <v>752891430</v>
          </cell>
          <cell r="G373">
            <v>4000173389</v>
          </cell>
          <cell r="H373" t="str">
            <v>TAE346112</v>
          </cell>
          <cell r="I373" t="e">
            <v>#N/A</v>
          </cell>
          <cell r="J373" t="str">
            <v>IRENE SHIJA</v>
          </cell>
          <cell r="K373" t="str">
            <v>ABDRULRAHIMAN</v>
          </cell>
        </row>
        <row r="374">
          <cell r="B374" t="str">
            <v>T493DYR</v>
          </cell>
          <cell r="C374" t="str">
            <v>T810DYT</v>
          </cell>
          <cell r="D374" t="str">
            <v> </v>
          </cell>
          <cell r="E374" t="str">
            <v>NASSORO BUSHIRI MOHAMED</v>
          </cell>
          <cell r="F374">
            <v>719154847</v>
          </cell>
          <cell r="G374">
            <v>4000172578</v>
          </cell>
          <cell r="H374" t="str">
            <v>TAE 652396</v>
          </cell>
          <cell r="I374">
            <v>113490802</v>
          </cell>
          <cell r="J374" t="str">
            <v>Martha GOLODI</v>
          </cell>
          <cell r="K374" t="str">
            <v>JOSEPH JIRABI</v>
          </cell>
        </row>
        <row r="375">
          <cell r="B375" t="str">
            <v>T594DTQ</v>
          </cell>
          <cell r="C375" t="str">
            <v>T767DTQ</v>
          </cell>
          <cell r="D375" t="str">
            <v> </v>
          </cell>
          <cell r="E375" t="str">
            <v>NASSORO MALIKI OMARY</v>
          </cell>
          <cell r="F375" t="str">
            <v>0655522011/0758881498</v>
          </cell>
          <cell r="G375">
            <v>4003436422</v>
          </cell>
          <cell r="H375" t="str">
            <v>TAE761143</v>
          </cell>
          <cell r="I375" t="str">
            <v>129-130-261</v>
          </cell>
          <cell r="J375" t="str">
            <v>Ayoub BENESTA</v>
          </cell>
          <cell r="K375" t="str">
            <v>JUMA ISMAIL</v>
          </cell>
        </row>
        <row r="376">
          <cell r="B376" t="str">
            <v>T431DHG</v>
          </cell>
          <cell r="C376" t="str">
            <v>T904DHG</v>
          </cell>
          <cell r="D376" t="str">
            <v> </v>
          </cell>
          <cell r="E376" t="str">
            <v>NESTORY DISMAS NYAMWELU</v>
          </cell>
          <cell r="F376">
            <v>749665918</v>
          </cell>
          <cell r="G376">
            <v>4001241921</v>
          </cell>
          <cell r="H376" t="str">
            <v>TAE495392</v>
          </cell>
          <cell r="I376" t="str">
            <v>119-677-157</v>
          </cell>
          <cell r="J376" t="str">
            <v>Martha GOLODI</v>
          </cell>
          <cell r="K376" t="str">
            <v>JOSEPH JIRABI</v>
          </cell>
        </row>
        <row r="377">
          <cell r="B377" t="str">
            <v>T603DTQ</v>
          </cell>
          <cell r="C377" t="str">
            <v>T811DTQ</v>
          </cell>
          <cell r="D377" t="str">
            <v> </v>
          </cell>
          <cell r="E377" t="str">
            <v>NICKODEMO DEOGLASS MASSAWE</v>
          </cell>
          <cell r="F377">
            <v>783704271</v>
          </cell>
          <cell r="G377">
            <v>4004269910</v>
          </cell>
          <cell r="H377" t="str">
            <v>TAE661830</v>
          </cell>
          <cell r="I377" t="str">
            <v>132-674-221</v>
          </cell>
          <cell r="J377" t="str">
            <v>PLASDUS MAHUMBA</v>
          </cell>
          <cell r="K377" t="str">
            <v>ABDRULRAHIMAN</v>
          </cell>
        </row>
        <row r="378">
          <cell r="B378" t="str">
            <v>T389ECN</v>
          </cell>
          <cell r="C378" t="str">
            <v>T794ECG</v>
          </cell>
          <cell r="D378" t="str">
            <v>T644EBV</v>
          </cell>
          <cell r="E378" t="str">
            <v>NICKSON CLIFFORD MAJURA</v>
          </cell>
          <cell r="F378">
            <v>752736522</v>
          </cell>
          <cell r="G378">
            <v>4000794925</v>
          </cell>
          <cell r="H378" t="str">
            <v>AB10113597</v>
          </cell>
          <cell r="I378" t="str">
            <v>117-814-912</v>
          </cell>
          <cell r="J378" t="str">
            <v>LUSAJO KASUNGA</v>
          </cell>
          <cell r="K378" t="str">
            <v>JUMA ISMAIL</v>
          </cell>
        </row>
        <row r="379">
          <cell r="B379" t="str">
            <v>T785EBW</v>
          </cell>
          <cell r="C379" t="str">
            <v>T348ECH</v>
          </cell>
          <cell r="D379" t="str">
            <v>T633EBV</v>
          </cell>
          <cell r="E379" t="str">
            <v>JUMA BAKARI SALEHE</v>
          </cell>
          <cell r="F379">
            <v>694515988</v>
          </cell>
          <cell r="G379">
            <v>4002809767</v>
          </cell>
          <cell r="H379" t="str">
            <v>TAE725030</v>
          </cell>
          <cell r="I379" t="str">
            <v>115-014-153</v>
          </cell>
          <cell r="J379" t="str">
            <v>Ayoub BENESTA</v>
          </cell>
          <cell r="K379" t="str">
            <v>JUMA ISMAIL</v>
          </cell>
        </row>
        <row r="380">
          <cell r="B380" t="str">
            <v>T820DDS</v>
          </cell>
          <cell r="C380" t="str">
            <v>T342DHS</v>
          </cell>
          <cell r="D380" t="str">
            <v> </v>
          </cell>
          <cell r="E380" t="str">
            <v>NIZAR HASHAM TIMBILI</v>
          </cell>
          <cell r="F380">
            <v>717421240</v>
          </cell>
          <cell r="G380">
            <v>4000061968</v>
          </cell>
          <cell r="H380" t="str">
            <v>TAE408617</v>
          </cell>
          <cell r="I380" t="str">
            <v>111-967-423</v>
          </cell>
          <cell r="J380" t="str">
            <v>SADI KIMWAGA</v>
          </cell>
          <cell r="K380" t="str">
            <v>JOSEPH JIRABI</v>
          </cell>
        </row>
        <row r="381">
          <cell r="B381" t="str">
            <v>T941EBW</v>
          </cell>
          <cell r="C381" t="str">
            <v>T569EBX</v>
          </cell>
          <cell r="D381" t="str">
            <v>T634EBV</v>
          </cell>
          <cell r="E381" t="str">
            <v>NOEL RAPHAEL CHAWALA</v>
          </cell>
          <cell r="F381">
            <v>784506026</v>
          </cell>
          <cell r="G381">
            <v>4000133907</v>
          </cell>
          <cell r="H381" t="str">
            <v>TAE913654</v>
          </cell>
          <cell r="I381">
            <v>113042621</v>
          </cell>
          <cell r="J381" t="str">
            <v>IRENE SHIJA</v>
          </cell>
          <cell r="K381" t="str">
            <v>ABDRULRAHIMAN</v>
          </cell>
        </row>
        <row r="382">
          <cell r="B382" t="str">
            <v>T496DYR</v>
          </cell>
          <cell r="C382" t="str">
            <v>T823DYT</v>
          </cell>
          <cell r="D382" t="str">
            <v> </v>
          </cell>
          <cell r="E382" t="str">
            <v>NUHU MOHAMED NTILA</v>
          </cell>
          <cell r="F382">
            <v>686004008</v>
          </cell>
          <cell r="G382">
            <v>4000035103</v>
          </cell>
          <cell r="H382" t="str">
            <v>TAE650126</v>
          </cell>
          <cell r="I382">
            <v>111513589</v>
          </cell>
          <cell r="J382" t="str">
            <v>Ayoub BENESTA</v>
          </cell>
          <cell r="K382" t="str">
            <v>JUMA ISMAIL</v>
          </cell>
        </row>
        <row r="383">
          <cell r="B383" t="str">
            <v>T589DTQ</v>
          </cell>
          <cell r="C383" t="str">
            <v>T824DTQ</v>
          </cell>
          <cell r="D383" t="str">
            <v> </v>
          </cell>
          <cell r="E383" t="str">
            <v>NURDIN ABDALLAH LIKUMBA</v>
          </cell>
          <cell r="F383">
            <v>685228412</v>
          </cell>
          <cell r="G383">
            <v>4005703685</v>
          </cell>
          <cell r="H383" t="str">
            <v>TAE660018</v>
          </cell>
          <cell r="I383" t="str">
            <v>139-559-223</v>
          </cell>
          <cell r="J383" t="str">
            <v>Martha GOLODI</v>
          </cell>
          <cell r="K383" t="str">
            <v>JOSEPH JIRABI</v>
          </cell>
        </row>
        <row r="384">
          <cell r="B384" t="str">
            <v>T149EBX</v>
          </cell>
          <cell r="C384" t="str">
            <v>T578EBX</v>
          </cell>
          <cell r="D384" t="str">
            <v>T679EBV</v>
          </cell>
          <cell r="E384" t="str">
            <v>OBREY ERNEST KIWOLY</v>
          </cell>
          <cell r="F384" t="str">
            <v>T957DSX</v>
          </cell>
          <cell r="G384">
            <v>4001230497</v>
          </cell>
          <cell r="H384" t="str">
            <v>TAE420755</v>
          </cell>
          <cell r="I384" t="str">
            <v>119-626-617</v>
          </cell>
          <cell r="J384" t="str">
            <v>Ayoub BENESTA</v>
          </cell>
          <cell r="K384" t="str">
            <v>JUMA ISMAIL</v>
          </cell>
        </row>
        <row r="385">
          <cell r="B385" t="str">
            <v>T127EBX</v>
          </cell>
          <cell r="C385" t="str">
            <v>T570EBX</v>
          </cell>
          <cell r="D385" t="str">
            <v>T696EBV</v>
          </cell>
          <cell r="E385" t="str">
            <v>OMAR SWALEH CHANINGA</v>
          </cell>
          <cell r="F385">
            <v>753764339</v>
          </cell>
          <cell r="G385">
            <v>4001131786</v>
          </cell>
          <cell r="H385" t="str">
            <v>TAE345059</v>
          </cell>
          <cell r="I385">
            <v>119233135</v>
          </cell>
          <cell r="J385" t="str">
            <v>Ayoub BENESTA</v>
          </cell>
          <cell r="K385" t="str">
            <v>JUMA ISMAIL</v>
          </cell>
        </row>
        <row r="386">
          <cell r="B386" t="str">
            <v>T513EBY</v>
          </cell>
          <cell r="C386" t="str">
            <v>T554EBX</v>
          </cell>
          <cell r="D386" t="str">
            <v>T113EBW</v>
          </cell>
          <cell r="E386" t="str">
            <v>OMARI ABEDI MOKA</v>
          </cell>
          <cell r="F386">
            <v>782407278</v>
          </cell>
          <cell r="G386">
            <v>4004254274</v>
          </cell>
          <cell r="H386" t="str">
            <v>TAE419673</v>
          </cell>
          <cell r="I386" t="e">
            <v>#N/A</v>
          </cell>
          <cell r="J386" t="str">
            <v>Martha GOLODI</v>
          </cell>
          <cell r="K386" t="str">
            <v>JOSEPH JIRABI</v>
          </cell>
        </row>
        <row r="387">
          <cell r="B387" t="str">
            <v>T930EBW</v>
          </cell>
          <cell r="C387" t="str">
            <v>T408EBW</v>
          </cell>
          <cell r="D387" t="str">
            <v>T765EBV</v>
          </cell>
          <cell r="E387" t="str">
            <v>OMARI ATHUMANI SELEMANI</v>
          </cell>
          <cell r="F387">
            <v>788406666</v>
          </cell>
          <cell r="G387">
            <v>4000536824</v>
          </cell>
          <cell r="H387" t="str">
            <v>TAE632472</v>
          </cell>
          <cell r="I387" t="str">
            <v>116-765-526</v>
          </cell>
          <cell r="J387" t="str">
            <v>SADI KIMWAGA</v>
          </cell>
          <cell r="K387" t="str">
            <v>JOSEPH JIRABI</v>
          </cell>
        </row>
        <row r="388">
          <cell r="B388" t="str">
            <v>T732DEC</v>
          </cell>
          <cell r="C388" t="str">
            <v>T750DEU</v>
          </cell>
          <cell r="D388" t="str">
            <v> </v>
          </cell>
          <cell r="E388" t="str">
            <v>OMARI HAMADI DASS</v>
          </cell>
          <cell r="F388">
            <v>694376034</v>
          </cell>
          <cell r="G388">
            <v>40000738915</v>
          </cell>
          <cell r="H388" t="str">
            <v>TAE574094</v>
          </cell>
          <cell r="I388" t="e">
            <v>#N/A</v>
          </cell>
          <cell r="J388" t="str">
            <v>IRENE SHIJA</v>
          </cell>
          <cell r="K388" t="str">
            <v>ABDRULRAHIMAN</v>
          </cell>
        </row>
        <row r="389">
          <cell r="B389" t="str">
            <v>T805DYR</v>
          </cell>
          <cell r="C389" t="str">
            <v>T929DYT</v>
          </cell>
          <cell r="D389" t="str">
            <v> </v>
          </cell>
          <cell r="E389" t="str">
            <v>OMARI HASSANI CHANGI</v>
          </cell>
          <cell r="F389">
            <v>765514713</v>
          </cell>
          <cell r="G389">
            <v>4000199368</v>
          </cell>
          <cell r="H389" t="str">
            <v>TAE709422</v>
          </cell>
          <cell r="I389" t="e">
            <v>#N/A</v>
          </cell>
          <cell r="J389" t="str">
            <v>LUSAJO KASUNGA</v>
          </cell>
          <cell r="K389" t="str">
            <v>JUMA ISMAIL</v>
          </cell>
        </row>
        <row r="390">
          <cell r="B390" t="str">
            <v>T529EBY</v>
          </cell>
          <cell r="C390" t="str">
            <v>T557EBX</v>
          </cell>
          <cell r="D390" t="str">
            <v>T691EBV</v>
          </cell>
          <cell r="E390" t="str">
            <v>OMARI SALIM KULUGIO</v>
          </cell>
          <cell r="F390">
            <v>788272205</v>
          </cell>
          <cell r="G390">
            <v>4000268862</v>
          </cell>
          <cell r="H390" t="str">
            <v>TAE076139</v>
          </cell>
          <cell r="I390" t="e">
            <v>#N/A</v>
          </cell>
          <cell r="J390" t="str">
            <v>Martha GOLODI</v>
          </cell>
          <cell r="K390" t="str">
            <v>JOSEPH JIRABI</v>
          </cell>
        </row>
        <row r="391">
          <cell r="B391" t="str">
            <v>T339EBX</v>
          </cell>
          <cell r="C391" t="str">
            <v>T468EBW</v>
          </cell>
          <cell r="D391" t="str">
            <v>T772EBV</v>
          </cell>
          <cell r="E391" t="str">
            <v>OMARI SALIMU MOHAMEDI</v>
          </cell>
          <cell r="F391">
            <v>714212200</v>
          </cell>
          <cell r="G391">
            <v>4005072512</v>
          </cell>
          <cell r="H391" t="str">
            <v>TAE665465</v>
          </cell>
          <cell r="I391">
            <v>136382101</v>
          </cell>
          <cell r="J391" t="str">
            <v>SADI KIMWAGA</v>
          </cell>
          <cell r="K391" t="str">
            <v>JOSEPH JIRABI</v>
          </cell>
        </row>
        <row r="392">
          <cell r="B392" t="str">
            <v>T154EBX</v>
          </cell>
          <cell r="C392" t="str">
            <v>T602EBX</v>
          </cell>
          <cell r="D392" t="str">
            <v>T593EBV</v>
          </cell>
          <cell r="E392" t="str">
            <v>OMARY FADHILI MSANGI</v>
          </cell>
          <cell r="F392">
            <v>767252262</v>
          </cell>
          <cell r="G392">
            <v>4001086377</v>
          </cell>
          <cell r="H392" t="str">
            <v>TAE374168</v>
          </cell>
          <cell r="I392">
            <v>119072484</v>
          </cell>
          <cell r="J392" t="str">
            <v>Ayoub BENESTA</v>
          </cell>
          <cell r="K392" t="str">
            <v>JUMA ISMAIL</v>
          </cell>
        </row>
        <row r="393">
          <cell r="B393" t="str">
            <v>T571DYR</v>
          </cell>
          <cell r="C393" t="str">
            <v>T829DYT</v>
          </cell>
          <cell r="D393" t="str">
            <v> </v>
          </cell>
          <cell r="E393" t="str">
            <v>BOAZ GILIAD FYITI</v>
          </cell>
          <cell r="F393">
            <v>787024437</v>
          </cell>
          <cell r="G393">
            <v>4000251654</v>
          </cell>
          <cell r="H393" t="str">
            <v>TAE897736</v>
          </cell>
          <cell r="I393" t="e">
            <v>#N/A</v>
          </cell>
          <cell r="J393" t="str">
            <v>LUSAJO KASUNGA</v>
          </cell>
          <cell r="K393" t="str">
            <v>JUMA ISMAIL</v>
          </cell>
        </row>
        <row r="394">
          <cell r="B394" t="str">
            <v>T165EBX</v>
          </cell>
          <cell r="C394" t="str">
            <v>T571EBX</v>
          </cell>
          <cell r="D394" t="str">
            <v>T669EBV</v>
          </cell>
          <cell r="E394" t="str">
            <v>OMARY HAMZA MBARUKU</v>
          </cell>
          <cell r="F394">
            <v>677620617</v>
          </cell>
          <cell r="G394">
            <v>4003490444</v>
          </cell>
          <cell r="H394" t="str">
            <v>TAE656095</v>
          </cell>
          <cell r="I394" t="str">
            <v>129-410-965</v>
          </cell>
          <cell r="J394" t="str">
            <v>Ayoub BENESTA</v>
          </cell>
          <cell r="K394" t="str">
            <v>JUMA ISMAIL</v>
          </cell>
        </row>
        <row r="395">
          <cell r="B395" t="str">
            <v>T390ECN</v>
          </cell>
          <cell r="C395" t="str">
            <v>T788ECG</v>
          </cell>
          <cell r="D395" t="str">
            <v>T954EBV</v>
          </cell>
          <cell r="E395" t="str">
            <v>OMARY IDDY MACHUPPA</v>
          </cell>
          <cell r="F395">
            <v>782671777</v>
          </cell>
          <cell r="G395">
            <v>4000394851</v>
          </cell>
          <cell r="H395" t="str">
            <v>TAE477758</v>
          </cell>
          <cell r="I395" t="e">
            <v>#N/A</v>
          </cell>
          <cell r="J395" t="str">
            <v>PLASDUS MAHUMBA</v>
          </cell>
          <cell r="K395" t="str">
            <v>ABDRULRAHIMAN</v>
          </cell>
        </row>
        <row r="396">
          <cell r="B396" t="str">
            <v>T220EBX</v>
          </cell>
          <cell r="C396" t="str">
            <v>T925EBY</v>
          </cell>
          <cell r="D396" t="str">
            <v> </v>
          </cell>
          <cell r="E396" t="str">
            <v>ALLY MARICK SEIF</v>
          </cell>
          <cell r="F396">
            <v>762386053</v>
          </cell>
          <cell r="G396">
            <v>4002022420</v>
          </cell>
          <cell r="H396" t="str">
            <v>TAE670168</v>
          </cell>
          <cell r="I396"/>
          <cell r="J396" t="str">
            <v>LUSAJO KASUNGA</v>
          </cell>
          <cell r="K396" t="str">
            <v>JUMA ISMAIL</v>
          </cell>
        </row>
        <row r="397">
          <cell r="B397" t="str">
            <v>T942DSX</v>
          </cell>
          <cell r="C397" t="str">
            <v>T420DTD</v>
          </cell>
          <cell r="D397" t="str">
            <v> </v>
          </cell>
          <cell r="E397" t="str">
            <v>OMARY SAID KITAMBO</v>
          </cell>
          <cell r="F397">
            <v>686825290</v>
          </cell>
          <cell r="G397">
            <v>4006464282</v>
          </cell>
          <cell r="H397" t="str">
            <v>TAE702024</v>
          </cell>
          <cell r="I397" t="e">
            <v>#N/A</v>
          </cell>
          <cell r="J397" t="str">
            <v>IRENE SHIJA</v>
          </cell>
          <cell r="K397" t="str">
            <v>ABDRULRAHIMAN</v>
          </cell>
        </row>
        <row r="398">
          <cell r="B398" t="str">
            <v>T861EBY</v>
          </cell>
          <cell r="C398" t="str">
            <v>T403EBW</v>
          </cell>
          <cell r="D398" t="str">
            <v>T780EBV</v>
          </cell>
          <cell r="E398" t="str">
            <v>OMARY SAID MTAJI</v>
          </cell>
          <cell r="F398">
            <v>787750194</v>
          </cell>
          <cell r="G398">
            <v>4000198777</v>
          </cell>
          <cell r="H398" t="str">
            <v>TAE 495146</v>
          </cell>
          <cell r="I398" t="e">
            <v>#N/A</v>
          </cell>
          <cell r="J398" t="str">
            <v>SADI KIMWAGA</v>
          </cell>
          <cell r="K398" t="str">
            <v>JOSEPH JIRABI</v>
          </cell>
        </row>
        <row r="399">
          <cell r="B399" t="str">
            <v>T301EBX</v>
          </cell>
          <cell r="C399" t="str">
            <v>T522EBW</v>
          </cell>
          <cell r="D399" t="str">
            <v>T340EBW</v>
          </cell>
          <cell r="E399" t="str">
            <v>OMARY SALUM ABDI</v>
          </cell>
          <cell r="F399">
            <v>712198882</v>
          </cell>
          <cell r="G399">
            <v>4005000609</v>
          </cell>
          <cell r="H399" t="str">
            <v>TAE704057</v>
          </cell>
          <cell r="I399" t="str">
            <v>136-012-762</v>
          </cell>
          <cell r="J399" t="str">
            <v>SADI KIMWAGA</v>
          </cell>
          <cell r="K399" t="str">
            <v>JOSEPH JIRABI</v>
          </cell>
        </row>
        <row r="400">
          <cell r="B400" t="str">
            <v>T575DYR</v>
          </cell>
          <cell r="C400" t="str">
            <v>T807DYT</v>
          </cell>
          <cell r="D400" t="str">
            <v> </v>
          </cell>
          <cell r="E400" t="str">
            <v>OMARY SEIF MGUBIRI</v>
          </cell>
          <cell r="F400">
            <v>655419024</v>
          </cell>
          <cell r="G400">
            <v>4000917500</v>
          </cell>
          <cell r="H400" t="str">
            <v>TAE657088</v>
          </cell>
          <cell r="I400" t="str">
            <v>118-408-829</v>
          </cell>
          <cell r="J400" t="str">
            <v>Ayoub BENESTA</v>
          </cell>
          <cell r="K400" t="str">
            <v>JUMA ISMAIL</v>
          </cell>
        </row>
        <row r="401">
          <cell r="B401" t="str">
            <v>T764DYR</v>
          </cell>
          <cell r="C401" t="str">
            <v>T948DYT</v>
          </cell>
          <cell r="D401"/>
          <cell r="E401" t="str">
            <v>OPTATUS SYLVESTER MUHINDO</v>
          </cell>
          <cell r="F401">
            <v>765465606</v>
          </cell>
          <cell r="G401">
            <v>4000854060</v>
          </cell>
          <cell r="H401" t="str">
            <v>AB1759872</v>
          </cell>
          <cell r="I401" t="e">
            <v>#N/A</v>
          </cell>
          <cell r="J401" t="str">
            <v>PLASDUS MAHUMBA</v>
          </cell>
          <cell r="K401" t="str">
            <v>ABDRULRAHIMAN</v>
          </cell>
        </row>
        <row r="402">
          <cell r="B402" t="str">
            <v>T590DTQ</v>
          </cell>
          <cell r="C402" t="str">
            <v>T825DTQ</v>
          </cell>
          <cell r="D402" t="str">
            <v> </v>
          </cell>
          <cell r="E402" t="str">
            <v>PASTOR GASPER MCHAU</v>
          </cell>
          <cell r="F402">
            <v>714383542</v>
          </cell>
          <cell r="G402">
            <v>4000066329</v>
          </cell>
          <cell r="H402" t="str">
            <v>TAE668421</v>
          </cell>
          <cell r="I402" t="str">
            <v>112-039-767</v>
          </cell>
          <cell r="J402" t="str">
            <v>LUSAJO KASUNGA</v>
          </cell>
          <cell r="K402" t="str">
            <v>JUMA ISMAIL</v>
          </cell>
        </row>
        <row r="403">
          <cell r="B403" t="str">
            <v>T426DHG</v>
          </cell>
          <cell r="C403" t="str">
            <v>T920DHG</v>
          </cell>
          <cell r="D403" t="str">
            <v> </v>
          </cell>
          <cell r="E403" t="str">
            <v>PASTOR GASPER MCHAU</v>
          </cell>
          <cell r="F403">
            <v>714383542</v>
          </cell>
          <cell r="G403">
            <v>4000066329</v>
          </cell>
          <cell r="H403" t="str">
            <v>TAE668421</v>
          </cell>
          <cell r="I403" t="str">
            <v>112-039-767</v>
          </cell>
          <cell r="J403" t="str">
            <v>LUSAJO KASUNGA</v>
          </cell>
          <cell r="K403" t="str">
            <v>JUMA ISMAIL</v>
          </cell>
        </row>
        <row r="404">
          <cell r="B404" t="str">
            <v>T585DTQ</v>
          </cell>
          <cell r="C404" t="str">
            <v>T938DEK</v>
          </cell>
          <cell r="D404" t="str">
            <v> </v>
          </cell>
          <cell r="E404" t="str">
            <v>PATRICK CASTORY BANZI</v>
          </cell>
          <cell r="F404">
            <v>657223129</v>
          </cell>
          <cell r="G404">
            <v>4000521677</v>
          </cell>
          <cell r="H404" t="str">
            <v>TAE787188</v>
          </cell>
          <cell r="I404">
            <v>116716658</v>
          </cell>
          <cell r="J404" t="str">
            <v>PLASDUS MAHUMBA</v>
          </cell>
          <cell r="K404" t="str">
            <v>ABDRULRAHIMAN</v>
          </cell>
        </row>
        <row r="405">
          <cell r="B405" t="str">
            <v>T564DEB</v>
          </cell>
          <cell r="C405" t="str">
            <v>T745DEU</v>
          </cell>
          <cell r="D405" t="str">
            <v> </v>
          </cell>
          <cell r="E405" t="str">
            <v>PATRICK CLEMENT COROGO</v>
          </cell>
          <cell r="F405">
            <v>673298280</v>
          </cell>
          <cell r="G405">
            <v>4000014372</v>
          </cell>
          <cell r="H405" t="str">
            <v>TAE739322</v>
          </cell>
          <cell r="I405" t="e">
            <v>#N/A</v>
          </cell>
          <cell r="J405" t="str">
            <v>LUSAJO KASUNGA</v>
          </cell>
          <cell r="K405" t="str">
            <v>JUMA ISMAIL</v>
          </cell>
        </row>
        <row r="406">
          <cell r="B406" t="str">
            <v>T875EBY</v>
          </cell>
          <cell r="C406" t="str">
            <v>T827ECD</v>
          </cell>
          <cell r="D406" t="str">
            <v>T596EBV</v>
          </cell>
          <cell r="E406" t="str">
            <v>PATRICK MSONGWA MWANJIBILI</v>
          </cell>
          <cell r="F406">
            <v>768648549</v>
          </cell>
          <cell r="G406">
            <v>4000285936</v>
          </cell>
          <cell r="H406" t="str">
            <v>TAE641757</v>
          </cell>
          <cell r="I406" t="e">
            <v>#N/A</v>
          </cell>
          <cell r="J406" t="str">
            <v>SADI KIMWAGA</v>
          </cell>
          <cell r="K406" t="str">
            <v>JOSEPH JIRABI</v>
          </cell>
        </row>
        <row r="407">
          <cell r="B407" t="str">
            <v>T424DHG</v>
          </cell>
          <cell r="C407" t="str">
            <v>T370DHS</v>
          </cell>
          <cell r="D407" t="str">
            <v> </v>
          </cell>
          <cell r="E407" t="str">
            <v>PAUL JONH BERNARD</v>
          </cell>
          <cell r="F407" t="str">
            <v>652613387/761600323</v>
          </cell>
          <cell r="G407">
            <v>4000432859</v>
          </cell>
          <cell r="H407" t="str">
            <v>TAE416435</v>
          </cell>
          <cell r="I407" t="e">
            <v>#N/A</v>
          </cell>
          <cell r="J407" t="str">
            <v>Martha GOLODI</v>
          </cell>
          <cell r="K407" t="str">
            <v>JOSEPH JIRABI</v>
          </cell>
        </row>
        <row r="408">
          <cell r="B408" t="str">
            <v>T779EBW</v>
          </cell>
          <cell r="C408" t="str">
            <v>T825ECG</v>
          </cell>
          <cell r="D408" t="str">
            <v>T636EBV</v>
          </cell>
          <cell r="E408" t="str">
            <v>PAUL NKAMU SENGWA</v>
          </cell>
          <cell r="F408">
            <v>688126432</v>
          </cell>
          <cell r="G408">
            <v>4000085251</v>
          </cell>
          <cell r="H408" t="str">
            <v>TAE318302</v>
          </cell>
          <cell r="I408">
            <v>111917663</v>
          </cell>
          <cell r="J408" t="str">
            <v>Ayoub BENESTA</v>
          </cell>
          <cell r="K408" t="str">
            <v>JUMA ISMAIL</v>
          </cell>
        </row>
        <row r="409">
          <cell r="B409" t="str">
            <v>T802DYR</v>
          </cell>
          <cell r="C409" t="str">
            <v>T802DYT</v>
          </cell>
          <cell r="D409" t="str">
            <v> </v>
          </cell>
          <cell r="E409" t="str">
            <v>PELEGREEN PELGIN NJELEKELA</v>
          </cell>
          <cell r="F409">
            <v>655231263</v>
          </cell>
          <cell r="G409">
            <v>4000486080</v>
          </cell>
          <cell r="H409" t="str">
            <v>TAE667145</v>
          </cell>
          <cell r="I409" t="e">
            <v>#N/A</v>
          </cell>
          <cell r="J409" t="str">
            <v>LUSAJO KASUNGA</v>
          </cell>
          <cell r="K409" t="str">
            <v>JUMA ISMAIL</v>
          </cell>
        </row>
        <row r="410">
          <cell r="B410" t="str">
            <v>T376ECN</v>
          </cell>
          <cell r="C410" t="str">
            <v>T822ECG</v>
          </cell>
          <cell r="D410" t="str">
            <v>T516EBV</v>
          </cell>
          <cell r="E410" t="str">
            <v>PETER BENJAMIN KINGU</v>
          </cell>
          <cell r="F410">
            <v>713749757</v>
          </cell>
          <cell r="G410">
            <v>4000200698</v>
          </cell>
          <cell r="H410" t="str">
            <v>TAE678674</v>
          </cell>
          <cell r="I410">
            <v>113857625</v>
          </cell>
          <cell r="J410" t="str">
            <v>Ayoub BENESTA</v>
          </cell>
          <cell r="K410" t="str">
            <v>JUMA ISMAIL</v>
          </cell>
        </row>
        <row r="411">
          <cell r="B411" t="str">
            <v>T913EBW</v>
          </cell>
          <cell r="C411" t="str">
            <v>T541EBY</v>
          </cell>
          <cell r="D411" t="str">
            <v>T218EBV</v>
          </cell>
          <cell r="E411" t="str">
            <v>PETER JOHN MAJAA</v>
          </cell>
          <cell r="F411">
            <v>756989588</v>
          </cell>
          <cell r="G411">
            <v>4001752825</v>
          </cell>
          <cell r="H411" t="str">
            <v>TAE672656</v>
          </cell>
          <cell r="I411">
            <v>121960788</v>
          </cell>
          <cell r="J411" t="str">
            <v>Martha GOLODI</v>
          </cell>
          <cell r="K411" t="str">
            <v>JOSEPH JIRABI</v>
          </cell>
        </row>
        <row r="412">
          <cell r="B412" t="str">
            <v>T877EBY</v>
          </cell>
          <cell r="C412" t="str">
            <v>T491ECE</v>
          </cell>
          <cell r="D412" t="str">
            <v>T517EBV</v>
          </cell>
          <cell r="E412" t="str">
            <v>PETER KAKORE SHABANI</v>
          </cell>
          <cell r="F412">
            <v>767740001</v>
          </cell>
          <cell r="G412">
            <v>4000289763</v>
          </cell>
          <cell r="H412" t="str">
            <v>TAE867970</v>
          </cell>
          <cell r="I412">
            <v>114865060</v>
          </cell>
          <cell r="J412" t="str">
            <v>SADI KIMWAGA</v>
          </cell>
          <cell r="K412" t="str">
            <v>JOSEPH JIRABI</v>
          </cell>
        </row>
        <row r="413">
          <cell r="B413" t="str">
            <v>T879EBY</v>
          </cell>
          <cell r="C413" t="str">
            <v>T441EBW</v>
          </cell>
          <cell r="D413" t="str">
            <v>T753EBV</v>
          </cell>
          <cell r="E413" t="str">
            <v>PETER KAMUGISHA HAMADI</v>
          </cell>
          <cell r="F413">
            <v>753167770</v>
          </cell>
          <cell r="G413">
            <v>4001561313</v>
          </cell>
          <cell r="H413" t="str">
            <v>TAE721249</v>
          </cell>
          <cell r="I413">
            <v>121110091</v>
          </cell>
          <cell r="J413" t="str">
            <v>LUSAJO KASUNGA</v>
          </cell>
          <cell r="K413" t="str">
            <v>JUMA ISMAIL</v>
          </cell>
        </row>
        <row r="414">
          <cell r="B414" t="str">
            <v>T514DTR</v>
          </cell>
          <cell r="C414"/>
          <cell r="D414" t="str">
            <v> </v>
          </cell>
          <cell r="E414" t="str">
            <v>PILI LUGAMBULA BULIMA</v>
          </cell>
          <cell r="F414">
            <v>768185324</v>
          </cell>
          <cell r="G414">
            <v>4006849426</v>
          </cell>
          <cell r="H414" t="str">
            <v>TAE650083</v>
          </cell>
          <cell r="I414" t="e">
            <v>#N/A</v>
          </cell>
          <cell r="J414" t="str">
            <v>PLASDUS MAHUMBA</v>
          </cell>
          <cell r="K414" t="str">
            <v>ABDRULRAHIMAN</v>
          </cell>
        </row>
        <row r="415">
          <cell r="B415" t="str">
            <v>T272EBX</v>
          </cell>
          <cell r="C415" t="str">
            <v>T910EBY</v>
          </cell>
          <cell r="D415" t="str">
            <v> </v>
          </cell>
          <cell r="E415" t="str">
            <v>POTPHA PASCAL MTAKIMWA</v>
          </cell>
          <cell r="F415">
            <v>752508805</v>
          </cell>
          <cell r="G415">
            <v>4001407038</v>
          </cell>
          <cell r="H415" t="str">
            <v>TAE635683</v>
          </cell>
          <cell r="I415" t="str">
            <v>120-448-110</v>
          </cell>
          <cell r="J415" t="str">
            <v>Ayoub BENESTA</v>
          </cell>
          <cell r="K415" t="str">
            <v>JUMA ISMAIL</v>
          </cell>
        </row>
        <row r="416">
          <cell r="B416" t="str">
            <v>T357DHG</v>
          </cell>
          <cell r="C416" t="str">
            <v>T366DHS</v>
          </cell>
          <cell r="D416" t="str">
            <v> </v>
          </cell>
          <cell r="E416" t="str">
            <v>PRAYGOD THOMASI KIWAYA</v>
          </cell>
          <cell r="F416">
            <v>758378565</v>
          </cell>
          <cell r="G416">
            <v>4000410274</v>
          </cell>
          <cell r="H416" t="str">
            <v>TAE688883</v>
          </cell>
          <cell r="I416" t="str">
            <v>138-462-005</v>
          </cell>
          <cell r="J416" t="str">
            <v>SADI KIMWAGA</v>
          </cell>
          <cell r="K416" t="str">
            <v>JOSEPH JIRABI</v>
          </cell>
        </row>
        <row r="417">
          <cell r="B417" t="str">
            <v>T869EBY</v>
          </cell>
          <cell r="C417" t="str">
            <v>T589EBY</v>
          </cell>
          <cell r="D417" t="str">
            <v>T588EBV</v>
          </cell>
          <cell r="E417" t="str">
            <v>RAFAEL ERASTO NZAWIBO</v>
          </cell>
          <cell r="F417">
            <v>765328581</v>
          </cell>
          <cell r="G417">
            <v>4000231317</v>
          </cell>
          <cell r="H417" t="str">
            <v>TAE644938</v>
          </cell>
          <cell r="I417">
            <v>114237795</v>
          </cell>
          <cell r="J417" t="str">
            <v>SADI KIMWAGA</v>
          </cell>
          <cell r="K417" t="str">
            <v>JOSEPH JIRABI</v>
          </cell>
        </row>
        <row r="418">
          <cell r="B418" t="str">
            <v>T722EBX</v>
          </cell>
          <cell r="C418" t="str">
            <v>T542EBY</v>
          </cell>
          <cell r="D418" t="str">
            <v>T657EBV</v>
          </cell>
          <cell r="E418" t="str">
            <v>RAJABU ABDALLAH MWINAMA</v>
          </cell>
          <cell r="F418">
            <v>4003624518</v>
          </cell>
          <cell r="G418">
            <v>712814131</v>
          </cell>
          <cell r="H418" t="str">
            <v>TAE495097</v>
          </cell>
          <cell r="I418" t="e">
            <v>#N/A</v>
          </cell>
          <cell r="J418" t="str">
            <v>PLASDUS MAHUMBA</v>
          </cell>
          <cell r="K418" t="str">
            <v>ABDRULRAHIMAN</v>
          </cell>
        </row>
        <row r="419">
          <cell r="B419" t="str">
            <v>T975EBW</v>
          </cell>
          <cell r="C419" t="str">
            <v>T513EBW</v>
          </cell>
          <cell r="D419" t="str">
            <v>T224EBV</v>
          </cell>
          <cell r="E419" t="str">
            <v>RAJABU ISSA OMARI</v>
          </cell>
          <cell r="F419">
            <v>683970540</v>
          </cell>
          <cell r="G419">
            <v>4000196168</v>
          </cell>
          <cell r="H419" t="str">
            <v>TAE712530</v>
          </cell>
          <cell r="I419" t="str">
            <v>113-794-054</v>
          </cell>
          <cell r="J419" t="str">
            <v>SADI KIMWAGA</v>
          </cell>
          <cell r="K419" t="str">
            <v>JOSEPH JIRABI</v>
          </cell>
        </row>
        <row r="420">
          <cell r="B420" t="str">
            <v>T993EBW</v>
          </cell>
          <cell r="C420" t="str">
            <v>T519EBW</v>
          </cell>
          <cell r="D420" t="str">
            <v>T560EBV</v>
          </cell>
          <cell r="E420" t="str">
            <v>RAJABU KONGO LADISLAUS</v>
          </cell>
          <cell r="F420">
            <v>755424343</v>
          </cell>
          <cell r="G420">
            <v>4000083332</v>
          </cell>
          <cell r="H420" t="str">
            <v>TAE673714</v>
          </cell>
          <cell r="I420">
            <v>112304606</v>
          </cell>
          <cell r="J420" t="str">
            <v>SADI KIMWAGA</v>
          </cell>
          <cell r="K420" t="str">
            <v>JOSEPH JIRABI</v>
          </cell>
        </row>
        <row r="421">
          <cell r="B421" t="str">
            <v>T407DHE</v>
          </cell>
          <cell r="C421" t="str">
            <v>T120DHM</v>
          </cell>
          <cell r="D421" t="str">
            <v> </v>
          </cell>
          <cell r="E421" t="str">
            <v>RAJABU MOHAMED MATUA</v>
          </cell>
          <cell r="F421" t="str">
            <v>DEB</v>
          </cell>
          <cell r="G421">
            <v>4000233365</v>
          </cell>
          <cell r="H421" t="str">
            <v>TAE686368</v>
          </cell>
          <cell r="I421" t="str">
            <v>114-265-470</v>
          </cell>
          <cell r="J421" t="str">
            <v>LUSAJO KASUNGA</v>
          </cell>
          <cell r="K421" t="str">
            <v>JUMA ISMAIL</v>
          </cell>
        </row>
        <row r="422">
          <cell r="B422" t="str">
            <v>T190EBX</v>
          </cell>
          <cell r="C422" t="str">
            <v>T596EBX</v>
          </cell>
          <cell r="D422" t="str">
            <v>T217EBV</v>
          </cell>
          <cell r="E422" t="str">
            <v>RAJABU MOSHI MKUTA</v>
          </cell>
          <cell r="F422">
            <v>719258683</v>
          </cell>
          <cell r="G422">
            <v>4000890383</v>
          </cell>
          <cell r="H422" t="str">
            <v>TAE709443</v>
          </cell>
          <cell r="I422">
            <v>118289188</v>
          </cell>
          <cell r="J422" t="str">
            <v>IRENE SHIJA</v>
          </cell>
          <cell r="K422" t="str">
            <v>ABDRULRAHIMAN</v>
          </cell>
        </row>
        <row r="423">
          <cell r="B423" t="str">
            <v>T684EBX</v>
          </cell>
          <cell r="C423" t="str">
            <v>T224EBZ</v>
          </cell>
          <cell r="D423" t="str">
            <v>T683EBV</v>
          </cell>
          <cell r="E423" t="str">
            <v>RAJABU RASHIDI MALUPU</v>
          </cell>
          <cell r="F423">
            <v>748728885</v>
          </cell>
          <cell r="G423">
            <v>4002078835</v>
          </cell>
          <cell r="H423" t="str">
            <v>TAE573004</v>
          </cell>
          <cell r="I423" t="str">
            <v>122-755-738</v>
          </cell>
          <cell r="J423" t="str">
            <v>LUSAJO KASUNGA</v>
          </cell>
          <cell r="K423" t="str">
            <v>JUMA ISMAIL</v>
          </cell>
        </row>
        <row r="424">
          <cell r="B424" t="str">
            <v>T768DYR</v>
          </cell>
          <cell r="C424" t="str">
            <v>T183DCZ</v>
          </cell>
          <cell r="D424" t="str">
            <v> </v>
          </cell>
          <cell r="E424" t="str">
            <v>ISMAIL SELEMAN KIGUA</v>
          </cell>
          <cell r="F424">
            <v>4000535357</v>
          </cell>
          <cell r="G424">
            <v>682660001</v>
          </cell>
          <cell r="H424" t="str">
            <v>TAE659251</v>
          </cell>
          <cell r="I424" t="e">
            <v>#N/A</v>
          </cell>
          <cell r="J424" t="str">
            <v>LUSAJO KASUNGA</v>
          </cell>
          <cell r="K424" t="str">
            <v>JUMA ISMAIL</v>
          </cell>
        </row>
        <row r="425">
          <cell r="B425" t="str">
            <v>T325ECN</v>
          </cell>
          <cell r="C425" t="str">
            <v>T812ECG</v>
          </cell>
          <cell r="D425" t="str">
            <v>T776EBV</v>
          </cell>
          <cell r="E425" t="str">
            <v>RAMADHAN MWARAMI MBOMBWE</v>
          </cell>
          <cell r="F425">
            <v>689880862</v>
          </cell>
          <cell r="G425">
            <v>4000768258</v>
          </cell>
          <cell r="H425" t="str">
            <v>TAE393764</v>
          </cell>
          <cell r="I425" t="e">
            <v>#N/A</v>
          </cell>
          <cell r="J425" t="str">
            <v>PLASDUS MAHUMBA</v>
          </cell>
          <cell r="K425" t="str">
            <v>ABDRULRAHIMAN</v>
          </cell>
        </row>
        <row r="426">
          <cell r="B426" t="str">
            <v>T904EBW</v>
          </cell>
          <cell r="C426" t="str">
            <v>T550EBX</v>
          </cell>
          <cell r="D426" t="str">
            <v>T147EBW</v>
          </cell>
          <cell r="E426" t="str">
            <v>RAMADHAN RAHIBU SULEIMAN</v>
          </cell>
          <cell r="F426">
            <v>755821265</v>
          </cell>
          <cell r="G426">
            <v>4000176273</v>
          </cell>
          <cell r="H426" t="str">
            <v>TAE347471</v>
          </cell>
          <cell r="I426" t="e">
            <v>#N/A</v>
          </cell>
          <cell r="J426" t="str">
            <v>SADI KIMWAGA</v>
          </cell>
          <cell r="K426" t="str">
            <v>JOSEPH JIRABI</v>
          </cell>
        </row>
        <row r="427">
          <cell r="B427" t="str">
            <v>T410DHG</v>
          </cell>
          <cell r="C427" t="str">
            <v>T923DHG</v>
          </cell>
          <cell r="D427" t="str">
            <v> </v>
          </cell>
          <cell r="E427" t="str">
            <v>RAMADHANI AYOUB ATHUMANI</v>
          </cell>
          <cell r="F427">
            <v>712929554</v>
          </cell>
          <cell r="G427">
            <v>4006759485</v>
          </cell>
          <cell r="H427" t="str">
            <v>TAE509342</v>
          </cell>
          <cell r="I427" t="str">
            <v>144-646-827</v>
          </cell>
          <cell r="J427" t="str">
            <v>LUSAJO KASUNGA</v>
          </cell>
          <cell r="K427" t="str">
            <v>JUMA ISMAIL</v>
          </cell>
        </row>
        <row r="428">
          <cell r="B428" t="str">
            <v>T704DYR</v>
          </cell>
          <cell r="C428" t="str">
            <v>T490DDC</v>
          </cell>
          <cell r="D428" t="str">
            <v> </v>
          </cell>
          <cell r="E428" t="str">
            <v>RAMADHANI HAMISI SALUM</v>
          </cell>
          <cell r="F428">
            <v>688727212</v>
          </cell>
          <cell r="G428">
            <v>4000977569</v>
          </cell>
          <cell r="H428" t="str">
            <v>TAE675021</v>
          </cell>
          <cell r="I428" t="e">
            <v>#N/A</v>
          </cell>
          <cell r="J428" t="str">
            <v>SADI KIMWAGA</v>
          </cell>
          <cell r="K428" t="str">
            <v>JOSEPH JIRABI</v>
          </cell>
        </row>
        <row r="429">
          <cell r="B429" t="str">
            <v>T352DHG</v>
          </cell>
          <cell r="C429" t="str">
            <v>T357DHS</v>
          </cell>
          <cell r="D429" t="str">
            <v> </v>
          </cell>
          <cell r="E429" t="str">
            <v>RAMADHANI HASSANI MSAMBILA</v>
          </cell>
          <cell r="F429">
            <v>675482036</v>
          </cell>
          <cell r="G429">
            <v>4000157393</v>
          </cell>
          <cell r="H429" t="str">
            <v>TAE684929</v>
          </cell>
          <cell r="I429" t="str">
            <v>113-324-376</v>
          </cell>
          <cell r="J429" t="str">
            <v>IRENE SHIJA</v>
          </cell>
          <cell r="K429" t="str">
            <v>ABDRULRAHIMAN</v>
          </cell>
        </row>
        <row r="430">
          <cell r="B430" t="str">
            <v>T634DHL</v>
          </cell>
          <cell r="C430" t="str">
            <v>T988DHL</v>
          </cell>
          <cell r="D430" t="str">
            <v> </v>
          </cell>
          <cell r="E430" t="str">
            <v>RAMADHANI MBEZI OMARY</v>
          </cell>
          <cell r="F430">
            <v>683869500</v>
          </cell>
          <cell r="G430">
            <v>4001318754</v>
          </cell>
          <cell r="H430" t="str">
            <v>TAE829562</v>
          </cell>
          <cell r="I430" t="str">
            <v>120-025-465</v>
          </cell>
          <cell r="J430" t="str">
            <v>Martha GOLODI</v>
          </cell>
          <cell r="K430" t="str">
            <v>JOSEPH JIRABI</v>
          </cell>
        </row>
        <row r="431">
          <cell r="B431" t="str">
            <v>T318EBY</v>
          </cell>
          <cell r="C431" t="str">
            <v>T472EBW</v>
          </cell>
          <cell r="D431" t="str">
            <v>T747EBV</v>
          </cell>
          <cell r="E431" t="str">
            <v>RAMADHANI NASSORO KILUA</v>
          </cell>
          <cell r="F431">
            <v>711803299</v>
          </cell>
          <cell r="G431">
            <v>4006872396</v>
          </cell>
          <cell r="H431" t="str">
            <v>TAE673299</v>
          </cell>
          <cell r="I431" t="e">
            <v>#N/A</v>
          </cell>
          <cell r="J431" t="str">
            <v>IRENE SHIJA</v>
          </cell>
          <cell r="K431" t="str">
            <v>ABDRULRAHIMAN</v>
          </cell>
        </row>
        <row r="432">
          <cell r="B432" t="str">
            <v>T727EBX</v>
          </cell>
          <cell r="C432" t="str">
            <v>T264EBZ</v>
          </cell>
          <cell r="D432" t="str">
            <v>T958EBV</v>
          </cell>
          <cell r="E432" t="str">
            <v>RAMADHANI SAID NCHIMBI</v>
          </cell>
          <cell r="F432">
            <v>4000306595</v>
          </cell>
          <cell r="G432">
            <v>685600999</v>
          </cell>
          <cell r="H432" t="str">
            <v>TAE778717</v>
          </cell>
          <cell r="I432" t="e">
            <v>#N/A</v>
          </cell>
          <cell r="J432" t="str">
            <v>PLASDUS MAHUMBA</v>
          </cell>
          <cell r="K432" t="str">
            <v>ABDRULRAHIMAN</v>
          </cell>
        </row>
        <row r="433">
          <cell r="B433" t="str">
            <v>T588DTQ</v>
          </cell>
          <cell r="C433" t="str">
            <v>T821DTQ</v>
          </cell>
          <cell r="D433" t="str">
            <v> </v>
          </cell>
          <cell r="E433" t="str">
            <v>RAMADHANI SALIMU SHEDAFA</v>
          </cell>
          <cell r="F433" t="str">
            <v>0658221816/0782594096</v>
          </cell>
          <cell r="G433">
            <v>4000502429</v>
          </cell>
          <cell r="H433" t="str">
            <v>TAE281461</v>
          </cell>
          <cell r="I433" t="str">
            <v>113-000-848</v>
          </cell>
          <cell r="J433" t="str">
            <v>Ayoub BENESTA</v>
          </cell>
          <cell r="K433" t="str">
            <v>JUMA ISMAIL</v>
          </cell>
        </row>
        <row r="434">
          <cell r="B434" t="str">
            <v>T482DYR</v>
          </cell>
          <cell r="C434" t="str">
            <v>T827DYT</v>
          </cell>
          <cell r="D434" t="str">
            <v> </v>
          </cell>
          <cell r="E434" t="str">
            <v>RAMADHANI SHABANI WAGAMOYO</v>
          </cell>
          <cell r="F434">
            <v>714776929</v>
          </cell>
          <cell r="G434">
            <v>4000120289</v>
          </cell>
          <cell r="H434" t="str">
            <v>TAE724377</v>
          </cell>
          <cell r="I434" t="str">
            <v>111-984-360</v>
          </cell>
          <cell r="J434" t="str">
            <v>SADI KIMWAGA</v>
          </cell>
          <cell r="K434" t="str">
            <v>JOSEPH JIRABI</v>
          </cell>
        </row>
        <row r="435">
          <cell r="B435" t="str">
            <v>T183EBX</v>
          </cell>
          <cell r="C435" t="str">
            <v>T588EBX</v>
          </cell>
          <cell r="D435" t="str">
            <v>T216EBV</v>
          </cell>
          <cell r="E435" t="str">
            <v>RAMADHANI SHAIBU SWALEHE</v>
          </cell>
          <cell r="F435">
            <v>789186705</v>
          </cell>
          <cell r="G435">
            <v>4001259303</v>
          </cell>
          <cell r="H435" t="str">
            <v>TAE708432</v>
          </cell>
          <cell r="I435">
            <v>119529395</v>
          </cell>
          <cell r="J435" t="str">
            <v>Ayoub BENESTA</v>
          </cell>
          <cell r="K435" t="str">
            <v>JUMA ISMAIL</v>
          </cell>
        </row>
        <row r="436">
          <cell r="B436" t="str">
            <v>T246EBX</v>
          </cell>
          <cell r="C436" t="str">
            <v>T912EBY</v>
          </cell>
          <cell r="D436" t="str">
            <v> </v>
          </cell>
          <cell r="E436" t="str">
            <v>RASHID HASSAN NZOGO</v>
          </cell>
          <cell r="F436">
            <v>654124860</v>
          </cell>
          <cell r="G436">
            <v>4000633740</v>
          </cell>
          <cell r="H436" t="str">
            <v>TAE685519</v>
          </cell>
          <cell r="I436">
            <v>117172333</v>
          </cell>
          <cell r="J436" t="str">
            <v>IRENE SHIJA</v>
          </cell>
          <cell r="K436" t="str">
            <v>ABDRULRAHIMAN</v>
          </cell>
        </row>
        <row r="437">
          <cell r="B437" t="str">
            <v>T274DDJ</v>
          </cell>
          <cell r="C437" t="str">
            <v>T933DDJ</v>
          </cell>
          <cell r="D437" t="str">
            <v> </v>
          </cell>
          <cell r="E437" t="str">
            <v>RASHID HEMEDI KHALIFA</v>
          </cell>
          <cell r="F437">
            <v>756327087</v>
          </cell>
          <cell r="G437">
            <v>4003925412</v>
          </cell>
          <cell r="H437" t="str">
            <v>TAE766325</v>
          </cell>
          <cell r="I437" t="str">
            <v>131-625-960</v>
          </cell>
          <cell r="J437" t="str">
            <v>Ayoub BENESTA</v>
          </cell>
          <cell r="K437" t="str">
            <v>JUMA ISMAIL</v>
          </cell>
        </row>
        <row r="438">
          <cell r="B438" t="str">
            <v>T598DTQ</v>
          </cell>
          <cell r="C438" t="str">
            <v>T802DTQ</v>
          </cell>
          <cell r="D438" t="str">
            <v> </v>
          </cell>
          <cell r="E438" t="str">
            <v>RASHID HEMEDI KHALIFA</v>
          </cell>
          <cell r="F438">
            <v>756327087</v>
          </cell>
          <cell r="G438">
            <v>4003925412</v>
          </cell>
          <cell r="H438" t="str">
            <v>TAE766325</v>
          </cell>
          <cell r="I438" t="str">
            <v>131-625-960</v>
          </cell>
          <cell r="J438" t="str">
            <v>Ayoub BENESTA</v>
          </cell>
          <cell r="K438" t="str">
            <v>JUMA ISMAIL</v>
          </cell>
        </row>
        <row r="439">
          <cell r="B439" t="str">
            <v>T572DYR</v>
          </cell>
          <cell r="C439" t="str">
            <v>T838DYT</v>
          </cell>
          <cell r="D439" t="str">
            <v> </v>
          </cell>
          <cell r="E439" t="str">
            <v>ISMAIL KISANDU RUBASHA</v>
          </cell>
          <cell r="F439">
            <v>4002454455</v>
          </cell>
          <cell r="G439">
            <v>715339488</v>
          </cell>
          <cell r="H439" t="str">
            <v>TAE658240</v>
          </cell>
          <cell r="I439" t="e">
            <v>#N/A</v>
          </cell>
          <cell r="J439" t="str">
            <v>SADI KIMWAGA</v>
          </cell>
          <cell r="K439" t="str">
            <v>JOSEPH JIRABI</v>
          </cell>
        </row>
        <row r="440">
          <cell r="B440" t="str">
            <v>T328EBX</v>
          </cell>
          <cell r="C440" t="str">
            <v>T889EBY</v>
          </cell>
          <cell r="D440" t="str">
            <v> </v>
          </cell>
          <cell r="E440" t="str">
            <v>RASHID MUSSA MALILO</v>
          </cell>
          <cell r="F440">
            <v>785008020</v>
          </cell>
          <cell r="G440">
            <v>4000831421</v>
          </cell>
          <cell r="H440" t="str">
            <v>TAE702851</v>
          </cell>
          <cell r="I440" t="str">
            <v>118-043-847</v>
          </cell>
          <cell r="J440" t="str">
            <v>Ayoub BENESTA</v>
          </cell>
          <cell r="K440" t="str">
            <v>JUMA ISMAIL</v>
          </cell>
        </row>
        <row r="441">
          <cell r="B441" t="str">
            <v>T817DDS</v>
          </cell>
          <cell r="C441" t="str">
            <v>T579DEJ</v>
          </cell>
          <cell r="D441" t="str">
            <v> </v>
          </cell>
          <cell r="E441" t="str">
            <v>RASHIDI HUDI HUSSEIN</v>
          </cell>
          <cell r="F441">
            <v>716200489</v>
          </cell>
          <cell r="G441">
            <v>4002062064</v>
          </cell>
          <cell r="H441" t="str">
            <v>TAE691063</v>
          </cell>
          <cell r="I441" t="str">
            <v>117-738-280</v>
          </cell>
          <cell r="J441" t="str">
            <v>Ayoub BENESTA</v>
          </cell>
          <cell r="K441" t="str">
            <v>JUMA ISMAIL</v>
          </cell>
        </row>
        <row r="442">
          <cell r="B442" t="str">
            <v>T510EBY</v>
          </cell>
          <cell r="C442" t="str">
            <v>T890EBY</v>
          </cell>
          <cell r="D442" t="str">
            <v> </v>
          </cell>
          <cell r="E442" t="str">
            <v>RASHIDI MUSTAFA ABDALLAH</v>
          </cell>
          <cell r="F442">
            <v>788462246</v>
          </cell>
          <cell r="G442">
            <v>4000183901</v>
          </cell>
          <cell r="H442" t="str">
            <v>TAE814050</v>
          </cell>
          <cell r="I442" t="e">
            <v>#N/A</v>
          </cell>
          <cell r="J442" t="str">
            <v>PLASDUS MAHUMBA</v>
          </cell>
          <cell r="K442" t="str">
            <v>ABDRULRAHIMAN</v>
          </cell>
        </row>
        <row r="443">
          <cell r="B443" t="str">
            <v>T327EBX</v>
          </cell>
          <cell r="C443" t="str">
            <v>T907EBY</v>
          </cell>
          <cell r="D443" t="str">
            <v> </v>
          </cell>
          <cell r="E443" t="str">
            <v>RASUL ZUBERY KAONDO</v>
          </cell>
          <cell r="F443">
            <v>716264699</v>
          </cell>
          <cell r="G443">
            <v>4000128259</v>
          </cell>
          <cell r="H443" t="str">
            <v>TAE753923</v>
          </cell>
          <cell r="I443">
            <v>112749446</v>
          </cell>
          <cell r="J443" t="str">
            <v>Ayoub BENESTA</v>
          </cell>
          <cell r="K443" t="str">
            <v>JUMA ISMAIL</v>
          </cell>
        </row>
        <row r="444">
          <cell r="B444" t="str">
            <v>T735EBX</v>
          </cell>
          <cell r="C444" t="str">
            <v>T547EBY</v>
          </cell>
          <cell r="D444" t="str">
            <v>T947EBV</v>
          </cell>
          <cell r="E444" t="str">
            <v>REGNALD BEATUS TEMU</v>
          </cell>
          <cell r="F444">
            <v>785788006</v>
          </cell>
          <cell r="G444">
            <v>4000066135</v>
          </cell>
          <cell r="H444" t="str">
            <v>TAE771176</v>
          </cell>
          <cell r="I444">
            <v>112037462</v>
          </cell>
          <cell r="J444" t="str">
            <v>PLASDUS MAHUMBA</v>
          </cell>
          <cell r="K444" t="str">
            <v>ABDRULRAHIMAN</v>
          </cell>
        </row>
        <row r="445">
          <cell r="B445" t="str">
            <v>T839EBY</v>
          </cell>
          <cell r="C445" t="str">
            <v>T547EBX</v>
          </cell>
          <cell r="D445" t="str">
            <v>T123EBW</v>
          </cell>
          <cell r="E445" t="str">
            <v>REVOCATUS LAUREAN ANATORY</v>
          </cell>
          <cell r="F445">
            <v>625567444</v>
          </cell>
          <cell r="G445">
            <v>4001097895</v>
          </cell>
          <cell r="H445" t="str">
            <v>TAE477781</v>
          </cell>
          <cell r="I445">
            <v>119113490</v>
          </cell>
          <cell r="J445" t="str">
            <v>PLASDUS MAHUMBA</v>
          </cell>
          <cell r="K445" t="str">
            <v>ABDRULRAHIMAN</v>
          </cell>
        </row>
        <row r="446">
          <cell r="B446" t="str">
            <v>T878EBW</v>
          </cell>
          <cell r="C446" t="str">
            <v>T588EBY</v>
          </cell>
          <cell r="D446" t="str">
            <v>T526EBV</v>
          </cell>
          <cell r="E446" t="str">
            <v>RICCO SARAI RICCO</v>
          </cell>
          <cell r="F446">
            <v>656098109</v>
          </cell>
          <cell r="G446">
            <v>4000052388</v>
          </cell>
          <cell r="H446" t="str">
            <v>TAE570450</v>
          </cell>
          <cell r="I446">
            <v>111812810</v>
          </cell>
          <cell r="J446" t="str">
            <v>SADI KIMWAGA</v>
          </cell>
          <cell r="K446" t="str">
            <v>JOSEPH JIRABI</v>
          </cell>
        </row>
        <row r="447">
          <cell r="B447" t="str">
            <v>T334EBX</v>
          </cell>
          <cell r="C447" t="str">
            <v>T454EBW</v>
          </cell>
          <cell r="D447" t="str">
            <v>T338EBW</v>
          </cell>
          <cell r="E447" t="str">
            <v>ABDALLAH RASHID MBWANA</v>
          </cell>
          <cell r="F447">
            <v>789149777</v>
          </cell>
          <cell r="G447">
            <v>4000584320</v>
          </cell>
          <cell r="H447" t="str">
            <v>TAE628829</v>
          </cell>
          <cell r="I447" t="e">
            <v>#N/A</v>
          </cell>
          <cell r="J447" t="str">
            <v>Martha GOLODI</v>
          </cell>
          <cell r="K447" t="str">
            <v>JOSEPH JIRABI</v>
          </cell>
        </row>
        <row r="448">
          <cell r="B448" t="str">
            <v>T585DYR</v>
          </cell>
          <cell r="C448" t="str">
            <v>T958DYT</v>
          </cell>
          <cell r="D448" t="str">
            <v> </v>
          </cell>
          <cell r="E448" t="str">
            <v>RICHARD JOHN MWASILE</v>
          </cell>
          <cell r="F448">
            <v>768918801</v>
          </cell>
          <cell r="G448">
            <v>4000854896</v>
          </cell>
          <cell r="H448" t="str">
            <v>TAE680461</v>
          </cell>
          <cell r="I448" t="str">
            <v>118-146-417</v>
          </cell>
          <cell r="J448" t="str">
            <v>Ayoub BENESTA</v>
          </cell>
          <cell r="K448" t="str">
            <v>JUMA ISMAIL</v>
          </cell>
        </row>
        <row r="449">
          <cell r="B449" t="str">
            <v>T573DYR</v>
          </cell>
          <cell r="C449" t="str">
            <v>T839DYT</v>
          </cell>
          <cell r="D449" t="str">
            <v> </v>
          </cell>
          <cell r="E449" t="str">
            <v>RICHARD OMBENI KIOGWE</v>
          </cell>
          <cell r="F449">
            <v>788933196</v>
          </cell>
          <cell r="G449">
            <v>4000047327</v>
          </cell>
          <cell r="H449" t="str">
            <v>TAE320907</v>
          </cell>
          <cell r="I449" t="str">
            <v>111-718-776</v>
          </cell>
          <cell r="J449" t="str">
            <v>Ayoub BENESTA</v>
          </cell>
          <cell r="K449" t="str">
            <v>JUMA ISMAIL</v>
          </cell>
        </row>
        <row r="450">
          <cell r="B450" t="str">
            <v>T405DHG</v>
          </cell>
          <cell r="C450" t="str">
            <v>T892DHG</v>
          </cell>
          <cell r="D450" t="str">
            <v> </v>
          </cell>
          <cell r="E450" t="str">
            <v>RICHARD YONAH MSENGI</v>
          </cell>
          <cell r="F450">
            <v>787681695</v>
          </cell>
          <cell r="G450">
            <v>4000242933</v>
          </cell>
          <cell r="H450" t="str">
            <v>TAE492792</v>
          </cell>
          <cell r="I450" t="str">
            <v>113-083-700</v>
          </cell>
          <cell r="J450" t="str">
            <v>PLASDUS MAHUMBA</v>
          </cell>
          <cell r="K450" t="str">
            <v>ABDRULRAHIMAN</v>
          </cell>
        </row>
        <row r="451">
          <cell r="B451" t="str">
            <v>T397ECN</v>
          </cell>
          <cell r="C451" t="str">
            <v>T792ECG</v>
          </cell>
          <cell r="D451" t="str">
            <v>T522EBV</v>
          </cell>
          <cell r="E451" t="str">
            <v>RIZIKI HASSAN HAMISI</v>
          </cell>
          <cell r="F451">
            <v>764919999</v>
          </cell>
          <cell r="G451">
            <v>4003668417</v>
          </cell>
          <cell r="H451" t="str">
            <v>TAE492988</v>
          </cell>
          <cell r="I451">
            <v>130267378</v>
          </cell>
          <cell r="J451" t="str">
            <v>Martha GOLODI</v>
          </cell>
          <cell r="K451" t="str">
            <v>JOSEPH JIRABI</v>
          </cell>
        </row>
        <row r="452">
          <cell r="B452" t="str">
            <v>T703DYR</v>
          </cell>
          <cell r="C452" t="str">
            <v>T811DYT</v>
          </cell>
          <cell r="D452" t="str">
            <v> </v>
          </cell>
          <cell r="E452" t="str">
            <v>ROBERT DICKSON LAIZER</v>
          </cell>
          <cell r="F452">
            <v>764735378</v>
          </cell>
          <cell r="G452">
            <v>4005012856</v>
          </cell>
          <cell r="H452" t="str">
            <v>TAE691002</v>
          </cell>
          <cell r="I452" t="str">
            <v>135-862-762</v>
          </cell>
          <cell r="J452" t="str">
            <v>Ayoub BENESTA</v>
          </cell>
          <cell r="K452" t="str">
            <v>JUMA ISMAIL</v>
          </cell>
        </row>
        <row r="453">
          <cell r="B453" t="str">
            <v>T703EBX</v>
          </cell>
          <cell r="C453" t="str">
            <v>T199EBZ</v>
          </cell>
          <cell r="D453" t="str">
            <v>T155EBW</v>
          </cell>
          <cell r="E453" t="str">
            <v>ROBERT MICHAEL MATKUTA</v>
          </cell>
          <cell r="F453">
            <v>749986981</v>
          </cell>
          <cell r="G453">
            <v>4003288172</v>
          </cell>
          <cell r="H453" t="str">
            <v>TAE690481</v>
          </cell>
          <cell r="I453" t="str">
            <v>127-238-170</v>
          </cell>
          <cell r="J453" t="str">
            <v>LUSAJO KASUNGA</v>
          </cell>
          <cell r="K453" t="str">
            <v>JUMA ISMAIL</v>
          </cell>
        </row>
        <row r="454">
          <cell r="B454" t="str">
            <v>T224EBX</v>
          </cell>
          <cell r="C454" t="str">
            <v>T883EBY</v>
          </cell>
          <cell r="D454" t="str">
            <v> </v>
          </cell>
          <cell r="E454" t="str">
            <v>ROBERT TULIA CHANDO</v>
          </cell>
          <cell r="F454">
            <v>737358784</v>
          </cell>
          <cell r="G454">
            <v>4000086460</v>
          </cell>
          <cell r="H454" t="str">
            <v>TAE324135</v>
          </cell>
          <cell r="I454">
            <v>112361642</v>
          </cell>
          <cell r="J454" t="str">
            <v>LUSAJO KASUNGA</v>
          </cell>
          <cell r="K454" t="str">
            <v>JUMA ISMAIL</v>
          </cell>
        </row>
        <row r="455">
          <cell r="B455" t="str">
            <v>T263EBX</v>
          </cell>
          <cell r="C455" t="str">
            <v>T917EBY</v>
          </cell>
          <cell r="D455" t="str">
            <v> </v>
          </cell>
          <cell r="E455" t="str">
            <v>ROBERT VICENT SONJE</v>
          </cell>
          <cell r="F455">
            <v>768874988</v>
          </cell>
          <cell r="G455">
            <v>4000241399</v>
          </cell>
          <cell r="H455" t="str">
            <v>TAE770587</v>
          </cell>
          <cell r="I455">
            <v>110929439</v>
          </cell>
          <cell r="J455" t="str">
            <v>LUSAJO KASUNGA</v>
          </cell>
          <cell r="K455" t="str">
            <v>JUMA ISMAIL</v>
          </cell>
        </row>
        <row r="456">
          <cell r="B456" t="str">
            <v>T844EBY</v>
          </cell>
          <cell r="C456" t="str">
            <v>T413EBW</v>
          </cell>
          <cell r="D456" t="str">
            <v>T515EBV</v>
          </cell>
          <cell r="E456" t="str">
            <v>ROMANI COSTER DANIEL</v>
          </cell>
          <cell r="F456">
            <v>757033884</v>
          </cell>
          <cell r="G456">
            <v>4000812430</v>
          </cell>
          <cell r="H456" t="str">
            <v>TAE680211</v>
          </cell>
          <cell r="I456" t="e">
            <v>#N/A</v>
          </cell>
          <cell r="J456" t="str">
            <v>Martha GOLODI</v>
          </cell>
          <cell r="K456" t="str">
            <v>JOSEPH JIRABI</v>
          </cell>
        </row>
        <row r="457">
          <cell r="B457" t="str">
            <v>T568DYR</v>
          </cell>
          <cell r="C457" t="str">
            <v>T841DYT</v>
          </cell>
          <cell r="D457" t="str">
            <v> </v>
          </cell>
          <cell r="E457" t="str">
            <v>MRISHO WAZIRI ALLY</v>
          </cell>
          <cell r="F457">
            <v>655350507</v>
          </cell>
          <cell r="G457">
            <v>4001166315</v>
          </cell>
          <cell r="H457" t="str">
            <v>TAE072132</v>
          </cell>
          <cell r="I457"/>
          <cell r="J457" t="str">
            <v>SADI KIMWAGA</v>
          </cell>
          <cell r="K457" t="str">
            <v>JOSEPH JIRABI</v>
          </cell>
        </row>
        <row r="458">
          <cell r="B458" t="str">
            <v>T348DHG</v>
          </cell>
          <cell r="C458" t="str">
            <v>T117DHM</v>
          </cell>
          <cell r="D458" t="str">
            <v> </v>
          </cell>
          <cell r="E458" t="str">
            <v>SAID ALLY MVUGALO</v>
          </cell>
          <cell r="F458" t="str">
            <v>652 281 629</v>
          </cell>
          <cell r="G458">
            <v>4005234025</v>
          </cell>
          <cell r="H458" t="str">
            <v>TAE675408</v>
          </cell>
          <cell r="I458" t="str">
            <v>137-308-407</v>
          </cell>
          <cell r="J458" t="str">
            <v>IRENE SHIJA</v>
          </cell>
          <cell r="K458" t="str">
            <v>ABDRULRAHIMAN</v>
          </cell>
        </row>
        <row r="459">
          <cell r="B459" t="str">
            <v>T852EBY</v>
          </cell>
          <cell r="C459" t="str">
            <v>T535EBY</v>
          </cell>
          <cell r="D459" t="str">
            <v>T605EBV</v>
          </cell>
          <cell r="E459" t="str">
            <v>SAID ALLY SAID</v>
          </cell>
          <cell r="F459">
            <v>755422689</v>
          </cell>
          <cell r="G459">
            <v>4000312131</v>
          </cell>
          <cell r="H459" t="str">
            <v>TAE855679</v>
          </cell>
          <cell r="I459">
            <v>115103466</v>
          </cell>
          <cell r="J459" t="str">
            <v>PLASDUS MAHUMBA</v>
          </cell>
          <cell r="K459" t="str">
            <v>ABDRULRAHIMAN</v>
          </cell>
        </row>
        <row r="460">
          <cell r="B460" t="str">
            <v>T764EBW</v>
          </cell>
          <cell r="C460" t="str">
            <v>T442EBW</v>
          </cell>
          <cell r="D460" t="str">
            <v>T935EBV</v>
          </cell>
          <cell r="E460" t="str">
            <v>NASSORO PAZI PAZI</v>
          </cell>
          <cell r="F460">
            <v>782967812</v>
          </cell>
          <cell r="G460">
            <v>4003198318</v>
          </cell>
          <cell r="H460" t="str">
            <v>TAE658751</v>
          </cell>
          <cell r="I460"/>
          <cell r="J460" t="str">
            <v>Martha GOLODI</v>
          </cell>
          <cell r="K460" t="str">
            <v>JOSEPH JIRABI</v>
          </cell>
        </row>
        <row r="461">
          <cell r="B461" t="str">
            <v>T438DHG</v>
          </cell>
          <cell r="C461" t="str">
            <v>T903DHG</v>
          </cell>
          <cell r="D461" t="str">
            <v> </v>
          </cell>
          <cell r="E461" t="str">
            <v>SAID ASUMAN MUHOGO</v>
          </cell>
          <cell r="F461">
            <v>713310008</v>
          </cell>
          <cell r="G461">
            <v>4000618976</v>
          </cell>
          <cell r="H461" t="str">
            <v>TAE679758</v>
          </cell>
          <cell r="I461" t="e">
            <v>#N/A</v>
          </cell>
          <cell r="J461" t="str">
            <v>Martha GOLODI</v>
          </cell>
          <cell r="K461" t="str">
            <v>JOSEPH JIRABI</v>
          </cell>
        </row>
        <row r="462">
          <cell r="B462" t="str">
            <v>T723DYR</v>
          </cell>
          <cell r="C462" t="str">
            <v>T921DYT</v>
          </cell>
          <cell r="D462" t="str">
            <v> </v>
          </cell>
          <cell r="E462" t="str">
            <v>SAID ATHUMANI NONGWA</v>
          </cell>
          <cell r="F462">
            <v>745111213</v>
          </cell>
          <cell r="G462">
            <v>4000190861</v>
          </cell>
          <cell r="H462" t="str">
            <v>TAE926653</v>
          </cell>
          <cell r="I462" t="str">
            <v>112-943-811</v>
          </cell>
          <cell r="J462" t="str">
            <v>LUSAJO KASUNGA</v>
          </cell>
          <cell r="K462" t="str">
            <v>JUMA ISMAIL</v>
          </cell>
        </row>
        <row r="463">
          <cell r="B463" t="str">
            <v>T587DTQ</v>
          </cell>
          <cell r="C463" t="str">
            <v>T770DTQ</v>
          </cell>
          <cell r="D463" t="str">
            <v> </v>
          </cell>
          <cell r="E463" t="str">
            <v>SAID HATIB KINGODOLO</v>
          </cell>
          <cell r="F463">
            <v>764414957</v>
          </cell>
          <cell r="G463">
            <v>4000423023</v>
          </cell>
          <cell r="H463" t="str">
            <v>TAE672016</v>
          </cell>
          <cell r="I463" t="e">
            <v>#N/A</v>
          </cell>
          <cell r="J463" t="str">
            <v>IRENE SHIJA</v>
          </cell>
          <cell r="K463" t="str">
            <v>ABDRULRAHIMAN</v>
          </cell>
        </row>
        <row r="464">
          <cell r="B464" t="str">
            <v>T564DYR</v>
          </cell>
          <cell r="C464" t="str">
            <v>T817DYT</v>
          </cell>
          <cell r="D464" t="str">
            <v> </v>
          </cell>
          <cell r="E464" t="str">
            <v>SAID KUDRA ULEDI</v>
          </cell>
          <cell r="F464">
            <v>787747479</v>
          </cell>
          <cell r="G464">
            <v>4000067760</v>
          </cell>
          <cell r="H464" t="str">
            <v>TAE685696</v>
          </cell>
          <cell r="I464">
            <v>111448582</v>
          </cell>
          <cell r="J464" t="str">
            <v>Ayoub BENESTA</v>
          </cell>
          <cell r="K464" t="str">
            <v>JUMA ISMAIL</v>
          </cell>
        </row>
        <row r="465">
          <cell r="B465" t="str">
            <v>T579DYR</v>
          </cell>
          <cell r="C465" t="str">
            <v>T837DYT</v>
          </cell>
          <cell r="D465" t="str">
            <v> </v>
          </cell>
          <cell r="E465" t="str">
            <v>SAID NURU MTANDA</v>
          </cell>
          <cell r="F465">
            <v>789061149</v>
          </cell>
          <cell r="G465">
            <v>4000964720</v>
          </cell>
          <cell r="H465" t="str">
            <v>TAE781032</v>
          </cell>
          <cell r="I465">
            <v>118540484</v>
          </cell>
          <cell r="J465" t="str">
            <v>Ayoub BENESTA</v>
          </cell>
          <cell r="K465" t="str">
            <v>JUMA ISMAIL</v>
          </cell>
        </row>
        <row r="466">
          <cell r="B466" t="str">
            <v>T282EBY</v>
          </cell>
          <cell r="C466" t="str">
            <v>T911EBY</v>
          </cell>
          <cell r="D466" t="str">
            <v> </v>
          </cell>
          <cell r="E466" t="str">
            <v>SAID RAJABU RAJABU</v>
          </cell>
          <cell r="F466">
            <v>748414646</v>
          </cell>
          <cell r="G466">
            <v>4001247645</v>
          </cell>
          <cell r="H466" t="str">
            <v>TAE687313</v>
          </cell>
          <cell r="I466" t="e">
            <v>#N/A</v>
          </cell>
          <cell r="J466" t="str">
            <v>PLASDUS MAHUMBA</v>
          </cell>
          <cell r="K466" t="str">
            <v>ABDRULRAHIMAN</v>
          </cell>
        </row>
        <row r="467">
          <cell r="B467" t="str">
            <v>T521EBY</v>
          </cell>
          <cell r="C467" t="str">
            <v>T564EBX</v>
          </cell>
          <cell r="D467" t="str">
            <v>T137EBW</v>
          </cell>
          <cell r="E467" t="str">
            <v>SAID SALUM MOHAMED</v>
          </cell>
          <cell r="F467">
            <v>656341313</v>
          </cell>
          <cell r="G467">
            <v>4000111023</v>
          </cell>
          <cell r="H467" t="str">
            <v>TAE 634977</v>
          </cell>
          <cell r="I467" t="str">
            <v>112-723-021</v>
          </cell>
          <cell r="J467" t="str">
            <v>SADI KIMWAGA</v>
          </cell>
          <cell r="K467" t="str">
            <v>JOSEPH JIRABI</v>
          </cell>
        </row>
        <row r="468">
          <cell r="B468" t="str">
            <v>T804DYR</v>
          </cell>
          <cell r="C468" t="str">
            <v>T804DYT</v>
          </cell>
          <cell r="D468" t="str">
            <v> </v>
          </cell>
          <cell r="E468" t="str">
            <v>SAIDI BAKARI NG'ITU</v>
          </cell>
          <cell r="F468">
            <v>783651188</v>
          </cell>
          <cell r="G468">
            <v>4000694420</v>
          </cell>
          <cell r="H468" t="str">
            <v>TAE403499</v>
          </cell>
          <cell r="I468" t="e">
            <v>#N/A</v>
          </cell>
          <cell r="J468" t="str">
            <v>IRENE SHIJA</v>
          </cell>
          <cell r="K468" t="str">
            <v>ABDRULRAHIMAN</v>
          </cell>
        </row>
        <row r="469">
          <cell r="B469" t="str">
            <v>T346EBX</v>
          </cell>
          <cell r="C469" t="str">
            <v>T880EBY</v>
          </cell>
          <cell r="D469" t="str">
            <v> </v>
          </cell>
          <cell r="E469" t="str">
            <v>LAIZER DOMINIKUS MANDIKE</v>
          </cell>
          <cell r="F469">
            <v>746224159</v>
          </cell>
          <cell r="G469">
            <v>4004776379</v>
          </cell>
          <cell r="H469" t="str">
            <v>TAE603129</v>
          </cell>
          <cell r="I469" t="e">
            <v>#N/A</v>
          </cell>
          <cell r="J469" t="str">
            <v>LUSAJO KASUNGA</v>
          </cell>
          <cell r="K469" t="str">
            <v>JUMA ISMAIL</v>
          </cell>
        </row>
        <row r="470">
          <cell r="B470" t="str">
            <v>T994EBW</v>
          </cell>
          <cell r="C470" t="str">
            <v>T476EBW</v>
          </cell>
          <cell r="D470" t="str">
            <v>T603EBV</v>
          </cell>
          <cell r="E470" t="str">
            <v>SAIDI OMARI MTEA</v>
          </cell>
          <cell r="F470" t="str">
            <v>716592131/744507171</v>
          </cell>
          <cell r="G470">
            <v>4003267715</v>
          </cell>
          <cell r="H470" t="str">
            <v>TAE428298</v>
          </cell>
          <cell r="I470">
            <v>128339485</v>
          </cell>
          <cell r="J470" t="str">
            <v>Martha GOLODI</v>
          </cell>
          <cell r="K470" t="str">
            <v>JOSEPH JIRABI</v>
          </cell>
        </row>
        <row r="471">
          <cell r="B471" t="str">
            <v>T263DDJ</v>
          </cell>
          <cell r="C471" t="str">
            <v>T117DAD</v>
          </cell>
          <cell r="D471" t="str">
            <v> </v>
          </cell>
          <cell r="E471" t="str">
            <v>SAIMON GEORGE KAAYA</v>
          </cell>
          <cell r="F471">
            <v>689598390</v>
          </cell>
          <cell r="G471">
            <v>4005932307</v>
          </cell>
          <cell r="H471" t="str">
            <v>AB10095157</v>
          </cell>
          <cell r="I471" t="e">
            <v>#N/A</v>
          </cell>
          <cell r="J471" t="str">
            <v>LUSAJO KASUNGA</v>
          </cell>
          <cell r="K471" t="str">
            <v>JUMA ISMAIL</v>
          </cell>
        </row>
        <row r="472">
          <cell r="B472" t="str">
            <v>T729DYR</v>
          </cell>
          <cell r="C472" t="str">
            <v>T934DYT</v>
          </cell>
          <cell r="D472" t="str">
            <v> </v>
          </cell>
          <cell r="E472" t="str">
            <v>SALEHE HAMISI ABDALLAH</v>
          </cell>
          <cell r="F472">
            <v>787885810</v>
          </cell>
          <cell r="G472">
            <v>4000186798</v>
          </cell>
          <cell r="H472" t="str">
            <v>TAE859783</v>
          </cell>
          <cell r="I472" t="e">
            <v>#N/A</v>
          </cell>
          <cell r="J472" t="str">
            <v>PLASDUS MAHUMBA</v>
          </cell>
          <cell r="K472" t="str">
            <v>ABDRULRAHIMAN</v>
          </cell>
        </row>
        <row r="473">
          <cell r="B473" t="str">
            <v>T593DTQ</v>
          </cell>
          <cell r="C473" t="str">
            <v>T826DTQ</v>
          </cell>
          <cell r="D473" t="str">
            <v> </v>
          </cell>
          <cell r="E473" t="str">
            <v>SALIM ABDALLA KILINDO</v>
          </cell>
          <cell r="F473">
            <v>784590331</v>
          </cell>
          <cell r="G473">
            <v>4000404870</v>
          </cell>
          <cell r="H473" t="str">
            <v>TAE823081</v>
          </cell>
          <cell r="I473" t="e">
            <v>#N/A</v>
          </cell>
          <cell r="J473" t="str">
            <v>SADI KIMWAGA</v>
          </cell>
          <cell r="K473" t="str">
            <v>JOSEPH JIRABI</v>
          </cell>
        </row>
        <row r="474">
          <cell r="B474" t="str">
            <v>T642DHL</v>
          </cell>
          <cell r="C474" t="str">
            <v>T193DBH</v>
          </cell>
          <cell r="D474" t="str">
            <v> </v>
          </cell>
          <cell r="E474" t="str">
            <v>SALIM SHABAN KIKOTI</v>
          </cell>
          <cell r="F474">
            <v>780368192</v>
          </cell>
          <cell r="G474">
            <v>4004909855</v>
          </cell>
          <cell r="H474" t="str">
            <v>TAE881789</v>
          </cell>
          <cell r="I474" t="str">
            <v>135-553-948</v>
          </cell>
          <cell r="J474" t="str">
            <v>PLASDUS MAHUMBA</v>
          </cell>
          <cell r="K474" t="str">
            <v>ABDRULRAHIMAN</v>
          </cell>
        </row>
        <row r="475">
          <cell r="B475" t="str">
            <v>T914EBW</v>
          </cell>
          <cell r="C475" t="str">
            <v>T546EBY</v>
          </cell>
          <cell r="D475" t="str">
            <v>T950EBV</v>
          </cell>
          <cell r="E475" t="str">
            <v>SALIMU SAIDI KIANDIKO</v>
          </cell>
          <cell r="F475">
            <v>757025839</v>
          </cell>
          <cell r="G475">
            <v>4000063682</v>
          </cell>
          <cell r="H475" t="str">
            <v>TAE708522</v>
          </cell>
          <cell r="I475" t="str">
            <v>111-275-033</v>
          </cell>
          <cell r="J475" t="str">
            <v>SADI KIMWAGA</v>
          </cell>
          <cell r="K475" t="str">
            <v>JOSEPH JIRABI</v>
          </cell>
        </row>
        <row r="476">
          <cell r="B476" t="str">
            <v>T738EBX</v>
          </cell>
          <cell r="C476" t="str">
            <v>T201EBZ</v>
          </cell>
          <cell r="D476" t="str">
            <v>T687EBV</v>
          </cell>
          <cell r="E476" t="str">
            <v>SALMU JUMANNE SWALEHE</v>
          </cell>
          <cell r="F476">
            <v>783150487</v>
          </cell>
          <cell r="G476">
            <v>400424165</v>
          </cell>
          <cell r="H476" t="str">
            <v>TAE670544</v>
          </cell>
          <cell r="I476" t="e">
            <v>#N/A</v>
          </cell>
          <cell r="J476" t="str">
            <v>PLASDUS MAHUMBA</v>
          </cell>
          <cell r="K476" t="str">
            <v>ABDRULRAHIMAN</v>
          </cell>
        </row>
        <row r="477">
          <cell r="B477" t="str">
            <v>T166EBX</v>
          </cell>
          <cell r="C477" t="str">
            <v>T592EBX</v>
          </cell>
          <cell r="D477" t="str">
            <v>T645EBV</v>
          </cell>
          <cell r="E477" t="str">
            <v>SALUM ALLEY SALUM</v>
          </cell>
          <cell r="F477">
            <v>684859149</v>
          </cell>
          <cell r="G477">
            <v>4000903683</v>
          </cell>
          <cell r="H477" t="str">
            <v>TAE669823</v>
          </cell>
          <cell r="I477">
            <v>118345851</v>
          </cell>
          <cell r="J477" t="str">
            <v>Ayoub BENESTA</v>
          </cell>
          <cell r="K477" t="str">
            <v>JUMA ISMAIL</v>
          </cell>
        </row>
        <row r="478">
          <cell r="B478" t="str">
            <v>T308EBX</v>
          </cell>
          <cell r="C478" t="str">
            <v>T914EBY</v>
          </cell>
          <cell r="D478" t="str">
            <v> </v>
          </cell>
          <cell r="E478" t="str">
            <v>SALUM ALLY MAYANGA</v>
          </cell>
          <cell r="F478">
            <v>784654366</v>
          </cell>
          <cell r="G478">
            <v>4000350541</v>
          </cell>
          <cell r="H478" t="str">
            <v>TAE851134</v>
          </cell>
          <cell r="I478">
            <v>104158927</v>
          </cell>
          <cell r="J478" t="str">
            <v>LUSAJO KASUNGA</v>
          </cell>
          <cell r="K478" t="str">
            <v>JUMA ISMAIL</v>
          </cell>
        </row>
        <row r="479">
          <cell r="B479" t="str">
            <v>T678EBX</v>
          </cell>
          <cell r="C479" t="str">
            <v>T279EBZ</v>
          </cell>
          <cell r="D479" t="str">
            <v>T708EBV</v>
          </cell>
          <cell r="E479" t="str">
            <v>SALUM ATHUMANI MSILE</v>
          </cell>
          <cell r="F479"/>
          <cell r="G479">
            <v>4000632046</v>
          </cell>
          <cell r="H479" t="str">
            <v>TAE297375</v>
          </cell>
          <cell r="I479">
            <v>117167747</v>
          </cell>
          <cell r="J479" t="str">
            <v>LUSAJO KASUNGA</v>
          </cell>
          <cell r="K479" t="str">
            <v>JUMA ISMAIL</v>
          </cell>
        </row>
        <row r="480">
          <cell r="B480" t="str">
            <v>T945DSX</v>
          </cell>
          <cell r="C480" t="str">
            <v>T415DTD</v>
          </cell>
          <cell r="D480" t="str">
            <v> </v>
          </cell>
          <cell r="E480" t="str">
            <v>SALUM KITENGE ALLY</v>
          </cell>
          <cell r="F480">
            <v>652245490</v>
          </cell>
          <cell r="G480">
            <v>4000271224</v>
          </cell>
          <cell r="H480" t="str">
            <v>TAE 080172</v>
          </cell>
          <cell r="I480" t="str">
            <v>114-626-732</v>
          </cell>
          <cell r="J480" t="str">
            <v>SADI KIMWAGA</v>
          </cell>
          <cell r="K480" t="str">
            <v>JOSEPH JIRABI</v>
          </cell>
        </row>
        <row r="481">
          <cell r="B481" t="str">
            <v>T794DDS</v>
          </cell>
          <cell r="C481" t="str">
            <v>T489DEJ</v>
          </cell>
          <cell r="D481" t="str">
            <v> </v>
          </cell>
          <cell r="E481" t="str">
            <v>SALUM MGANGA MADENI</v>
          </cell>
          <cell r="F481">
            <v>621850408</v>
          </cell>
          <cell r="G481">
            <v>4000370870</v>
          </cell>
          <cell r="H481" t="str">
            <v>AB1803644</v>
          </cell>
          <cell r="I481" t="str">
            <v>112-525-920</v>
          </cell>
          <cell r="J481" t="str">
            <v>SADI KIMWAGA</v>
          </cell>
          <cell r="K481" t="str">
            <v>JOSEPH JIRABI</v>
          </cell>
        </row>
        <row r="482">
          <cell r="B482" t="str">
            <v>T336EBX</v>
          </cell>
          <cell r="C482" t="str">
            <v>T906EBY</v>
          </cell>
          <cell r="D482" t="str">
            <v> </v>
          </cell>
          <cell r="E482" t="str">
            <v>SALUM MOHAMED NYIRIKA</v>
          </cell>
          <cell r="F482">
            <v>685980307</v>
          </cell>
          <cell r="G482">
            <v>4001345957</v>
          </cell>
          <cell r="H482" t="str">
            <v>TAE655625</v>
          </cell>
          <cell r="I482" t="str">
            <v>114-809-896</v>
          </cell>
          <cell r="J482" t="str">
            <v>Ayoub BENESTA</v>
          </cell>
          <cell r="K482" t="str">
            <v>JUMA ISMAIL</v>
          </cell>
        </row>
        <row r="483">
          <cell r="B483" t="str">
            <v>T577DTQ</v>
          </cell>
          <cell r="C483" t="str">
            <v>T812DTQ</v>
          </cell>
          <cell r="D483" t="str">
            <v xml:space="preserve">  </v>
          </cell>
          <cell r="E483" t="str">
            <v>OSCAR NASHON NGOWI</v>
          </cell>
          <cell r="F483">
            <v>763617640</v>
          </cell>
          <cell r="G483">
            <v>4000652921</v>
          </cell>
          <cell r="H483" t="str">
            <v>TAE884583</v>
          </cell>
          <cell r="I483" t="e">
            <v>#N/A</v>
          </cell>
          <cell r="J483" t="str">
            <v>PLASDUS MAHUMBA</v>
          </cell>
          <cell r="K483" t="str">
            <v>ABDRULRAHIMAN</v>
          </cell>
        </row>
        <row r="484">
          <cell r="B484" t="str">
            <v>T168EBX</v>
          </cell>
          <cell r="C484" t="str">
            <v>T579EBX</v>
          </cell>
          <cell r="D484" t="str">
            <v>T637EBV</v>
          </cell>
          <cell r="E484" t="str">
            <v>SALUMU HAIFAI LIKOKO</v>
          </cell>
          <cell r="F484">
            <v>782540065</v>
          </cell>
          <cell r="G484">
            <v>4000513385</v>
          </cell>
          <cell r="H484" t="str">
            <v>TAE535504</v>
          </cell>
          <cell r="I484" t="str">
            <v>113-372-206</v>
          </cell>
          <cell r="J484" t="str">
            <v>Ayoub BENESTA</v>
          </cell>
          <cell r="K484" t="str">
            <v>JUMA ISMAIL</v>
          </cell>
        </row>
        <row r="485">
          <cell r="B485" t="str">
            <v>T952DSX</v>
          </cell>
          <cell r="C485" t="str">
            <v>T396DTD</v>
          </cell>
          <cell r="D485" t="str">
            <v> </v>
          </cell>
          <cell r="E485" t="str">
            <v>SAMSONI JOSEPH USEGA</v>
          </cell>
          <cell r="F485" t="str">
            <v>713153026/0694091313</v>
          </cell>
          <cell r="G485">
            <v>400160663</v>
          </cell>
          <cell r="H485" t="str">
            <v>AB1474878</v>
          </cell>
          <cell r="I485" t="str">
            <v>121-305-011</v>
          </cell>
          <cell r="J485" t="str">
            <v>Ayoub BENESTA</v>
          </cell>
          <cell r="K485" t="str">
            <v>JUMA ISMAIL</v>
          </cell>
        </row>
        <row r="486">
          <cell r="B486" t="str">
            <v>T641DHL</v>
          </cell>
          <cell r="C486" t="str">
            <v>T981DHL</v>
          </cell>
          <cell r="D486" t="str">
            <v> </v>
          </cell>
          <cell r="E486" t="str">
            <v>SAMWEL KIBANGA SAMSEY</v>
          </cell>
          <cell r="F486">
            <v>784770566</v>
          </cell>
          <cell r="G486">
            <v>4000327735</v>
          </cell>
          <cell r="H486" t="str">
            <v>AB10014130</v>
          </cell>
          <cell r="I486" t="e">
            <v>#N/A</v>
          </cell>
          <cell r="J486" t="str">
            <v>Martha GOLODI</v>
          </cell>
          <cell r="K486" t="str">
            <v>JOSEPH JIRABI</v>
          </cell>
        </row>
        <row r="487">
          <cell r="B487" t="str">
            <v>T651DTQ</v>
          </cell>
          <cell r="C487" t="str">
            <v>T779DTQ</v>
          </cell>
          <cell r="D487" t="str">
            <v> </v>
          </cell>
          <cell r="E487" t="str">
            <v>SAMWEL KIBANGA SEMSEY</v>
          </cell>
          <cell r="F487">
            <v>4000327735</v>
          </cell>
          <cell r="G487">
            <v>784770566</v>
          </cell>
          <cell r="H487" t="str">
            <v>TAE919414</v>
          </cell>
          <cell r="I487" t="e">
            <v>#N/A</v>
          </cell>
          <cell r="J487" t="str">
            <v>Martha GOLODI</v>
          </cell>
          <cell r="K487" t="str">
            <v>JOSEPH JIRABI</v>
          </cell>
        </row>
        <row r="488">
          <cell r="B488" t="str">
            <v>T939EBW</v>
          </cell>
          <cell r="C488" t="str">
            <v>T516EBW</v>
          </cell>
          <cell r="D488" t="str">
            <v>T524EBV</v>
          </cell>
          <cell r="E488" t="str">
            <v>SEIF AMARY HAMAD</v>
          </cell>
          <cell r="F488">
            <v>688445506</v>
          </cell>
          <cell r="G488">
            <v>4001684284</v>
          </cell>
          <cell r="H488" t="str">
            <v>TAE652059</v>
          </cell>
          <cell r="I488" t="str">
            <v>121-656-582</v>
          </cell>
          <cell r="J488" t="str">
            <v>IRENE SHIJA</v>
          </cell>
          <cell r="K488" t="str">
            <v>ABDRULRAHIMAN</v>
          </cell>
        </row>
        <row r="489">
          <cell r="B489" t="str">
            <v>T817EBY</v>
          </cell>
          <cell r="C489" t="str">
            <v>T440EBW</v>
          </cell>
          <cell r="D489" t="str">
            <v>T649EBV</v>
          </cell>
          <cell r="E489" t="str">
            <v>SEIF HAMISI CHILUMBA</v>
          </cell>
          <cell r="F489">
            <v>713636494</v>
          </cell>
          <cell r="G489">
            <v>4003025781</v>
          </cell>
          <cell r="H489" t="str">
            <v>TAE266593</v>
          </cell>
          <cell r="I489" t="e">
            <v>#N/A</v>
          </cell>
          <cell r="J489" t="str">
            <v>LUSAJO KASUNGA</v>
          </cell>
          <cell r="K489" t="str">
            <v>JUMA ISMAIL</v>
          </cell>
        </row>
        <row r="490">
          <cell r="B490" t="str">
            <v>T365DHG</v>
          </cell>
          <cell r="C490" t="str">
            <v>T916DHG</v>
          </cell>
          <cell r="D490" t="str">
            <v>T996DVQ</v>
          </cell>
          <cell r="E490" t="str">
            <v>SEIF SAID MOHAMED</v>
          </cell>
          <cell r="F490">
            <v>789056871</v>
          </cell>
          <cell r="G490">
            <v>4000407495</v>
          </cell>
          <cell r="H490" t="str">
            <v>TAE771376</v>
          </cell>
          <cell r="I490" t="e">
            <v>#N/A</v>
          </cell>
          <cell r="J490" t="str">
            <v>LUSAJO KASUNGA</v>
          </cell>
          <cell r="K490" t="str">
            <v>JUMA ISMAIL</v>
          </cell>
        </row>
        <row r="491">
          <cell r="B491" t="str">
            <v>T954DSX</v>
          </cell>
          <cell r="C491" t="str">
            <v>T421DTD</v>
          </cell>
          <cell r="D491" t="str">
            <v> </v>
          </cell>
          <cell r="E491" t="str">
            <v>SELEIMANI MNGODO  SELEMAINI</v>
          </cell>
          <cell r="F491">
            <v>715253243</v>
          </cell>
          <cell r="G491">
            <v>4001419910</v>
          </cell>
          <cell r="H491" t="str">
            <v>TAE606442</v>
          </cell>
          <cell r="I491" t="e">
            <v>#N/A</v>
          </cell>
          <cell r="J491" t="str">
            <v>LUSAJO KASUNGA</v>
          </cell>
          <cell r="K491" t="str">
            <v>JUMA ISMAIL</v>
          </cell>
        </row>
        <row r="492">
          <cell r="B492" t="str">
            <v>T732DYR</v>
          </cell>
          <cell r="C492" t="str">
            <v>T833DYT</v>
          </cell>
          <cell r="D492" t="str">
            <v> </v>
          </cell>
          <cell r="E492" t="str">
            <v>SELEMANI SHARUA SELEMANI</v>
          </cell>
          <cell r="F492">
            <v>764781313</v>
          </cell>
          <cell r="G492">
            <v>4001042782</v>
          </cell>
          <cell r="H492" t="str">
            <v>TAE676822</v>
          </cell>
          <cell r="I492" t="str">
            <v>118902-300</v>
          </cell>
          <cell r="J492" t="str">
            <v>LUSAJO KASUNGA</v>
          </cell>
          <cell r="K492" t="str">
            <v>JUMA ISMAIL</v>
          </cell>
        </row>
        <row r="493">
          <cell r="B493" t="str">
            <v>T491DYR</v>
          </cell>
          <cell r="C493" t="str">
            <v>T813DYT</v>
          </cell>
          <cell r="D493" t="str">
            <v> </v>
          </cell>
          <cell r="E493" t="str">
            <v>SHABANI ANTONI RITTE</v>
          </cell>
          <cell r="F493">
            <v>763563442</v>
          </cell>
          <cell r="G493">
            <v>4000639534</v>
          </cell>
          <cell r="H493" t="str">
            <v>TAE675687</v>
          </cell>
          <cell r="I493" t="e">
            <v>#N/A</v>
          </cell>
          <cell r="J493" t="str">
            <v>SADI KIMWAGA</v>
          </cell>
          <cell r="K493" t="str">
            <v>JOSEPH JIRABI</v>
          </cell>
        </row>
        <row r="494">
          <cell r="B494" t="str">
            <v>T799EBW</v>
          </cell>
          <cell r="C494" t="str">
            <v>T352ECH</v>
          </cell>
          <cell r="D494" t="str">
            <v>T281EBW</v>
          </cell>
          <cell r="E494" t="str">
            <v>SHABANI HAMISI MRISHO</v>
          </cell>
          <cell r="F494">
            <v>787301718</v>
          </cell>
          <cell r="G494">
            <v>4000374761</v>
          </cell>
          <cell r="H494" t="str">
            <v>TAE609921</v>
          </cell>
          <cell r="I494">
            <v>115775693</v>
          </cell>
          <cell r="J494" t="str">
            <v>IRENE SHIJA</v>
          </cell>
          <cell r="K494" t="str">
            <v>ABDRULRAHIMAN</v>
          </cell>
        </row>
        <row r="495">
          <cell r="B495" t="str">
            <v>T955EBW</v>
          </cell>
          <cell r="C495" t="str">
            <v>T449EBW</v>
          </cell>
          <cell r="D495" t="str">
            <v>T579EBV</v>
          </cell>
          <cell r="E495" t="str">
            <v>SHABANI HARUNA SEMENTA</v>
          </cell>
          <cell r="F495">
            <v>789535371</v>
          </cell>
          <cell r="G495">
            <v>4001409500</v>
          </cell>
          <cell r="H495" t="str">
            <v>TAE693839</v>
          </cell>
          <cell r="I495" t="e">
            <v>#N/A</v>
          </cell>
          <cell r="J495" t="str">
            <v>IRENE SHIJA</v>
          </cell>
          <cell r="K495" t="str">
            <v>ABDRULRAHIMAN</v>
          </cell>
        </row>
        <row r="496">
          <cell r="B496" t="str">
            <v>T364DHG</v>
          </cell>
          <cell r="C496" t="str">
            <v>T939DDJ</v>
          </cell>
          <cell r="D496" t="str">
            <v> </v>
          </cell>
          <cell r="E496" t="str">
            <v>SHABANI KHALID NONGWA</v>
          </cell>
          <cell r="F496">
            <v>713493482</v>
          </cell>
          <cell r="G496">
            <v>4001247559</v>
          </cell>
          <cell r="H496" t="str">
            <v>TAE467283</v>
          </cell>
          <cell r="I496" t="str">
            <v>179-444-985</v>
          </cell>
          <cell r="J496" t="str">
            <v>Ayoub BENESTA</v>
          </cell>
          <cell r="K496" t="str">
            <v>JUMA ISMAIL</v>
          </cell>
        </row>
        <row r="497">
          <cell r="B497" t="str">
            <v>T584DTQ</v>
          </cell>
          <cell r="C497" t="str">
            <v>T993DTQ</v>
          </cell>
          <cell r="D497" t="str">
            <v> </v>
          </cell>
          <cell r="E497" t="str">
            <v>SHABANI KHALID NONGWA</v>
          </cell>
          <cell r="F497">
            <v>713493482</v>
          </cell>
          <cell r="G497">
            <v>4001247559</v>
          </cell>
          <cell r="H497" t="str">
            <v>TAE467283</v>
          </cell>
          <cell r="I497" t="str">
            <v>179-444-985</v>
          </cell>
          <cell r="J497" t="str">
            <v>Ayoub BENESTA</v>
          </cell>
          <cell r="K497" t="str">
            <v>JUMA ISMAIL</v>
          </cell>
        </row>
        <row r="498">
          <cell r="B498" t="str">
            <v>T796DYR</v>
          </cell>
          <cell r="C498" t="str">
            <v>T816DYT</v>
          </cell>
          <cell r="D498" t="str">
            <v> </v>
          </cell>
          <cell r="E498" t="str">
            <v>LEONIDAS KALUMUNA KAGENYI</v>
          </cell>
          <cell r="F498">
            <v>754682812</v>
          </cell>
          <cell r="G498">
            <v>4000188771</v>
          </cell>
          <cell r="H498" t="str">
            <v>TAE319275</v>
          </cell>
          <cell r="I498"/>
          <cell r="J498" t="str">
            <v>LUSAJO KASUNGA</v>
          </cell>
          <cell r="K498" t="str">
            <v>JUMA ISMAIL</v>
          </cell>
        </row>
        <row r="499">
          <cell r="B499" t="str">
            <v>T802EBW</v>
          </cell>
          <cell r="C499" t="str">
            <v>T805ECG</v>
          </cell>
          <cell r="D499" t="str">
            <v>T978EBV</v>
          </cell>
          <cell r="E499" t="str">
            <v>SHABANI RAJABU MASHAURI</v>
          </cell>
          <cell r="F499">
            <v>746171742</v>
          </cell>
          <cell r="G499">
            <v>4000318429</v>
          </cell>
          <cell r="H499" t="str">
            <v>TAE529938</v>
          </cell>
          <cell r="I499" t="e">
            <v>#N/A</v>
          </cell>
          <cell r="J499" t="str">
            <v>IRENE SHIJA</v>
          </cell>
          <cell r="K499" t="str">
            <v>ABDRULRAHIMAN</v>
          </cell>
        </row>
        <row r="500">
          <cell r="B500" t="str">
            <v>T416DHG</v>
          </cell>
          <cell r="C500" t="str">
            <v>T970DHL</v>
          </cell>
          <cell r="D500" t="str">
            <v> </v>
          </cell>
          <cell r="E500" t="str">
            <v>SHABANI SUDI KILANGO</v>
          </cell>
          <cell r="F500">
            <v>659454237</v>
          </cell>
          <cell r="G500">
            <v>4000069990</v>
          </cell>
          <cell r="H500" t="str">
            <v>TAE421992</v>
          </cell>
          <cell r="I500" t="str">
            <v>108-125-624</v>
          </cell>
          <cell r="J500" t="str">
            <v>PLASDUS MAHUMBA</v>
          </cell>
          <cell r="K500" t="str">
            <v>ABDRULRAHIMAN</v>
          </cell>
        </row>
        <row r="501">
          <cell r="B501" t="str">
            <v>T711EBX</v>
          </cell>
          <cell r="C501" t="str">
            <v>T234EBZ</v>
          </cell>
          <cell r="D501" t="str">
            <v>T718EBV</v>
          </cell>
          <cell r="E501" t="str">
            <v>SHAIBU SAIDI MKILALU</v>
          </cell>
          <cell r="F501">
            <v>786466880</v>
          </cell>
          <cell r="G501">
            <v>4000254168</v>
          </cell>
          <cell r="H501" t="str">
            <v>TAE325169</v>
          </cell>
          <cell r="I501">
            <v>114491314</v>
          </cell>
          <cell r="J501" t="str">
            <v>LUSAJO KASUNGA</v>
          </cell>
          <cell r="K501" t="str">
            <v>JUMA ISMAIL</v>
          </cell>
        </row>
        <row r="502">
          <cell r="B502" t="str">
            <v>T661DTQ</v>
          </cell>
          <cell r="C502" t="str">
            <v>T818DTQ</v>
          </cell>
          <cell r="D502" t="str">
            <v> </v>
          </cell>
          <cell r="E502" t="str">
            <v>SHOMAR MOHAMED MITAWA</v>
          </cell>
          <cell r="F502">
            <v>735</v>
          </cell>
          <cell r="G502">
            <v>4005892629</v>
          </cell>
          <cell r="H502" t="str">
            <v>TAE 662330</v>
          </cell>
          <cell r="I502" t="e">
            <v>#N/A</v>
          </cell>
          <cell r="J502" t="str">
            <v>PLASDUS MAHUMBA</v>
          </cell>
          <cell r="K502" t="str">
            <v>ABDRULRAHIMAN</v>
          </cell>
        </row>
        <row r="503">
          <cell r="B503" t="str">
            <v>T415DHE</v>
          </cell>
          <cell r="C503" t="str">
            <v>T874DHG</v>
          </cell>
          <cell r="D503" t="str">
            <v> </v>
          </cell>
          <cell r="E503" t="str">
            <v>SHUKURU MARTIN SANGA</v>
          </cell>
          <cell r="F503">
            <v>754267542</v>
          </cell>
          <cell r="G503">
            <v>4000454345</v>
          </cell>
          <cell r="H503" t="str">
            <v>TAE879112</v>
          </cell>
          <cell r="I503" t="str">
            <v>116-410-346</v>
          </cell>
          <cell r="J503" t="str">
            <v>IRENE SHIJA</v>
          </cell>
          <cell r="K503" t="str">
            <v>ABDRULRAHIMAN</v>
          </cell>
        </row>
        <row r="504">
          <cell r="B504" t="str">
            <v>T737EBX</v>
          </cell>
          <cell r="C504" t="str">
            <v>T261EBZ</v>
          </cell>
          <cell r="D504" t="str">
            <v>T677EBV</v>
          </cell>
          <cell r="E504" t="str">
            <v>SHUKURU MOHAMED MAZELA</v>
          </cell>
          <cell r="F504">
            <v>718862752</v>
          </cell>
          <cell r="G504">
            <v>4000679082</v>
          </cell>
          <cell r="H504" t="str">
            <v>TAE287943</v>
          </cell>
          <cell r="I504" t="e">
            <v>#N/A</v>
          </cell>
          <cell r="J504" t="str">
            <v>PLASDUS MAHUMBA</v>
          </cell>
          <cell r="K504" t="str">
            <v>ABDRULRAHIMAN</v>
          </cell>
        </row>
        <row r="505">
          <cell r="B505" t="str">
            <v>T910EBW</v>
          </cell>
          <cell r="C505" t="str">
            <v>T565EBX</v>
          </cell>
          <cell r="D505" t="str">
            <v>T667EBV</v>
          </cell>
          <cell r="E505" t="str">
            <v>SIRAJI YAHAYA SALIM</v>
          </cell>
          <cell r="F505">
            <v>755557363</v>
          </cell>
          <cell r="G505">
            <v>4000212442</v>
          </cell>
          <cell r="H505" t="str">
            <v>TAE304003</v>
          </cell>
          <cell r="I505" t="e">
            <v>#N/A</v>
          </cell>
          <cell r="J505" t="str">
            <v>Martha GOLODI</v>
          </cell>
          <cell r="K505" t="str">
            <v>JOSEPH JIRABI</v>
          </cell>
        </row>
        <row r="506">
          <cell r="B506" t="str">
            <v>T561DYR</v>
          </cell>
          <cell r="C506" t="str">
            <v>T406DAK</v>
          </cell>
          <cell r="D506" t="str">
            <v> </v>
          </cell>
          <cell r="E506" t="str">
            <v>STAN ENSON LULANDALA</v>
          </cell>
          <cell r="F506">
            <v>788156661</v>
          </cell>
          <cell r="G506">
            <v>4000369760</v>
          </cell>
          <cell r="H506" t="str">
            <v>TAE642152</v>
          </cell>
          <cell r="I506" t="str">
            <v>115-734-016</v>
          </cell>
          <cell r="J506" t="str">
            <v>Ayoub BENESTA</v>
          </cell>
          <cell r="K506" t="str">
            <v>JUMA ISMAIL</v>
          </cell>
        </row>
        <row r="507">
          <cell r="B507" t="str">
            <v>T388ECN</v>
          </cell>
          <cell r="C507" t="str">
            <v>T799ECG</v>
          </cell>
          <cell r="D507" t="str">
            <v>T675EBV</v>
          </cell>
          <cell r="E507" t="str">
            <v>STANLEY EVANS MABWETE</v>
          </cell>
          <cell r="F507">
            <v>710758027</v>
          </cell>
          <cell r="G507">
            <v>4003060302</v>
          </cell>
          <cell r="H507" t="str">
            <v>TAE356983</v>
          </cell>
          <cell r="I507" t="e">
            <v>#N/A</v>
          </cell>
          <cell r="J507" t="str">
            <v>Martha GOLODI</v>
          </cell>
          <cell r="K507" t="str">
            <v>JOSEPH JIRABI</v>
          </cell>
        </row>
        <row r="508">
          <cell r="B508" t="str">
            <v>T720DYR</v>
          </cell>
          <cell r="C508" t="str">
            <v>T821DYT</v>
          </cell>
          <cell r="D508" t="str">
            <v> </v>
          </cell>
          <cell r="E508" t="str">
            <v>STANLEY SAIMON MLOGANZALA</v>
          </cell>
          <cell r="F508">
            <v>766227106</v>
          </cell>
          <cell r="G508">
            <v>4001437333</v>
          </cell>
          <cell r="H508" t="str">
            <v>TAE681313</v>
          </cell>
          <cell r="I508">
            <v>118097327</v>
          </cell>
          <cell r="J508" t="str">
            <v>PLASDUS MAHUMBA</v>
          </cell>
          <cell r="K508" t="str">
            <v>ABDRULRAHIMAN</v>
          </cell>
        </row>
        <row r="509">
          <cell r="B509" t="str">
            <v>T422DHE</v>
          </cell>
          <cell r="C509" t="str">
            <v>T878DEU</v>
          </cell>
          <cell r="D509" t="str">
            <v> </v>
          </cell>
          <cell r="E509" t="str">
            <v>SHABANI SALUM ABDALLAH</v>
          </cell>
          <cell r="F509">
            <v>655492223</v>
          </cell>
          <cell r="G509">
            <v>4002603476</v>
          </cell>
          <cell r="H509" t="str">
            <v>TAE896961</v>
          </cell>
          <cell r="I509"/>
          <cell r="J509" t="str">
            <v>IRENE SHIJA</v>
          </cell>
          <cell r="K509" t="str">
            <v>ABDRULRAHIMAN</v>
          </cell>
        </row>
        <row r="510">
          <cell r="B510" t="str">
            <v>T384ECN</v>
          </cell>
          <cell r="C510" t="str">
            <v>T801ECG</v>
          </cell>
          <cell r="D510" t="str">
            <v>T315EBW</v>
          </cell>
          <cell r="E510" t="str">
            <v>STEPHEN JOHN NGOMALE</v>
          </cell>
          <cell r="F510">
            <v>655492223</v>
          </cell>
          <cell r="G510">
            <v>4000775435</v>
          </cell>
          <cell r="H510" t="str">
            <v>TAE492611</v>
          </cell>
          <cell r="I510" t="str">
            <v>116-231-492</v>
          </cell>
          <cell r="J510" t="str">
            <v>Ayoub BENESTA</v>
          </cell>
          <cell r="K510" t="str">
            <v>JUMA ISMAIL</v>
          </cell>
        </row>
        <row r="511">
          <cell r="B511" t="str">
            <v>T270DDJ</v>
          </cell>
          <cell r="C511" t="str">
            <v>T937DDJ</v>
          </cell>
          <cell r="D511" t="str">
            <v> </v>
          </cell>
          <cell r="E511" t="str">
            <v>ADEN FREDRICK LAWRANCE</v>
          </cell>
          <cell r="F511"/>
          <cell r="G511"/>
          <cell r="H511"/>
          <cell r="I511"/>
          <cell r="J511" t="str">
            <v>SADI KIMWAGA</v>
          </cell>
          <cell r="K511" t="str">
            <v>JOSEPH JIRABI</v>
          </cell>
        </row>
        <row r="512">
          <cell r="B512" t="str">
            <v>T403ECN</v>
          </cell>
          <cell r="C512" t="str">
            <v>T785ECG</v>
          </cell>
          <cell r="D512" t="str">
            <v>T969EBV</v>
          </cell>
          <cell r="E512" t="str">
            <v>SULEIMAN AWADHI SALIM</v>
          </cell>
          <cell r="F512">
            <v>713541622</v>
          </cell>
          <cell r="G512">
            <v>4000307148</v>
          </cell>
          <cell r="H512" t="str">
            <v>TAE793429</v>
          </cell>
          <cell r="I512" t="e">
            <v>#N/A</v>
          </cell>
          <cell r="J512" t="str">
            <v>LUSAJO KASUNGA</v>
          </cell>
          <cell r="K512" t="str">
            <v>JUMA ISMAIL</v>
          </cell>
        </row>
        <row r="513">
          <cell r="B513" t="str">
            <v>T858EBY</v>
          </cell>
          <cell r="C513" t="str">
            <v>T537EBY</v>
          </cell>
          <cell r="D513" t="str">
            <v>T656EBV</v>
          </cell>
          <cell r="E513" t="str">
            <v>SULEIMAN RAMADHANI KILIMWENGU</v>
          </cell>
          <cell r="F513">
            <v>715944245</v>
          </cell>
          <cell r="G513">
            <v>4000407846</v>
          </cell>
          <cell r="H513" t="str">
            <v>TAE364845</v>
          </cell>
          <cell r="I513" t="e">
            <v>#N/A</v>
          </cell>
          <cell r="J513" t="str">
            <v>SADI KIMWAGA</v>
          </cell>
          <cell r="K513" t="str">
            <v>JOSEPH JIRABI</v>
          </cell>
        </row>
        <row r="514">
          <cell r="B514" t="str">
            <v>T250EBX</v>
          </cell>
          <cell r="C514" t="str">
            <v>T927EBY</v>
          </cell>
          <cell r="D514" t="str">
            <v> </v>
          </cell>
          <cell r="E514" t="str">
            <v>FRANCIS ERNEST KIBULA</v>
          </cell>
          <cell r="F514">
            <v>715452111</v>
          </cell>
          <cell r="G514">
            <v>4000074149</v>
          </cell>
          <cell r="H514" t="str">
            <v>TAE491875</v>
          </cell>
          <cell r="I514" t="e">
            <v>#N/A</v>
          </cell>
          <cell r="J514" t="str">
            <v>IRENE SHIJA</v>
          </cell>
          <cell r="K514" t="str">
            <v>ABDRULRAHIMAN</v>
          </cell>
        </row>
        <row r="515">
          <cell r="B515" t="str">
            <v>T755EBX</v>
          </cell>
          <cell r="C515" t="str">
            <v>T552EBY</v>
          </cell>
          <cell r="D515" t="str">
            <v>T980EBV</v>
          </cell>
          <cell r="E515" t="str">
            <v>SUNDAY EDWIN SOKA</v>
          </cell>
          <cell r="F515">
            <v>754081330</v>
          </cell>
          <cell r="G515">
            <v>4000218271</v>
          </cell>
          <cell r="H515" t="str">
            <v>TAE342801</v>
          </cell>
          <cell r="I515">
            <v>114083461</v>
          </cell>
          <cell r="J515" t="str">
            <v>PLASDUS MAHUMBA</v>
          </cell>
          <cell r="K515" t="str">
            <v>ABDRULRAHIMAN</v>
          </cell>
        </row>
        <row r="516">
          <cell r="B516" t="str">
            <v>T715DEB</v>
          </cell>
          <cell r="C516" t="str">
            <v>T485DDC</v>
          </cell>
          <cell r="D516" t="str">
            <v> </v>
          </cell>
          <cell r="E516"/>
          <cell r="F516"/>
          <cell r="G516"/>
          <cell r="H516"/>
          <cell r="I516"/>
          <cell r="J516" t="str">
            <v>LUSAJO KASUNGA</v>
          </cell>
          <cell r="K516" t="str">
            <v>JUMA ISMAIL</v>
          </cell>
        </row>
        <row r="517">
          <cell r="B517" t="str">
            <v>T909EBW</v>
          </cell>
          <cell r="C517" t="str">
            <v>T430EBW</v>
          </cell>
          <cell r="D517" t="str">
            <v>T695EBV</v>
          </cell>
          <cell r="E517" t="str">
            <v>SWEETBERT RUKONGE MWEMEZI</v>
          </cell>
          <cell r="F517">
            <v>765758820</v>
          </cell>
          <cell r="G517">
            <v>4000343636</v>
          </cell>
          <cell r="H517" t="str">
            <v>TAE464119</v>
          </cell>
          <cell r="I517">
            <v>115434810</v>
          </cell>
          <cell r="J517" t="str">
            <v>LUSAJO KASUNGA</v>
          </cell>
          <cell r="K517" t="str">
            <v>JUMA ISMAIL</v>
          </cell>
        </row>
        <row r="518">
          <cell r="B518" t="str">
            <v>T866EBY</v>
          </cell>
          <cell r="C518" t="str">
            <v>T429EBW</v>
          </cell>
          <cell r="D518" t="str">
            <v>T219EBV</v>
          </cell>
          <cell r="E518" t="str">
            <v>TADEY CRISTIAN MALEKELA</v>
          </cell>
          <cell r="F518">
            <v>657161112</v>
          </cell>
          <cell r="G518">
            <v>4001070416</v>
          </cell>
          <cell r="H518" t="str">
            <v>TAE679484</v>
          </cell>
          <cell r="I518">
            <v>113393106</v>
          </cell>
          <cell r="J518" t="str">
            <v>Martha GOLODI</v>
          </cell>
          <cell r="K518" t="str">
            <v>JOSEPH JIRABI</v>
          </cell>
        </row>
        <row r="519">
          <cell r="B519" t="str">
            <v>T336DHG</v>
          </cell>
          <cell r="C519" t="str">
            <v>T870DHG</v>
          </cell>
          <cell r="D519" t="str">
            <v> </v>
          </cell>
          <cell r="E519"/>
          <cell r="F519"/>
          <cell r="G519">
            <v>4006299125</v>
          </cell>
          <cell r="H519" t="str">
            <v>TAE659336</v>
          </cell>
          <cell r="I519" t="str">
            <v>143-449-823</v>
          </cell>
          <cell r="J519" t="str">
            <v>PLASDUS MAHUMBA</v>
          </cell>
          <cell r="K519" t="str">
            <v>ABDRULRAHIMAN</v>
          </cell>
        </row>
        <row r="520">
          <cell r="B520" t="str">
            <v>T383ECN</v>
          </cell>
          <cell r="C520" t="str">
            <v>T797ECG</v>
          </cell>
          <cell r="D520" t="str">
            <v>T955EBV</v>
          </cell>
          <cell r="E520" t="str">
            <v>MATHIAS DEOGRATUS LYIMO</v>
          </cell>
          <cell r="F520">
            <v>762187251</v>
          </cell>
          <cell r="G520">
            <v>4000352760</v>
          </cell>
          <cell r="H520" t="str">
            <v>TAE200514</v>
          </cell>
          <cell r="I520">
            <v>115558161</v>
          </cell>
          <cell r="J520" t="str">
            <v>Ayoub BENESTA</v>
          </cell>
          <cell r="K520" t="str">
            <v>JUMA ISMAIL</v>
          </cell>
        </row>
        <row r="521">
          <cell r="B521" t="str">
            <v>T798DYR</v>
          </cell>
          <cell r="C521" t="str">
            <v>T798DYT</v>
          </cell>
          <cell r="D521" t="str">
            <v> </v>
          </cell>
          <cell r="E521" t="str">
            <v>THANK AKIBA MASHINENE</v>
          </cell>
          <cell r="F521">
            <v>786725617</v>
          </cell>
          <cell r="G521">
            <v>4005699079</v>
          </cell>
          <cell r="H521" t="str">
            <v>TAE698104</v>
          </cell>
          <cell r="I521" t="e">
            <v>#N/A</v>
          </cell>
          <cell r="J521" t="str">
            <v>IRENE SHIJA</v>
          </cell>
          <cell r="K521" t="str">
            <v>ABDRULRAHIMAN</v>
          </cell>
        </row>
        <row r="522">
          <cell r="B522" t="str">
            <v>T762DYR</v>
          </cell>
          <cell r="C522" t="str">
            <v>T939DYT</v>
          </cell>
          <cell r="D522" t="str">
            <v> </v>
          </cell>
          <cell r="E522" t="str">
            <v>THOMAS KITILYA WEBO</v>
          </cell>
          <cell r="F522">
            <v>715000022</v>
          </cell>
          <cell r="G522">
            <v>4000125600</v>
          </cell>
          <cell r="H522" t="str">
            <v>TAE405809</v>
          </cell>
          <cell r="I522" t="str">
            <v>112-931-724</v>
          </cell>
          <cell r="J522" t="str">
            <v>IRENE SHIJA</v>
          </cell>
          <cell r="K522" t="str">
            <v>ABDRULRAHIMAN</v>
          </cell>
        </row>
        <row r="523">
          <cell r="B523" t="str">
            <v>T586DTQ</v>
          </cell>
          <cell r="C523" t="str">
            <v>T817DTQ</v>
          </cell>
          <cell r="D523" t="str">
            <v> </v>
          </cell>
          <cell r="E523" t="str">
            <v xml:space="preserve">THOMASI GEORGE MASELE </v>
          </cell>
          <cell r="F523">
            <v>672609297</v>
          </cell>
          <cell r="G523">
            <v>4006351185</v>
          </cell>
          <cell r="H523" t="str">
            <v>TAE689512</v>
          </cell>
          <cell r="I523" t="e">
            <v>#N/A</v>
          </cell>
          <cell r="J523" t="str">
            <v>PLASDUS MAHUMBA</v>
          </cell>
          <cell r="K523" t="str">
            <v>ABDRULRAHIMAN</v>
          </cell>
        </row>
        <row r="524">
          <cell r="B524" t="str">
            <v>T890EBW</v>
          </cell>
          <cell r="C524" t="str">
            <v>T550EBY</v>
          </cell>
          <cell r="D524" t="str">
            <v>T930EBV</v>
          </cell>
          <cell r="E524" t="str">
            <v>TWAHIR RASHID MSAKA</v>
          </cell>
          <cell r="F524">
            <v>763260621</v>
          </cell>
          <cell r="G524">
            <v>4002891820</v>
          </cell>
          <cell r="H524" t="str">
            <v>TAE603902</v>
          </cell>
          <cell r="I524" t="str">
            <v>126-898-231</v>
          </cell>
          <cell r="J524" t="str">
            <v>SADI KIMWAGA</v>
          </cell>
          <cell r="K524" t="str">
            <v>JOSEPH JIRABI</v>
          </cell>
        </row>
        <row r="525">
          <cell r="B525" t="str">
            <v>T768EBW</v>
          </cell>
          <cell r="C525" t="str">
            <v>T811ECG</v>
          </cell>
          <cell r="D525" t="str">
            <v>T356EBW</v>
          </cell>
          <cell r="E525" t="str">
            <v>TWALIB SAID KABUMA</v>
          </cell>
          <cell r="F525" t="str">
            <v>0784601945/0653553858</v>
          </cell>
          <cell r="G525">
            <v>4000005909</v>
          </cell>
          <cell r="H525" t="str">
            <v>TAE512948</v>
          </cell>
          <cell r="I525">
            <v>110959451</v>
          </cell>
          <cell r="J525" t="str">
            <v>Ayoub BENESTA</v>
          </cell>
          <cell r="K525" t="str">
            <v>JUMA ISMAIL</v>
          </cell>
        </row>
        <row r="526">
          <cell r="B526" t="str">
            <v>T382ECN</v>
          </cell>
          <cell r="C526" t="str">
            <v>T795ECG</v>
          </cell>
          <cell r="D526" t="str">
            <v>T640EBV</v>
          </cell>
          <cell r="E526" t="str">
            <v>VICENT EDWARD MLOWE</v>
          </cell>
          <cell r="F526">
            <v>767676595</v>
          </cell>
          <cell r="G526">
            <v>4000619016</v>
          </cell>
          <cell r="H526" t="str">
            <v>TAE700008</v>
          </cell>
          <cell r="I526" t="str">
            <v>114-629-650</v>
          </cell>
          <cell r="J526" t="str">
            <v>SADI KIMWAGA</v>
          </cell>
          <cell r="K526" t="str">
            <v>JOSEPH JIRABI</v>
          </cell>
        </row>
        <row r="527">
          <cell r="B527" t="str">
            <v>T716EBX</v>
          </cell>
          <cell r="C527" t="str">
            <v>T670EBY</v>
          </cell>
          <cell r="D527" t="str">
            <v>T698EBV</v>
          </cell>
          <cell r="E527" t="str">
            <v>WILLIAM JIBABA KADUMA</v>
          </cell>
          <cell r="F527">
            <v>788162164</v>
          </cell>
          <cell r="G527">
            <v>4000414176</v>
          </cell>
          <cell r="H527" t="str">
            <v>TAE826876</v>
          </cell>
          <cell r="I527">
            <v>115839578</v>
          </cell>
          <cell r="J527" t="str">
            <v>LUSAJO KASUNGA</v>
          </cell>
          <cell r="K527" t="str">
            <v>JUMA ISMAIL</v>
          </cell>
        </row>
        <row r="528">
          <cell r="B528" t="str">
            <v>T261EBX</v>
          </cell>
          <cell r="C528" t="str">
            <v>T932EBY</v>
          </cell>
          <cell r="D528" t="str">
            <v> </v>
          </cell>
          <cell r="E528" t="str">
            <v>WILLIAM MATHIAS NJAMA</v>
          </cell>
          <cell r="F528" t="str">
            <v>0626854609/0747471635</v>
          </cell>
          <cell r="G528">
            <v>4001068945</v>
          </cell>
          <cell r="H528" t="str">
            <v>TAE513530</v>
          </cell>
          <cell r="I528"/>
          <cell r="J528" t="str">
            <v>LUSAJO KASUNGA</v>
          </cell>
          <cell r="K528" t="str">
            <v>JUMA ISMAIL</v>
          </cell>
        </row>
        <row r="529">
          <cell r="B529" t="str">
            <v>T286EBY</v>
          </cell>
          <cell r="C529" t="str">
            <v>T424EBW</v>
          </cell>
          <cell r="D529" t="str">
            <v>T145EBW</v>
          </cell>
          <cell r="E529" t="str">
            <v>WILLIAM RICHARD MACK</v>
          </cell>
          <cell r="F529">
            <v>687975791</v>
          </cell>
          <cell r="G529">
            <v>400361446</v>
          </cell>
          <cell r="H529" t="str">
            <v>TAE680045</v>
          </cell>
          <cell r="I529">
            <v>112867872</v>
          </cell>
          <cell r="J529" t="str">
            <v>PLASDUS MAHUMBA</v>
          </cell>
          <cell r="K529" t="str">
            <v>ABDRULRAHIMAN</v>
          </cell>
        </row>
        <row r="530">
          <cell r="B530" t="str">
            <v>T899EBW</v>
          </cell>
          <cell r="C530" t="str">
            <v>T532EBY</v>
          </cell>
          <cell r="D530" t="str">
            <v>T295EBW</v>
          </cell>
          <cell r="E530" t="str">
            <v>YAHAYA MWINCHUMU ZUBERI</v>
          </cell>
          <cell r="F530">
            <v>744506881</v>
          </cell>
          <cell r="G530">
            <v>4000340259</v>
          </cell>
          <cell r="H530" t="str">
            <v>TAE623469</v>
          </cell>
          <cell r="I530">
            <v>115384325</v>
          </cell>
          <cell r="J530" t="str">
            <v>Martha GOLODI</v>
          </cell>
          <cell r="K530" t="str">
            <v>JOSEPH JIRABI</v>
          </cell>
        </row>
        <row r="531">
          <cell r="B531" t="str">
            <v>T337EBX</v>
          </cell>
          <cell r="C531" t="str">
            <v>T597EBX</v>
          </cell>
          <cell r="D531" t="str">
            <v>T648EBV</v>
          </cell>
          <cell r="E531" t="str">
            <v>YAHYA HASSANI ADAM</v>
          </cell>
          <cell r="F531" t="str">
            <v>0782272030/0713300443</v>
          </cell>
          <cell r="G531">
            <v>4000356629</v>
          </cell>
          <cell r="H531" t="str">
            <v>TAE 514425</v>
          </cell>
          <cell r="I531" t="e">
            <v>#N/A</v>
          </cell>
          <cell r="J531" t="str">
            <v>Martha GOLODI</v>
          </cell>
          <cell r="K531" t="str">
            <v>JOSEPH JIRABI</v>
          </cell>
        </row>
        <row r="532">
          <cell r="B532" t="str">
            <v>T797DYR</v>
          </cell>
          <cell r="C532" t="str">
            <v>T507DDC</v>
          </cell>
          <cell r="D532" t="str">
            <v> </v>
          </cell>
          <cell r="E532" t="str">
            <v>YASIN BAKARI NYALU</v>
          </cell>
          <cell r="F532">
            <v>718389939</v>
          </cell>
          <cell r="G532">
            <v>4005256130</v>
          </cell>
          <cell r="H532" t="str">
            <v>TAE563707</v>
          </cell>
          <cell r="I532" t="str">
            <v>137-423-243</v>
          </cell>
          <cell r="J532" t="str">
            <v>Ayoub BENESTA</v>
          </cell>
          <cell r="K532" t="str">
            <v>JUMA ISMAIL</v>
          </cell>
        </row>
        <row r="533">
          <cell r="B533" t="str">
            <v>T699EBX</v>
          </cell>
          <cell r="C533" t="str">
            <v>T205EBZ</v>
          </cell>
          <cell r="D533" t="str">
            <v>T982EBV</v>
          </cell>
          <cell r="E533" t="str">
            <v>ILIASA YUSUPH SHEKIHIYO</v>
          </cell>
          <cell r="F533">
            <v>784288560</v>
          </cell>
          <cell r="G533">
            <v>4000076401</v>
          </cell>
          <cell r="H533" t="str">
            <v>TAE727649</v>
          </cell>
          <cell r="I533" t="e">
            <v>#N/A</v>
          </cell>
          <cell r="J533" t="str">
            <v>LUSAJO KASUNGA</v>
          </cell>
          <cell r="K533" t="str">
            <v>JUMA ISMAIL</v>
          </cell>
        </row>
        <row r="534">
          <cell r="B534" t="str">
            <v>T950EBW</v>
          </cell>
          <cell r="C534" t="str">
            <v>T512EBW</v>
          </cell>
          <cell r="D534" t="str">
            <v>T215EBV</v>
          </cell>
          <cell r="E534" t="str">
            <v>YUNUS ABDILLAH SULEIMAN</v>
          </cell>
          <cell r="F534">
            <v>683000193</v>
          </cell>
          <cell r="G534">
            <v>4005135791</v>
          </cell>
          <cell r="H534" t="str">
            <v>TAE494303</v>
          </cell>
          <cell r="I534">
            <v>136700855</v>
          </cell>
          <cell r="J534" t="str">
            <v>Martha GOLODI</v>
          </cell>
          <cell r="K534" t="str">
            <v>JOSEPH JIRABI</v>
          </cell>
        </row>
        <row r="535">
          <cell r="B535" t="str">
            <v>T180EBX</v>
          </cell>
          <cell r="C535" t="str">
            <v>T603EBX</v>
          </cell>
          <cell r="D535" t="str">
            <v>T221EBV</v>
          </cell>
          <cell r="E535" t="str">
            <v>YUSUF ALLY MAWIMBI</v>
          </cell>
          <cell r="F535">
            <v>784580501</v>
          </cell>
          <cell r="G535">
            <v>4000138437</v>
          </cell>
          <cell r="H535" t="str">
            <v>TAE651778</v>
          </cell>
          <cell r="I535" t="e">
            <v>#N/A</v>
          </cell>
          <cell r="J535" t="str">
            <v>IRENE SHIJA</v>
          </cell>
          <cell r="K535" t="str">
            <v>ABDRULRAHIMAN</v>
          </cell>
        </row>
        <row r="536">
          <cell r="B536" t="str">
            <v>T331EBX</v>
          </cell>
          <cell r="C536" t="str">
            <v>T909EBY</v>
          </cell>
          <cell r="D536" t="str">
            <v> </v>
          </cell>
          <cell r="E536" t="str">
            <v>YUSUFU  SAMSON NICODEMUS</v>
          </cell>
          <cell r="F536">
            <v>786232923</v>
          </cell>
          <cell r="G536">
            <v>4001163234</v>
          </cell>
          <cell r="H536" t="str">
            <v>TAE679148</v>
          </cell>
          <cell r="I536" t="e">
            <v>#N/A</v>
          </cell>
          <cell r="J536" t="str">
            <v>LUSAJO KASUNGA</v>
          </cell>
          <cell r="K536" t="str">
            <v>JUMA ISMAIL</v>
          </cell>
        </row>
        <row r="537">
          <cell r="B537" t="str">
            <v>T849EBY</v>
          </cell>
          <cell r="C537" t="str">
            <v>T533EBY</v>
          </cell>
          <cell r="D537" t="str">
            <v>T601EBV</v>
          </cell>
          <cell r="E537" t="str">
            <v>YUSUPH MOHAMEDI NG'ONG'OSI</v>
          </cell>
          <cell r="F537">
            <v>715514706</v>
          </cell>
          <cell r="G537">
            <v>4001193914</v>
          </cell>
          <cell r="H537" t="str">
            <v>TAE181120</v>
          </cell>
          <cell r="I537" t="e">
            <v>#N/A</v>
          </cell>
          <cell r="J537" t="str">
            <v>Martha GOLODI</v>
          </cell>
          <cell r="K537" t="str">
            <v>JOSEPH JIRABI</v>
          </cell>
        </row>
        <row r="538">
          <cell r="B538" t="str">
            <v>T867EBY</v>
          </cell>
          <cell r="C538" t="str">
            <v>T544EBX</v>
          </cell>
          <cell r="D538" t="str">
            <v>T567EBV</v>
          </cell>
          <cell r="E538" t="str">
            <v>YUSUPH SELEMANI SHOO</v>
          </cell>
          <cell r="F538">
            <v>694076104</v>
          </cell>
          <cell r="G538">
            <v>4001571413</v>
          </cell>
          <cell r="H538" t="str">
            <v>TAE676905</v>
          </cell>
          <cell r="I538" t="e">
            <v>#N/A</v>
          </cell>
          <cell r="J538" t="str">
            <v>Martha GOLODI</v>
          </cell>
          <cell r="K538" t="str">
            <v>JOSEPH JIRABI</v>
          </cell>
        </row>
        <row r="539">
          <cell r="B539" t="str">
            <v>T817EBW</v>
          </cell>
          <cell r="C539" t="str">
            <v>T821ECG</v>
          </cell>
          <cell r="D539" t="str">
            <v>T143EBW</v>
          </cell>
          <cell r="E539" t="str">
            <v>YUSUPH ZIAGA SANGA</v>
          </cell>
          <cell r="F539">
            <v>679200719</v>
          </cell>
          <cell r="G539">
            <v>4000298950</v>
          </cell>
          <cell r="H539" t="str">
            <v>TAE522865</v>
          </cell>
          <cell r="I539" t="str">
            <v>114-974-803</v>
          </cell>
          <cell r="J539" t="str">
            <v>PLASDUS MAHUMBA</v>
          </cell>
          <cell r="K539" t="str">
            <v>ABDRULRAHIMAN</v>
          </cell>
        </row>
        <row r="540">
          <cell r="B540" t="str">
            <v>T804EBW</v>
          </cell>
          <cell r="C540" t="str">
            <v>T827ECG</v>
          </cell>
          <cell r="D540" t="str">
            <v>T610EBV</v>
          </cell>
          <cell r="E540" t="str">
            <v>YUSUPHU IBRAHIM MGONGOLWA</v>
          </cell>
          <cell r="F540">
            <v>788474795</v>
          </cell>
          <cell r="G540">
            <v>4001537451</v>
          </cell>
          <cell r="H540" t="str">
            <v>TAE402688</v>
          </cell>
          <cell r="I540" t="e">
            <v>#N/A</v>
          </cell>
          <cell r="J540" t="str">
            <v>IRENE SHIJA</v>
          </cell>
          <cell r="K540" t="str">
            <v>ABDRULRAHIMAN</v>
          </cell>
        </row>
        <row r="541">
          <cell r="B541" t="str">
            <v>T727DYR</v>
          </cell>
          <cell r="C541" t="str">
            <v>T103DYU</v>
          </cell>
          <cell r="D541" t="str">
            <v> </v>
          </cell>
          <cell r="E541" t="str">
            <v>ZACHALIA JOSEPH SHIMBI</v>
          </cell>
          <cell r="F541">
            <v>745934095</v>
          </cell>
          <cell r="G541">
            <v>4005191376</v>
          </cell>
          <cell r="H541" t="str">
            <v>TAE684289</v>
          </cell>
          <cell r="I541" t="e">
            <v>#N/A</v>
          </cell>
          <cell r="J541" t="str">
            <v>PLASDUS MAHUMBA</v>
          </cell>
          <cell r="K541" t="str">
            <v>ABDRULRAHIMAN</v>
          </cell>
        </row>
        <row r="542">
          <cell r="B542" t="str">
            <v>T182EBX</v>
          </cell>
          <cell r="C542" t="str">
            <v>T572EBX</v>
          </cell>
          <cell r="D542" t="str">
            <v>T707EBV</v>
          </cell>
          <cell r="E542" t="str">
            <v>ZAIDI HUSSEIN ATHUMANI</v>
          </cell>
          <cell r="F542" t="str">
            <v>764882104/655550420</v>
          </cell>
          <cell r="G542">
            <v>4000248034</v>
          </cell>
          <cell r="H542" t="str">
            <v>TAE709177</v>
          </cell>
          <cell r="I542">
            <v>114135704</v>
          </cell>
          <cell r="J542" t="str">
            <v>Ayoub BENESTA</v>
          </cell>
          <cell r="K542" t="str">
            <v>JUMA ISMAIL</v>
          </cell>
        </row>
        <row r="543">
          <cell r="B543" t="str">
            <v>T840EBY</v>
          </cell>
          <cell r="C543" t="str">
            <v>T404EBW</v>
          </cell>
          <cell r="D543" t="str">
            <v>T144EBW</v>
          </cell>
          <cell r="E543" t="str">
            <v>ZAKARIA RAJABU KINANA</v>
          </cell>
          <cell r="F543">
            <v>654836363</v>
          </cell>
          <cell r="G543">
            <v>4000581178</v>
          </cell>
          <cell r="H543" t="str">
            <v>TAE607156</v>
          </cell>
          <cell r="I543" t="str">
            <v>114-733-857</v>
          </cell>
          <cell r="J543" t="str">
            <v>PLASDUS MAHUMBA</v>
          </cell>
          <cell r="K543" t="str">
            <v>ABDRULRAHIMAN</v>
          </cell>
        </row>
        <row r="544">
          <cell r="B544" t="str">
            <v>T520EBY</v>
          </cell>
          <cell r="C544" t="str">
            <v>T552EBX</v>
          </cell>
          <cell r="D544" t="str">
            <v>T358EBW</v>
          </cell>
          <cell r="E544" t="str">
            <v>HABIBU SELEMANI NTILLA</v>
          </cell>
          <cell r="F544">
            <v>746777471</v>
          </cell>
          <cell r="G544">
            <v>4000035176</v>
          </cell>
          <cell r="H544" t="str">
            <v>TAE354419</v>
          </cell>
          <cell r="I544"/>
          <cell r="J544" t="str">
            <v>SADI KIMWAGA</v>
          </cell>
          <cell r="K544" t="str">
            <v>JOSEPH JIRABI</v>
          </cell>
        </row>
        <row r="545">
          <cell r="B545" t="str">
            <v>T735DEB</v>
          </cell>
          <cell r="C545" t="str">
            <v>T387DEH</v>
          </cell>
          <cell r="D545" t="str">
            <v> </v>
          </cell>
          <cell r="E545"/>
          <cell r="F545"/>
          <cell r="G545"/>
          <cell r="H545"/>
          <cell r="I545"/>
          <cell r="J545" t="str">
            <v>Martha GOLODI</v>
          </cell>
          <cell r="K545" t="str">
            <v>JOSEPH JIRABI</v>
          </cell>
        </row>
        <row r="546">
          <cell r="B546" t="str">
            <v>T957DSX</v>
          </cell>
          <cell r="C546" t="str">
            <v>T441DTD</v>
          </cell>
          <cell r="D546" t="str">
            <v> </v>
          </cell>
          <cell r="E546" t="str">
            <v>LUSEKELO JEREMIA MWAMBETE</v>
          </cell>
          <cell r="F546">
            <v>4002783083</v>
          </cell>
          <cell r="G546" t="str">
            <v>0625585518/0783502902</v>
          </cell>
          <cell r="H546" t="str">
            <v>TAE837507</v>
          </cell>
          <cell r="I546"/>
          <cell r="J546" t="str">
            <v>Martha GOLODI</v>
          </cell>
          <cell r="K546" t="str">
            <v>JOSEPH JIRABI</v>
          </cell>
        </row>
        <row r="547">
          <cell r="B547" t="str">
            <v>T614EKM</v>
          </cell>
          <cell r="C547" t="str">
            <v>T603EKP</v>
          </cell>
          <cell r="D547" t="str">
            <v> </v>
          </cell>
          <cell r="E547" t="str">
            <v>MUSSA MWALIMU SUMA</v>
          </cell>
          <cell r="F547">
            <v>717319080</v>
          </cell>
          <cell r="G547">
            <v>4000044026</v>
          </cell>
          <cell r="H547" t="str">
            <v>AB10092268</v>
          </cell>
          <cell r="I547"/>
          <cell r="J547" t="str">
            <v>Ayoub BENESTA</v>
          </cell>
          <cell r="K547" t="str">
            <v>JUMA ISMAIL</v>
          </cell>
        </row>
        <row r="548">
          <cell r="B548" t="str">
            <v>T584EKM</v>
          </cell>
          <cell r="C548" t="str">
            <v>T447EKR</v>
          </cell>
          <cell r="D548" t="str">
            <v> </v>
          </cell>
          <cell r="E548" t="str">
            <v>YUSTUS ANATHONY NJOVU</v>
          </cell>
          <cell r="F548" t="str">
            <v>0786400431/0753518583</v>
          </cell>
          <cell r="G548">
            <v>4001322385</v>
          </cell>
          <cell r="H548" t="str">
            <v>AB10027012</v>
          </cell>
          <cell r="I548"/>
          <cell r="J548" t="str">
            <v>Ayoub BENESTA</v>
          </cell>
          <cell r="K548" t="str">
            <v>JUMA ISMAIL</v>
          </cell>
        </row>
        <row r="549">
          <cell r="B549" t="str">
            <v>T563EKM</v>
          </cell>
          <cell r="C549" t="str">
            <v>T664EKP</v>
          </cell>
          <cell r="D549" t="str">
            <v> </v>
          </cell>
          <cell r="E549" t="str">
            <v>JAHNY ABDUEL YOEZA</v>
          </cell>
          <cell r="F549" t="str">
            <v>0753851580/0789226892</v>
          </cell>
          <cell r="G549">
            <v>4001905389</v>
          </cell>
          <cell r="H549" t="str">
            <v>AB10101562</v>
          </cell>
          <cell r="I549"/>
          <cell r="J549" t="str">
            <v>LUSAJO KASUNGA</v>
          </cell>
          <cell r="K549" t="str">
            <v>JUMA ISMAIL</v>
          </cell>
        </row>
        <row r="550">
          <cell r="B550" t="str">
            <v>T475EKM</v>
          </cell>
          <cell r="C550" t="str">
            <v>T525EKS</v>
          </cell>
          <cell r="D550" t="str">
            <v> </v>
          </cell>
          <cell r="E550" t="str">
            <v>DAUD JOSEPH GINATIO</v>
          </cell>
          <cell r="F550" t="str">
            <v>0764377333/06793773344</v>
          </cell>
          <cell r="G550">
            <v>4002078376</v>
          </cell>
          <cell r="H550" t="str">
            <v>TAE751367</v>
          </cell>
          <cell r="I550"/>
          <cell r="J550" t="str">
            <v>LUSAJO KASUNGA</v>
          </cell>
          <cell r="K550" t="str">
            <v>JUMA ISMAIL</v>
          </cell>
        </row>
        <row r="556">
          <cell r="B556" t="str">
            <v>T415DHE</v>
          </cell>
        </row>
        <row r="557">
          <cell r="B557" t="str">
            <v>T721DEB</v>
          </cell>
        </row>
        <row r="558">
          <cell r="B558" t="str">
            <v>T561DYR</v>
          </cell>
        </row>
        <row r="559">
          <cell r="B559" t="str">
            <v>T413DHG</v>
          </cell>
        </row>
        <row r="560">
          <cell r="B560" t="str">
            <v>T439DHG</v>
          </cell>
        </row>
        <row r="561">
          <cell r="B561" t="str">
            <v>T342DHG</v>
          </cell>
        </row>
        <row r="562">
          <cell r="B562" t="str">
            <v>T578DTQ</v>
          </cell>
        </row>
        <row r="563">
          <cell r="B563" t="str">
            <v>T959DSX</v>
          </cell>
        </row>
        <row r="564">
          <cell r="B564" t="str">
            <v>T227EBX</v>
          </cell>
        </row>
        <row r="565">
          <cell r="B565" t="str">
            <v>T494DYR</v>
          </cell>
        </row>
        <row r="566">
          <cell r="B566" t="str">
            <v>T589DTQ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Sheet1"/>
      <sheetName val="TRIPS"/>
    </sheetNames>
    <sheetDataSet>
      <sheetData sheetId="0" refreshError="1"/>
      <sheetData sheetId="1" refreshError="1"/>
      <sheetData sheetId="2">
        <row r="1">
          <cell r="A1" t="str">
            <v>Grouping</v>
          </cell>
          <cell r="B1" t="str">
            <v>Beginning</v>
          </cell>
          <cell r="C1" t="str">
            <v>Initial location</v>
          </cell>
          <cell r="D1" t="str">
            <v>End</v>
          </cell>
          <cell r="E1" t="str">
            <v>Final location</v>
          </cell>
          <cell r="F1" t="str">
            <v>Duration</v>
          </cell>
          <cell r="G1" t="str">
            <v>Mileage</v>
          </cell>
        </row>
        <row r="2">
          <cell r="A2" t="str">
            <v>T105EBX</v>
          </cell>
          <cell r="B2" t="str">
            <v>2025-12-30 00:28:11</v>
          </cell>
          <cell r="C2" t="str">
            <v>Rn39, 3.99 km from Fungurume</v>
          </cell>
          <cell r="D2" t="str">
            <v>2025-12-30 00:31:39</v>
          </cell>
          <cell r="E2" t="str">
            <v>Rn39, 4.06 km from Fungurume</v>
          </cell>
          <cell r="F2" t="str">
            <v>0:03:28</v>
          </cell>
          <cell r="G2">
            <v>0.233513</v>
          </cell>
        </row>
        <row r="3">
          <cell r="A3" t="str">
            <v>T105EBX</v>
          </cell>
          <cell r="B3" t="str">
            <v>2025-12-30 00:28:11</v>
          </cell>
          <cell r="C3" t="str">
            <v>Rn39, 3.99 km from Fungurume</v>
          </cell>
          <cell r="D3" t="str">
            <v>2025-12-30 00:31:39</v>
          </cell>
          <cell r="E3" t="str">
            <v>Rn39, 4.06 km from Fungurume</v>
          </cell>
          <cell r="F3" t="str">
            <v>0:03:28</v>
          </cell>
          <cell r="G3">
            <v>0.233513</v>
          </cell>
        </row>
        <row r="4">
          <cell r="A4" t="str">
            <v>T153EBX</v>
          </cell>
          <cell r="B4" t="str">
            <v>2025-12-30 18:58:25</v>
          </cell>
          <cell r="C4" t="str">
            <v>KASUMBALESA DRC SIDE</v>
          </cell>
          <cell r="D4" t="str">
            <v>2025-12-30 19:02:37</v>
          </cell>
          <cell r="E4" t="str">
            <v>KASUMBALESA DRC SIDE</v>
          </cell>
          <cell r="F4" t="str">
            <v>0:04:12</v>
          </cell>
          <cell r="G4">
            <v>0.16564100000000001</v>
          </cell>
        </row>
        <row r="5">
          <cell r="A5" t="str">
            <v>T153EBX</v>
          </cell>
          <cell r="B5" t="str">
            <v>2025-12-30 18:58:25</v>
          </cell>
          <cell r="C5" t="str">
            <v>KASUMBALESA DRC SIDE</v>
          </cell>
          <cell r="D5" t="str">
            <v>2025-12-30 19:02:37</v>
          </cell>
          <cell r="E5" t="str">
            <v>KASUMBALESA DRC SIDE</v>
          </cell>
          <cell r="F5" t="str">
            <v>0:04:12</v>
          </cell>
          <cell r="G5">
            <v>0.16564100000000001</v>
          </cell>
        </row>
        <row r="6">
          <cell r="A6" t="str">
            <v>T166EBX</v>
          </cell>
          <cell r="B6" t="str">
            <v>2025-12-30 19:11:56</v>
          </cell>
          <cell r="C6" t="str">
            <v>LIKASI BYPASS 1</v>
          </cell>
          <cell r="D6" t="str">
            <v>2025-12-30 19:51:42</v>
          </cell>
          <cell r="E6" t="str">
            <v>Route De Lubumbashi, Mbalaka</v>
          </cell>
          <cell r="F6" t="str">
            <v>0:39:46</v>
          </cell>
          <cell r="G6">
            <v>20.413509000000001</v>
          </cell>
        </row>
        <row r="7">
          <cell r="A7" t="str">
            <v>T166EBX</v>
          </cell>
          <cell r="B7" t="str">
            <v>2025-12-30 19:11:56</v>
          </cell>
          <cell r="C7" t="str">
            <v>LIKASI BYPASS 1</v>
          </cell>
          <cell r="D7" t="str">
            <v>2025-12-30 19:51:42</v>
          </cell>
          <cell r="E7" t="str">
            <v>Route De Lubumbashi, Mbalaka</v>
          </cell>
          <cell r="F7" t="str">
            <v>0:39:46</v>
          </cell>
          <cell r="G7">
            <v>20.413509000000001</v>
          </cell>
        </row>
        <row r="8">
          <cell r="A8" t="str">
            <v>T218EBX</v>
          </cell>
          <cell r="B8" t="str">
            <v>2025-12-30 18:44:34</v>
          </cell>
          <cell r="C8" t="str">
            <v>KASUMBALESA 114 PARKING</v>
          </cell>
          <cell r="D8" t="str">
            <v>2025-12-30 18:55:09</v>
          </cell>
          <cell r="E8" t="str">
            <v>KASUMBALESA 114 PARKING</v>
          </cell>
          <cell r="F8" t="str">
            <v>0:10:35</v>
          </cell>
          <cell r="G8">
            <v>0.386799</v>
          </cell>
        </row>
        <row r="9">
          <cell r="A9" t="str">
            <v>T218EBX</v>
          </cell>
          <cell r="B9" t="str">
            <v>2025-12-30 18:44:34</v>
          </cell>
          <cell r="C9" t="str">
            <v>KASUMBALESA 114 PARKING</v>
          </cell>
          <cell r="D9" t="str">
            <v>2025-12-30 18:55:09</v>
          </cell>
          <cell r="E9" t="str">
            <v>KASUMBALESA 114 PARKING</v>
          </cell>
          <cell r="F9" t="str">
            <v>0:10:35</v>
          </cell>
          <cell r="G9">
            <v>0.386799</v>
          </cell>
        </row>
        <row r="10">
          <cell r="A10" t="str">
            <v>T259EBY</v>
          </cell>
          <cell r="B10" t="str">
            <v>2025-12-30 21:41:19</v>
          </cell>
          <cell r="C10" t="str">
            <v>MBAGALA YARD</v>
          </cell>
          <cell r="D10" t="str">
            <v>2025-12-30 21:50:42</v>
          </cell>
          <cell r="E10" t="str">
            <v>MBAGALA YARD</v>
          </cell>
          <cell r="F10" t="str">
            <v>0:09:23</v>
          </cell>
          <cell r="G10">
            <v>0.323073</v>
          </cell>
        </row>
        <row r="11">
          <cell r="A11" t="str">
            <v>T259EBY</v>
          </cell>
          <cell r="B11" t="str">
            <v>2025-12-30 21:41:19</v>
          </cell>
          <cell r="C11" t="str">
            <v>MBAGALA YARD</v>
          </cell>
          <cell r="D11" t="str">
            <v>2025-12-30 21:50:42</v>
          </cell>
          <cell r="E11" t="str">
            <v>MBAGALA YARD</v>
          </cell>
          <cell r="F11" t="str">
            <v>0:09:23</v>
          </cell>
          <cell r="G11">
            <v>0.323073</v>
          </cell>
        </row>
        <row r="12">
          <cell r="A12" t="str">
            <v>T263DDJ</v>
          </cell>
          <cell r="B12" t="str">
            <v>2025-12-30 19:03:31</v>
          </cell>
          <cell r="C12" t="str">
            <v>Kolwezi, Rn39</v>
          </cell>
          <cell r="D12" t="str">
            <v>2025-12-30 21:04:46</v>
          </cell>
          <cell r="E12" t="str">
            <v>KISENDA, MUTANDA MINE JUNCTION</v>
          </cell>
          <cell r="F12" t="str">
            <v>0:58:45</v>
          </cell>
          <cell r="G12">
            <v>27.966892999999999</v>
          </cell>
        </row>
        <row r="13">
          <cell r="A13" t="str">
            <v>T263DDJ</v>
          </cell>
          <cell r="B13" t="str">
            <v>2025-12-30 19:03:31</v>
          </cell>
          <cell r="C13" t="str">
            <v>Kolwezi, Rn39</v>
          </cell>
          <cell r="D13" t="str">
            <v>2025-12-30 19:18:40</v>
          </cell>
          <cell r="E13" t="str">
            <v>Rn39, 5.53 km from Kisenda</v>
          </cell>
          <cell r="F13" t="str">
            <v>0:15:09</v>
          </cell>
          <cell r="G13">
            <v>12.447742</v>
          </cell>
        </row>
        <row r="14">
          <cell r="A14" t="str">
            <v>T263DDJ</v>
          </cell>
          <cell r="B14" t="str">
            <v>2025-12-30 19:30:22</v>
          </cell>
          <cell r="C14" t="str">
            <v>Rn39, 5.53 km from Kisenda</v>
          </cell>
          <cell r="D14" t="str">
            <v>2025-12-30 19:32:34</v>
          </cell>
          <cell r="E14" t="str">
            <v>Rn39, 5.35 km from Kisenda</v>
          </cell>
          <cell r="F14" t="str">
            <v>0:02:12</v>
          </cell>
          <cell r="G14">
            <v>0.17791699999999999</v>
          </cell>
        </row>
        <row r="15">
          <cell r="A15" t="str">
            <v>T263DDJ</v>
          </cell>
          <cell r="B15" t="str">
            <v>2025-12-30 19:50:03</v>
          </cell>
          <cell r="C15" t="str">
            <v>PEAGE LUALABA</v>
          </cell>
          <cell r="D15" t="str">
            <v>2025-12-30 20:28:31</v>
          </cell>
          <cell r="E15" t="str">
            <v>KISENDA, MUTANDA MINE JUNCTION</v>
          </cell>
          <cell r="F15" t="str">
            <v>0:38:28</v>
          </cell>
          <cell r="G15">
            <v>15.073304</v>
          </cell>
        </row>
        <row r="16">
          <cell r="A16" t="str">
            <v>T263DDJ</v>
          </cell>
          <cell r="B16" t="str">
            <v>2025-12-30 21:01:50</v>
          </cell>
          <cell r="C16" t="str">
            <v>KISENDA, MUTANDA MINE JUNCTION</v>
          </cell>
          <cell r="D16" t="str">
            <v>2025-12-30 21:04:46</v>
          </cell>
          <cell r="E16" t="str">
            <v>KISENDA, MUTANDA MINE JUNCTION</v>
          </cell>
          <cell r="F16" t="str">
            <v>0:02:56</v>
          </cell>
          <cell r="G16">
            <v>0.26793</v>
          </cell>
        </row>
        <row r="17">
          <cell r="A17" t="str">
            <v>T264EBX</v>
          </cell>
          <cell r="B17" t="str">
            <v>2025-12-30 19:39:59</v>
          </cell>
          <cell r="C17" t="str">
            <v>M1, 1.55 km from Sementi</v>
          </cell>
          <cell r="D17" t="str">
            <v>2025-12-30 20:54:10</v>
          </cell>
          <cell r="E17" t="str">
            <v>Mbala - Nakonde Road, 17.20 km from Sementi</v>
          </cell>
          <cell r="F17" t="str">
            <v>1:14:11</v>
          </cell>
          <cell r="G17">
            <v>44.520994999999999</v>
          </cell>
        </row>
        <row r="18">
          <cell r="A18" t="str">
            <v>T264EBX</v>
          </cell>
          <cell r="B18" t="str">
            <v>2025-12-30 19:39:59</v>
          </cell>
          <cell r="C18" t="str">
            <v>M1, 1.55 km from Sementi</v>
          </cell>
          <cell r="D18" t="str">
            <v>2025-12-30 20:54:10</v>
          </cell>
          <cell r="E18" t="str">
            <v>Mbala - Nakonde Road, 17.20 km from Sementi</v>
          </cell>
          <cell r="F18" t="str">
            <v>1:14:11</v>
          </cell>
          <cell r="G18">
            <v>44.520994999999999</v>
          </cell>
        </row>
        <row r="19">
          <cell r="A19" t="str">
            <v>T286EBY</v>
          </cell>
          <cell r="B19" t="str">
            <v>2025-12-30 21:49:12</v>
          </cell>
          <cell r="C19" t="str">
            <v>KITWE DANGER ZONE!!, ZAMBIA</v>
          </cell>
          <cell r="D19" t="str">
            <v>2025-12-30 23:30:32</v>
          </cell>
          <cell r="E19" t="str">
            <v>KITWE DANGER ZONE!!, ZAMBIA</v>
          </cell>
          <cell r="F19" t="str">
            <v>0:07:38</v>
          </cell>
          <cell r="G19">
            <v>0.25850400000000001</v>
          </cell>
        </row>
        <row r="20">
          <cell r="A20" t="str">
            <v>T286EBY</v>
          </cell>
          <cell r="B20" t="str">
            <v>2025-12-30 21:49:12</v>
          </cell>
          <cell r="C20" t="str">
            <v>KITWE DANGER ZONE!!, ZAMBIA</v>
          </cell>
          <cell r="D20" t="str">
            <v>2025-12-30 21:53:42</v>
          </cell>
          <cell r="E20" t="str">
            <v>KITWE DANGER ZONE!!, ZAMBIA</v>
          </cell>
          <cell r="F20" t="str">
            <v>0:04:30</v>
          </cell>
          <cell r="G20">
            <v>0.11623</v>
          </cell>
        </row>
        <row r="21">
          <cell r="A21" t="str">
            <v>T286EBY</v>
          </cell>
          <cell r="B21" t="str">
            <v>2025-12-30 23:27:24</v>
          </cell>
          <cell r="C21" t="str">
            <v>KITWE DANGER ZONE!!, ZAMBIA</v>
          </cell>
          <cell r="D21" t="str">
            <v>2025-12-30 23:30:32</v>
          </cell>
          <cell r="E21" t="str">
            <v>KITWE DANGER ZONE!!, ZAMBIA</v>
          </cell>
          <cell r="F21" t="str">
            <v>0:03:08</v>
          </cell>
          <cell r="G21">
            <v>0.14227300000000001</v>
          </cell>
        </row>
        <row r="22">
          <cell r="A22" t="str">
            <v>T305EBX</v>
          </cell>
          <cell r="B22" t="str">
            <v>2025-12-30 21:45:43</v>
          </cell>
          <cell r="C22" t="str">
            <v>KITWE DANGER ZONE!!, ZAMBIA</v>
          </cell>
          <cell r="D22" t="str">
            <v>2025-12-30 21:50:32</v>
          </cell>
          <cell r="E22" t="str">
            <v>KITWE DANGER ZONE!!, ZAMBIA</v>
          </cell>
          <cell r="F22" t="str">
            <v>0:04:49</v>
          </cell>
          <cell r="G22">
            <v>0.146146</v>
          </cell>
        </row>
        <row r="23">
          <cell r="A23" t="str">
            <v>T305EBX</v>
          </cell>
          <cell r="B23" t="str">
            <v>2025-12-30 21:45:43</v>
          </cell>
          <cell r="C23" t="str">
            <v>KITWE DANGER ZONE!!, ZAMBIA</v>
          </cell>
          <cell r="D23" t="str">
            <v>2025-12-30 21:50:32</v>
          </cell>
          <cell r="E23" t="str">
            <v>KITWE DANGER ZONE!!, ZAMBIA</v>
          </cell>
          <cell r="F23" t="str">
            <v>0:04:49</v>
          </cell>
          <cell r="G23">
            <v>0.146146</v>
          </cell>
        </row>
        <row r="24">
          <cell r="A24" t="str">
            <v>T308EBX</v>
          </cell>
          <cell r="B24" t="str">
            <v>2025-12-30 19:59:36</v>
          </cell>
          <cell r="C24" t="str">
            <v>KITWE DANGER ZONE!!, ZAMBIA</v>
          </cell>
          <cell r="D24" t="str">
            <v>2025-12-30 20:16:08</v>
          </cell>
          <cell r="E24" t="str">
            <v>KITWE DANGER ZONE!!, ZAMBIA</v>
          </cell>
          <cell r="F24" t="str">
            <v>0:04:58</v>
          </cell>
          <cell r="G24">
            <v>0.31025399999999997</v>
          </cell>
        </row>
        <row r="25">
          <cell r="A25" t="str">
            <v>T308EBX</v>
          </cell>
          <cell r="B25" t="str">
            <v>2025-12-30 19:59:36</v>
          </cell>
          <cell r="C25" t="str">
            <v>KITWE DANGER ZONE!!, ZAMBIA</v>
          </cell>
          <cell r="D25" t="str">
            <v>2025-12-30 20:01:56</v>
          </cell>
          <cell r="E25" t="str">
            <v>KITWE DANGER ZONE!!, ZAMBIA</v>
          </cell>
          <cell r="F25" t="str">
            <v>0:02:20</v>
          </cell>
          <cell r="G25">
            <v>0.19287799999999999</v>
          </cell>
        </row>
        <row r="26">
          <cell r="A26" t="str">
            <v>T308EBX</v>
          </cell>
          <cell r="B26" t="str">
            <v>2025-12-30 20:13:30</v>
          </cell>
          <cell r="C26" t="str">
            <v>KITWE DANGER ZONE!!, ZAMBIA</v>
          </cell>
          <cell r="D26" t="str">
            <v>2025-12-30 20:16:08</v>
          </cell>
          <cell r="E26" t="str">
            <v>KITWE DANGER ZONE!!, ZAMBIA</v>
          </cell>
          <cell r="F26" t="str">
            <v>0:02:38</v>
          </cell>
          <cell r="G26">
            <v>0.11737599999999999</v>
          </cell>
        </row>
        <row r="27">
          <cell r="A27" t="str">
            <v>T315EBX</v>
          </cell>
          <cell r="B27" t="str">
            <v>2025-12-30 19:50:40</v>
          </cell>
          <cell r="C27" t="str">
            <v>NAKONDE ZM SIDE</v>
          </cell>
          <cell r="D27" t="str">
            <v>2025-12-30 20:17:29</v>
          </cell>
          <cell r="E27" t="str">
            <v>NAKONDE ZM SIDE</v>
          </cell>
          <cell r="F27" t="str">
            <v>0:20:55</v>
          </cell>
          <cell r="G27">
            <v>0.18521199999999999</v>
          </cell>
        </row>
        <row r="28">
          <cell r="A28" t="str">
            <v>T315EBX</v>
          </cell>
          <cell r="B28" t="str">
            <v>2025-12-30 19:50:40</v>
          </cell>
          <cell r="C28" t="str">
            <v>NAKONDE ZM SIDE</v>
          </cell>
          <cell r="D28" t="str">
            <v>2025-12-30 20:00:30</v>
          </cell>
          <cell r="E28" t="str">
            <v>NAKONDE ZM SIDE</v>
          </cell>
          <cell r="F28" t="str">
            <v>0:09:50</v>
          </cell>
          <cell r="G28">
            <v>3.6095000000000002E-2</v>
          </cell>
        </row>
        <row r="29">
          <cell r="A29" t="str">
            <v>T315EBX</v>
          </cell>
          <cell r="B29" t="str">
            <v>2025-12-30 20:06:24</v>
          </cell>
          <cell r="C29" t="str">
            <v>NAKONDE ZM SIDE</v>
          </cell>
          <cell r="D29" t="str">
            <v>2025-12-30 20:17:29</v>
          </cell>
          <cell r="E29" t="str">
            <v>NAKONDE ZM SIDE</v>
          </cell>
          <cell r="F29" t="str">
            <v>0:11:05</v>
          </cell>
          <cell r="G29">
            <v>0.149117</v>
          </cell>
        </row>
        <row r="30">
          <cell r="A30" t="str">
            <v>T318EBX</v>
          </cell>
          <cell r="B30" t="str">
            <v>2025-12-30 18:59:08</v>
          </cell>
          <cell r="C30" t="str">
            <v>KASUMBALESA DRC SIDE</v>
          </cell>
          <cell r="D30" t="str">
            <v>2025-12-30 19:02:30</v>
          </cell>
          <cell r="E30" t="str">
            <v>KASUMBALESA DRC SIDE</v>
          </cell>
          <cell r="F30" t="str">
            <v>0:03:22</v>
          </cell>
          <cell r="G30">
            <v>0.20569499999999999</v>
          </cell>
        </row>
        <row r="31">
          <cell r="A31" t="str">
            <v>T318EBX</v>
          </cell>
          <cell r="B31" t="str">
            <v>2025-12-30 18:59:08</v>
          </cell>
          <cell r="C31" t="str">
            <v>KASUMBALESA DRC SIDE</v>
          </cell>
          <cell r="D31" t="str">
            <v>2025-12-30 19:02:30</v>
          </cell>
          <cell r="E31" t="str">
            <v>KASUMBALESA DRC SIDE</v>
          </cell>
          <cell r="F31" t="str">
            <v>0:03:22</v>
          </cell>
          <cell r="G31">
            <v>0.20569499999999999</v>
          </cell>
        </row>
        <row r="32">
          <cell r="A32" t="str">
            <v>T319EBY</v>
          </cell>
          <cell r="B32" t="str">
            <v>2025-12-30 00:10:41</v>
          </cell>
          <cell r="C32" t="str">
            <v>DAR ES SALAAM</v>
          </cell>
          <cell r="D32" t="str">
            <v>2025-12-30 00:16:36</v>
          </cell>
          <cell r="E32" t="str">
            <v>DAR ES SALAAM</v>
          </cell>
          <cell r="F32" t="str">
            <v>0:05:55</v>
          </cell>
          <cell r="G32">
            <v>0.46465200000000001</v>
          </cell>
        </row>
        <row r="33">
          <cell r="A33" t="str">
            <v>T319EBY</v>
          </cell>
          <cell r="B33" t="str">
            <v>2025-12-30 00:10:41</v>
          </cell>
          <cell r="C33" t="str">
            <v>DAR ES SALAAM</v>
          </cell>
          <cell r="D33" t="str">
            <v>2025-12-30 00:16:36</v>
          </cell>
          <cell r="E33" t="str">
            <v>DAR ES SALAAM</v>
          </cell>
          <cell r="F33" t="str">
            <v>0:05:55</v>
          </cell>
          <cell r="G33">
            <v>0.46465200000000001</v>
          </cell>
        </row>
        <row r="34">
          <cell r="A34" t="str">
            <v>T326ECN</v>
          </cell>
          <cell r="B34" t="str">
            <v>2025-12-30 21:25:51</v>
          </cell>
          <cell r="C34" t="str">
            <v>Tanzam Road, 2.38 km from Mbeya</v>
          </cell>
          <cell r="D34" t="str">
            <v>2025-12-30 21:30:02</v>
          </cell>
          <cell r="E34" t="str">
            <v>Tanzam Road, 2.39 km from Mbeya</v>
          </cell>
          <cell r="F34" t="str">
            <v>0:04:11</v>
          </cell>
          <cell r="G34">
            <v>0.25601600000000002</v>
          </cell>
        </row>
        <row r="35">
          <cell r="A35" t="str">
            <v>T326ECN</v>
          </cell>
          <cell r="B35" t="str">
            <v>2025-12-30 21:25:51</v>
          </cell>
          <cell r="C35" t="str">
            <v>Tanzam Road, 2.38 km from Mbeya</v>
          </cell>
          <cell r="D35" t="str">
            <v>2025-12-30 21:30:02</v>
          </cell>
          <cell r="E35" t="str">
            <v>Tanzam Road, 2.39 km from Mbeya</v>
          </cell>
          <cell r="F35" t="str">
            <v>0:04:11</v>
          </cell>
          <cell r="G35">
            <v>0.25601600000000002</v>
          </cell>
        </row>
        <row r="36">
          <cell r="A36" t="str">
            <v>T328EBX</v>
          </cell>
          <cell r="B36" t="str">
            <v>2025-12-30 05:52:37</v>
          </cell>
          <cell r="C36" t="str">
            <v>T1, Makwenje</v>
          </cell>
          <cell r="D36" t="str">
            <v>2025-12-30 09:18:37</v>
          </cell>
          <cell r="E36" t="str">
            <v>MAKAMBAKO</v>
          </cell>
          <cell r="F36" t="str">
            <v>3:26:00</v>
          </cell>
          <cell r="G36">
            <v>147.19023000000001</v>
          </cell>
        </row>
        <row r="37">
          <cell r="A37" t="str">
            <v>T328EBX</v>
          </cell>
          <cell r="B37" t="str">
            <v>2025-12-30 05:52:37</v>
          </cell>
          <cell r="C37" t="str">
            <v>T1, Makwenje</v>
          </cell>
          <cell r="D37" t="str">
            <v>2025-12-30 09:18:37</v>
          </cell>
          <cell r="E37" t="str">
            <v>MAKAMBAKO</v>
          </cell>
          <cell r="F37" t="str">
            <v>3:26:00</v>
          </cell>
          <cell r="G37">
            <v>147.19023000000001</v>
          </cell>
        </row>
        <row r="38">
          <cell r="A38" t="str">
            <v>T332ECN</v>
          </cell>
          <cell r="B38" t="str">
            <v>2025-12-30 18:41:10</v>
          </cell>
          <cell r="C38" t="str">
            <v>BWALA SAMAKI, ZAMBIA</v>
          </cell>
          <cell r="D38" t="str">
            <v>2025-12-30 18:57:56</v>
          </cell>
          <cell r="E38" t="str">
            <v>Great North Road, 2.79 km from Kanona</v>
          </cell>
          <cell r="F38" t="str">
            <v>0:16:46</v>
          </cell>
          <cell r="G38">
            <v>9.8883120000000009</v>
          </cell>
        </row>
        <row r="39">
          <cell r="A39" t="str">
            <v>T332ECN</v>
          </cell>
          <cell r="B39" t="str">
            <v>2025-12-30 18:41:10</v>
          </cell>
          <cell r="C39" t="str">
            <v>BWALA SAMAKI, ZAMBIA</v>
          </cell>
          <cell r="D39" t="str">
            <v>2025-12-30 18:57:56</v>
          </cell>
          <cell r="E39" t="str">
            <v>Great North Road, 2.79 km from Kanona</v>
          </cell>
          <cell r="F39" t="str">
            <v>0:16:46</v>
          </cell>
          <cell r="G39">
            <v>9.8883120000000009</v>
          </cell>
        </row>
        <row r="40">
          <cell r="A40" t="str">
            <v>T334EBX</v>
          </cell>
          <cell r="B40" t="str">
            <v>2025-12-30 00:01:12</v>
          </cell>
          <cell r="C40" t="str">
            <v>TUNDUMA BORDER TZ SIDE</v>
          </cell>
          <cell r="D40" t="str">
            <v>2025-12-30 00:09:31</v>
          </cell>
          <cell r="E40" t="str">
            <v>TUNDUMA PARKING</v>
          </cell>
          <cell r="F40" t="str">
            <v>0:08:19</v>
          </cell>
          <cell r="G40">
            <v>3.8952059999999999</v>
          </cell>
        </row>
        <row r="41">
          <cell r="A41" t="str">
            <v>T334EBX</v>
          </cell>
          <cell r="B41" t="str">
            <v>2025-12-30 00:01:12</v>
          </cell>
          <cell r="C41" t="str">
            <v>TUNDUMA BORDER TZ SIDE</v>
          </cell>
          <cell r="D41" t="str">
            <v>2025-12-30 00:09:31</v>
          </cell>
          <cell r="E41" t="str">
            <v>TUNDUMA PARKING</v>
          </cell>
          <cell r="F41" t="str">
            <v>0:08:19</v>
          </cell>
          <cell r="G41">
            <v>3.8952059999999999</v>
          </cell>
        </row>
        <row r="42">
          <cell r="A42" t="str">
            <v>T336ECN</v>
          </cell>
          <cell r="B42" t="str">
            <v>2025-12-30 05:57:35</v>
          </cell>
          <cell r="C42" t="str">
            <v>Iringa Road, Mikumi</v>
          </cell>
          <cell r="D42" t="str">
            <v>2025-12-30 07:53:06</v>
          </cell>
          <cell r="E42" t="str">
            <v>Iringa Road, Mtandika 'B'</v>
          </cell>
          <cell r="F42" t="str">
            <v>1:55:31</v>
          </cell>
          <cell r="G42">
            <v>92.145446000000007</v>
          </cell>
        </row>
        <row r="43">
          <cell r="A43" t="str">
            <v>T336ECN</v>
          </cell>
          <cell r="B43" t="str">
            <v>2025-12-30 05:57:35</v>
          </cell>
          <cell r="C43" t="str">
            <v>Iringa Road, Mikumi</v>
          </cell>
          <cell r="D43" t="str">
            <v>2025-12-30 07:53:06</v>
          </cell>
          <cell r="E43" t="str">
            <v>Iringa Road, Mtandika 'B'</v>
          </cell>
          <cell r="F43" t="str">
            <v>1:55:31</v>
          </cell>
          <cell r="G43">
            <v>92.145446000000007</v>
          </cell>
        </row>
        <row r="44">
          <cell r="A44" t="str">
            <v>T337EBX</v>
          </cell>
          <cell r="B44" t="str">
            <v>2025-12-30 19:00:18</v>
          </cell>
          <cell r="C44" t="str">
            <v>KIBAHA</v>
          </cell>
          <cell r="D44" t="str">
            <v>2025-12-30 19:04:11</v>
          </cell>
          <cell r="E44" t="str">
            <v>KIBAHA</v>
          </cell>
          <cell r="F44" t="str">
            <v>0:03:53</v>
          </cell>
          <cell r="G44">
            <v>0.18529100000000001</v>
          </cell>
        </row>
        <row r="45">
          <cell r="A45" t="str">
            <v>T337EBX</v>
          </cell>
          <cell r="B45" t="str">
            <v>2025-12-30 19:00:18</v>
          </cell>
          <cell r="C45" t="str">
            <v>KIBAHA</v>
          </cell>
          <cell r="D45" t="str">
            <v>2025-12-30 19:04:11</v>
          </cell>
          <cell r="E45" t="str">
            <v>KIBAHA</v>
          </cell>
          <cell r="F45" t="str">
            <v>0:03:53</v>
          </cell>
          <cell r="G45">
            <v>0.18529100000000001</v>
          </cell>
        </row>
        <row r="46">
          <cell r="A46" t="str">
            <v>T338DHG</v>
          </cell>
          <cell r="B46" t="str">
            <v>2025-12-30 19:07:08</v>
          </cell>
          <cell r="C46" t="str">
            <v>DAR ES SALAAM</v>
          </cell>
          <cell r="D46" t="str">
            <v>2025-12-30 20:07:24</v>
          </cell>
          <cell r="E46" t="str">
            <v>UBUNGO ACCESS WORLD</v>
          </cell>
          <cell r="F46" t="str">
            <v>0:08:03</v>
          </cell>
          <cell r="G46">
            <v>0.41428300000000001</v>
          </cell>
        </row>
        <row r="47">
          <cell r="A47" t="str">
            <v>T338DHG</v>
          </cell>
          <cell r="B47" t="str">
            <v>2025-12-30 19:07:08</v>
          </cell>
          <cell r="C47" t="str">
            <v>DAR ES SALAAM</v>
          </cell>
          <cell r="D47" t="str">
            <v>2025-12-30 19:10:35</v>
          </cell>
          <cell r="E47" t="str">
            <v>DAR ES SALAAM</v>
          </cell>
          <cell r="F47" t="str">
            <v>0:03:27</v>
          </cell>
          <cell r="G47">
            <v>0.13567199999999999</v>
          </cell>
        </row>
        <row r="48">
          <cell r="A48" t="str">
            <v>T338DHG</v>
          </cell>
          <cell r="B48" t="str">
            <v>2025-12-30 19:46:51</v>
          </cell>
          <cell r="C48" t="str">
            <v>DAR ES SALAAM</v>
          </cell>
          <cell r="D48" t="str">
            <v>2025-12-30 19:49:35</v>
          </cell>
          <cell r="E48" t="str">
            <v>DAR ES SALAAM</v>
          </cell>
          <cell r="F48" t="str">
            <v>0:02:44</v>
          </cell>
          <cell r="G48">
            <v>0.15691099999999999</v>
          </cell>
        </row>
        <row r="49">
          <cell r="A49" t="str">
            <v>T338DHG</v>
          </cell>
          <cell r="B49" t="str">
            <v>2025-12-30 20:05:32</v>
          </cell>
          <cell r="C49" t="str">
            <v>DAR ES SALAAM</v>
          </cell>
          <cell r="D49" t="str">
            <v>2025-12-30 20:07:24</v>
          </cell>
          <cell r="E49" t="str">
            <v>UBUNGO ACCESS WORLD</v>
          </cell>
          <cell r="F49" t="str">
            <v>0:01:52</v>
          </cell>
          <cell r="G49">
            <v>0.121701</v>
          </cell>
        </row>
        <row r="50">
          <cell r="A50" t="str">
            <v>T342DHG</v>
          </cell>
          <cell r="B50" t="str">
            <v>2025-12-30 18:34:51</v>
          </cell>
          <cell r="C50" t="str">
            <v>PEAGE LUALABA</v>
          </cell>
          <cell r="D50" t="str">
            <v>2025-12-30 19:30:56</v>
          </cell>
          <cell r="E50" t="str">
            <v>KISENDA, MUTANDA MINE JUNCTION</v>
          </cell>
          <cell r="F50" t="str">
            <v>0:45:34</v>
          </cell>
          <cell r="G50">
            <v>15.009259999999999</v>
          </cell>
        </row>
        <row r="51">
          <cell r="A51" t="str">
            <v>T342DHG</v>
          </cell>
          <cell r="B51" t="str">
            <v>2025-12-30 18:34:51</v>
          </cell>
          <cell r="C51" t="str">
            <v>PEAGE LUALABA</v>
          </cell>
          <cell r="D51" t="str">
            <v>2025-12-30 19:11:13</v>
          </cell>
          <cell r="E51" t="str">
            <v>MUTANDA MINES,DRC</v>
          </cell>
          <cell r="F51" t="str">
            <v>0:36:22</v>
          </cell>
          <cell r="G51">
            <v>14.491179000000001</v>
          </cell>
        </row>
        <row r="52">
          <cell r="A52" t="str">
            <v>T342DHG</v>
          </cell>
          <cell r="B52" t="str">
            <v>2025-12-30 19:21:44</v>
          </cell>
          <cell r="C52" t="str">
            <v>MUTANDA MINES,DRC</v>
          </cell>
          <cell r="D52" t="str">
            <v>2025-12-30 19:30:56</v>
          </cell>
          <cell r="E52" t="str">
            <v>KISENDA, MUTANDA MINE JUNCTION</v>
          </cell>
          <cell r="F52" t="str">
            <v>0:09:12</v>
          </cell>
          <cell r="G52">
            <v>0.51808100000000001</v>
          </cell>
        </row>
        <row r="53">
          <cell r="A53" t="str">
            <v>T343EBX</v>
          </cell>
          <cell r="B53" t="str">
            <v>2025-12-30 19:05:50</v>
          </cell>
          <cell r="C53" t="str">
            <v>LIKASI BYPASS 1</v>
          </cell>
          <cell r="D53" t="str">
            <v>2025-12-30 19:51:32</v>
          </cell>
          <cell r="E53" t="str">
            <v>Route De Lubumbashi, Mbalaka</v>
          </cell>
          <cell r="F53" t="str">
            <v>0:38:56</v>
          </cell>
          <cell r="G53">
            <v>20.446572</v>
          </cell>
        </row>
        <row r="54">
          <cell r="A54" t="str">
            <v>T343EBX</v>
          </cell>
          <cell r="B54" t="str">
            <v>2025-12-30 19:05:50</v>
          </cell>
          <cell r="C54" t="str">
            <v>LIKASI BYPASS 1</v>
          </cell>
          <cell r="D54" t="str">
            <v>2025-12-30 19:08:55</v>
          </cell>
          <cell r="E54" t="str">
            <v>LIKASI BYPASS 1</v>
          </cell>
          <cell r="F54" t="str">
            <v>0:03:05</v>
          </cell>
          <cell r="G54">
            <v>0.151895</v>
          </cell>
        </row>
        <row r="55">
          <cell r="A55" t="str">
            <v>T343EBX</v>
          </cell>
          <cell r="B55" t="str">
            <v>2025-12-30 19:15:41</v>
          </cell>
          <cell r="C55" t="str">
            <v>LIKASI BYPASS 1</v>
          </cell>
          <cell r="D55" t="str">
            <v>2025-12-30 19:51:32</v>
          </cell>
          <cell r="E55" t="str">
            <v>Route De Lubumbashi, Mbalaka</v>
          </cell>
          <cell r="F55" t="str">
            <v>0:35:51</v>
          </cell>
          <cell r="G55">
            <v>20.294677</v>
          </cell>
        </row>
        <row r="56">
          <cell r="A56" t="str">
            <v>T348DHG</v>
          </cell>
          <cell r="B56" t="str">
            <v>2025-12-30 05:26:20</v>
          </cell>
          <cell r="C56" t="str">
            <v>Rue De La Kamoa Mine, 17.48 km from Kapata</v>
          </cell>
          <cell r="D56" t="str">
            <v>2025-12-30 06:12:36</v>
          </cell>
          <cell r="E56" t="str">
            <v>Kansoko Mine Road, 17.04 km from Kapata</v>
          </cell>
          <cell r="F56" t="str">
            <v>0:40:08</v>
          </cell>
          <cell r="G56">
            <v>4.2506149999999998</v>
          </cell>
        </row>
        <row r="57">
          <cell r="A57" t="str">
            <v>T348DHG</v>
          </cell>
          <cell r="B57" t="str">
            <v>2025-12-30 05:26:20</v>
          </cell>
          <cell r="C57" t="str">
            <v>Rue De La Kamoa Mine, 17.48 km from Kapata</v>
          </cell>
          <cell r="D57" t="str">
            <v>2025-12-30 05:38:40</v>
          </cell>
          <cell r="E57" t="str">
            <v>Kansoko Mine Road, 17.03 km from Kapata</v>
          </cell>
          <cell r="F57" t="str">
            <v>0:12:20</v>
          </cell>
          <cell r="G57">
            <v>1.4414020000000001</v>
          </cell>
        </row>
        <row r="58">
          <cell r="A58" t="str">
            <v>T348DHG</v>
          </cell>
          <cell r="B58" t="str">
            <v>2025-12-30 05:44:48</v>
          </cell>
          <cell r="C58" t="str">
            <v>Kansoko Mine Road, 17.04 km from Kapata</v>
          </cell>
          <cell r="D58" t="str">
            <v>2025-12-30 06:12:36</v>
          </cell>
          <cell r="E58" t="str">
            <v>Kansoko Mine Road, 17.04 km from Kapata</v>
          </cell>
          <cell r="F58" t="str">
            <v>0:27:48</v>
          </cell>
          <cell r="G58">
            <v>2.8092130000000002</v>
          </cell>
        </row>
        <row r="59">
          <cell r="A59" t="str">
            <v>T348EBX</v>
          </cell>
          <cell r="B59" t="str">
            <v>2025-12-30 18:47:42</v>
          </cell>
          <cell r="C59" t="str">
            <v>NAKONDE ZM SIDE</v>
          </cell>
          <cell r="D59" t="str">
            <v>2025-12-30 23:07:03</v>
          </cell>
          <cell r="E59" t="str">
            <v>TUNDUMA BORDER TZ SIDE</v>
          </cell>
          <cell r="F59" t="str">
            <v>1:22:27</v>
          </cell>
          <cell r="G59">
            <v>10.467674000000001</v>
          </cell>
        </row>
        <row r="60">
          <cell r="A60" t="str">
            <v>T348EBX</v>
          </cell>
          <cell r="B60" t="str">
            <v>2025-12-30 18:47:42</v>
          </cell>
          <cell r="C60" t="str">
            <v>NAKONDE ZM SIDE</v>
          </cell>
          <cell r="D60" t="str">
            <v>2025-12-30 18:50:42</v>
          </cell>
          <cell r="E60" t="str">
            <v>NAKONDE ZM SIDE</v>
          </cell>
          <cell r="F60" t="str">
            <v>0:03:00</v>
          </cell>
          <cell r="G60">
            <v>0.237482</v>
          </cell>
        </row>
        <row r="61">
          <cell r="A61" t="str">
            <v>T348EBX</v>
          </cell>
          <cell r="B61" t="str">
            <v>2025-12-30 19:00:41</v>
          </cell>
          <cell r="C61" t="str">
            <v>NAKONDE ZM SIDE</v>
          </cell>
          <cell r="D61" t="str">
            <v>2025-12-30 19:06:17</v>
          </cell>
          <cell r="E61" t="str">
            <v>NAKONDE ZM SIDE</v>
          </cell>
          <cell r="F61" t="str">
            <v>0:05:36</v>
          </cell>
          <cell r="G61">
            <v>0.18018100000000001</v>
          </cell>
        </row>
        <row r="62">
          <cell r="A62" t="str">
            <v>T348EBX</v>
          </cell>
          <cell r="B62" t="str">
            <v>2025-12-30 19:39:40</v>
          </cell>
          <cell r="C62" t="str">
            <v>NAKONDE ZM SIDE</v>
          </cell>
          <cell r="D62" t="str">
            <v>2025-12-30 19:41:55</v>
          </cell>
          <cell r="E62" t="str">
            <v>NAKONDE ZM SIDE</v>
          </cell>
          <cell r="F62" t="str">
            <v>0:02:15</v>
          </cell>
          <cell r="G62">
            <v>0.29405900000000001</v>
          </cell>
        </row>
        <row r="63">
          <cell r="A63" t="str">
            <v>T348EBX</v>
          </cell>
          <cell r="B63" t="str">
            <v>2025-12-30 19:53:50</v>
          </cell>
          <cell r="C63" t="str">
            <v>NAKONDE ZM SIDE</v>
          </cell>
          <cell r="D63" t="str">
            <v>2025-12-30 19:56:23</v>
          </cell>
          <cell r="E63" t="str">
            <v>NAKONDE ZM SIDE</v>
          </cell>
          <cell r="F63" t="str">
            <v>0:02:33</v>
          </cell>
          <cell r="G63">
            <v>0.19811699999999999</v>
          </cell>
        </row>
        <row r="64">
          <cell r="A64" t="str">
            <v>T348EBX</v>
          </cell>
          <cell r="B64" t="str">
            <v>2025-12-30 20:05:25</v>
          </cell>
          <cell r="C64" t="str">
            <v>NAKONDE ZM SIDE</v>
          </cell>
          <cell r="D64" t="str">
            <v>2025-12-30 20:08:54</v>
          </cell>
          <cell r="E64" t="str">
            <v>NAKONDE ZM SIDE</v>
          </cell>
          <cell r="F64" t="str">
            <v>0:03:29</v>
          </cell>
          <cell r="G64">
            <v>0.201875</v>
          </cell>
        </row>
        <row r="65">
          <cell r="A65" t="str">
            <v>T348EBX</v>
          </cell>
          <cell r="B65" t="str">
            <v>2025-12-30 20:37:14</v>
          </cell>
          <cell r="C65" t="str">
            <v>NAKONDE ZM SIDE</v>
          </cell>
          <cell r="D65" t="str">
            <v>2025-12-30 20:45:59</v>
          </cell>
          <cell r="E65" t="str">
            <v>NAKONDE ZM SIDE</v>
          </cell>
          <cell r="F65" t="str">
            <v>0:08:45</v>
          </cell>
          <cell r="G65">
            <v>0.26399800000000001</v>
          </cell>
        </row>
        <row r="66">
          <cell r="A66" t="str">
            <v>T348EBX</v>
          </cell>
          <cell r="B66" t="str">
            <v>2025-12-30 21:20:54</v>
          </cell>
          <cell r="C66" t="str">
            <v>NAKONDE ZM SIDE</v>
          </cell>
          <cell r="D66" t="str">
            <v>2025-12-30 21:26:41</v>
          </cell>
          <cell r="E66" t="str">
            <v>Great North Road, Nakonde</v>
          </cell>
          <cell r="F66" t="str">
            <v>0:05:47</v>
          </cell>
          <cell r="G66">
            <v>0.19273000000000001</v>
          </cell>
        </row>
        <row r="67">
          <cell r="A67" t="str">
            <v>T348EBX</v>
          </cell>
          <cell r="B67" t="str">
            <v>2025-12-30 21:41:57</v>
          </cell>
          <cell r="C67" t="str">
            <v>TUNDUMA BORDER TZ SIDE</v>
          </cell>
          <cell r="D67" t="str">
            <v>2025-12-30 21:58:43</v>
          </cell>
          <cell r="E67" t="str">
            <v>TUNDUMA BORDER TZ SIDE</v>
          </cell>
          <cell r="F67" t="str">
            <v>0:16:46</v>
          </cell>
          <cell r="G67">
            <v>0.18720500000000001</v>
          </cell>
        </row>
        <row r="68">
          <cell r="A68" t="str">
            <v>T348EBX</v>
          </cell>
          <cell r="B68" t="str">
            <v>2025-12-30 22:15:09</v>
          </cell>
          <cell r="C68" t="str">
            <v>TUNDUMA BORDER TZ SIDE</v>
          </cell>
          <cell r="D68" t="str">
            <v>2025-12-30 22:37:18</v>
          </cell>
          <cell r="E68" t="str">
            <v>TUNDUMA BORDER TZ SIDE</v>
          </cell>
          <cell r="F68" t="str">
            <v>0:22:09</v>
          </cell>
          <cell r="G68">
            <v>6.6870050000000001</v>
          </cell>
        </row>
        <row r="69">
          <cell r="A69" t="str">
            <v>T348EBX</v>
          </cell>
          <cell r="B69" t="str">
            <v>2025-12-30 22:54:56</v>
          </cell>
          <cell r="C69" t="str">
            <v>TUNDUMA BORDER TZ SIDE</v>
          </cell>
          <cell r="D69" t="str">
            <v>2025-12-30 23:07:03</v>
          </cell>
          <cell r="E69" t="str">
            <v>TUNDUMA BORDER TZ SIDE</v>
          </cell>
          <cell r="F69" t="str">
            <v>0:12:07</v>
          </cell>
          <cell r="G69">
            <v>2.0250210000000002</v>
          </cell>
        </row>
        <row r="70">
          <cell r="A70" t="str">
            <v>T392ECN</v>
          </cell>
          <cell r="B70" t="str">
            <v>2025-12-30 05:55:44</v>
          </cell>
          <cell r="C70" t="str">
            <v>IFUNDA, IRINGA</v>
          </cell>
          <cell r="D70" t="str">
            <v>2025-12-30 09:51:22</v>
          </cell>
          <cell r="E70" t="str">
            <v>T1, 2.30 km from Iyai</v>
          </cell>
          <cell r="F70" t="str">
            <v>3:55:38</v>
          </cell>
          <cell r="G70">
            <v>153.59722099999999</v>
          </cell>
        </row>
        <row r="71">
          <cell r="A71" t="str">
            <v>T392ECN</v>
          </cell>
          <cell r="B71" t="str">
            <v>2025-12-30 05:55:44</v>
          </cell>
          <cell r="C71" t="str">
            <v>IFUNDA, IRINGA</v>
          </cell>
          <cell r="D71" t="str">
            <v>2025-12-30 09:51:22</v>
          </cell>
          <cell r="E71" t="str">
            <v>T1, 2.30 km from Iyai</v>
          </cell>
          <cell r="F71" t="str">
            <v>3:55:38</v>
          </cell>
          <cell r="G71">
            <v>153.59722099999999</v>
          </cell>
        </row>
        <row r="72">
          <cell r="A72" t="str">
            <v>T413DHG</v>
          </cell>
          <cell r="B72" t="str">
            <v>2025-12-30 19:10:11</v>
          </cell>
          <cell r="C72" t="str">
            <v>LIKASI BYPASS 1</v>
          </cell>
          <cell r="D72" t="str">
            <v>2025-12-30 19:51:20</v>
          </cell>
          <cell r="E72" t="str">
            <v>Route De Lubumbashi, Mbalaka</v>
          </cell>
          <cell r="F72" t="str">
            <v>0:41:09</v>
          </cell>
          <cell r="G72">
            <v>20.344408999999999</v>
          </cell>
        </row>
        <row r="73">
          <cell r="A73" t="str">
            <v>T413DHG</v>
          </cell>
          <cell r="B73" t="str">
            <v>2025-12-30 19:10:11</v>
          </cell>
          <cell r="C73" t="str">
            <v>LIKASI BYPASS 1</v>
          </cell>
          <cell r="D73" t="str">
            <v>2025-12-30 19:51:20</v>
          </cell>
          <cell r="E73" t="str">
            <v>Route De Lubumbashi, Mbalaka</v>
          </cell>
          <cell r="F73" t="str">
            <v>0:41:09</v>
          </cell>
          <cell r="G73">
            <v>20.344408999999999</v>
          </cell>
        </row>
        <row r="74">
          <cell r="A74" t="str">
            <v>T415DHE</v>
          </cell>
          <cell r="B74" t="str">
            <v>2025-12-30 19:11:05</v>
          </cell>
          <cell r="C74" t="str">
            <v>LIKASI BYPASS 1</v>
          </cell>
          <cell r="D74" t="str">
            <v>2025-12-30 19:41:38</v>
          </cell>
          <cell r="E74" t="str">
            <v>Route De Lubumbashi, Mbalaka</v>
          </cell>
          <cell r="F74" t="str">
            <v>0:30:33</v>
          </cell>
          <cell r="G74">
            <v>20.182254</v>
          </cell>
        </row>
        <row r="75">
          <cell r="A75" t="str">
            <v>T415DHE</v>
          </cell>
          <cell r="B75" t="str">
            <v>2025-12-30 19:11:05</v>
          </cell>
          <cell r="C75" t="str">
            <v>LIKASI BYPASS 1</v>
          </cell>
          <cell r="D75" t="str">
            <v>2025-12-30 19:41:38</v>
          </cell>
          <cell r="E75" t="str">
            <v>Route De Lubumbashi, Mbalaka</v>
          </cell>
          <cell r="F75" t="str">
            <v>0:30:33</v>
          </cell>
          <cell r="G75">
            <v>20.182254</v>
          </cell>
        </row>
        <row r="76">
          <cell r="A76" t="str">
            <v>T416DCT</v>
          </cell>
          <cell r="B76" t="str">
            <v>2025-12-30 18:52:07</v>
          </cell>
          <cell r="C76" t="str">
            <v>M1, 13.69 km from Sementi</v>
          </cell>
          <cell r="D76" t="str">
            <v>2025-12-30 20:56:11</v>
          </cell>
          <cell r="E76" t="str">
            <v>Mbala - Nakonde Road, 17.19 km from Sementi</v>
          </cell>
          <cell r="F76" t="str">
            <v>1:34:25</v>
          </cell>
          <cell r="G76">
            <v>57.569462999999999</v>
          </cell>
        </row>
        <row r="77">
          <cell r="A77" t="str">
            <v>T416DCT</v>
          </cell>
          <cell r="B77" t="str">
            <v>2025-12-30 18:52:07</v>
          </cell>
          <cell r="C77" t="str">
            <v>M1, 13.69 km from Sementi</v>
          </cell>
          <cell r="D77" t="str">
            <v>2025-12-30 19:10:46</v>
          </cell>
          <cell r="E77" t="str">
            <v>M1, 1.57 km from Sementi</v>
          </cell>
          <cell r="F77" t="str">
            <v>0:18:39</v>
          </cell>
          <cell r="G77">
            <v>13.00689</v>
          </cell>
        </row>
        <row r="78">
          <cell r="A78" t="str">
            <v>T416DCT</v>
          </cell>
          <cell r="B78" t="str">
            <v>2025-12-30 19:40:25</v>
          </cell>
          <cell r="C78" t="str">
            <v>M1, 1.57 km from Sementi</v>
          </cell>
          <cell r="D78" t="str">
            <v>2025-12-30 20:56:11</v>
          </cell>
          <cell r="E78" t="str">
            <v>Mbala - Nakonde Road, 17.19 km from Sementi</v>
          </cell>
          <cell r="F78" t="str">
            <v>1:15:46</v>
          </cell>
          <cell r="G78">
            <v>44.562573</v>
          </cell>
        </row>
        <row r="79">
          <cell r="A79" t="str">
            <v>T420DHE</v>
          </cell>
          <cell r="B79" t="str">
            <v>2025-12-30 19:30:13</v>
          </cell>
          <cell r="C79" t="str">
            <v>NAKONDE ZM SIDE</v>
          </cell>
          <cell r="D79" t="str">
            <v>2025-12-30 23:49:51</v>
          </cell>
          <cell r="E79" t="str">
            <v>TUNDUMA PARKING</v>
          </cell>
          <cell r="F79" t="str">
            <v>1:22:04</v>
          </cell>
          <cell r="G79">
            <v>10.432854000000001</v>
          </cell>
        </row>
        <row r="80">
          <cell r="A80" t="str">
            <v>T420DHE</v>
          </cell>
          <cell r="B80" t="str">
            <v>2025-12-30 19:30:13</v>
          </cell>
          <cell r="C80" t="str">
            <v>NAKONDE ZM SIDE</v>
          </cell>
          <cell r="D80" t="str">
            <v>2025-12-30 19:34:13</v>
          </cell>
          <cell r="E80" t="str">
            <v>NAKONDE ZM SIDE</v>
          </cell>
          <cell r="F80" t="str">
            <v>0:04:00</v>
          </cell>
          <cell r="G80">
            <v>0.13757900000000001</v>
          </cell>
        </row>
        <row r="81">
          <cell r="A81" t="str">
            <v>T420DHE</v>
          </cell>
          <cell r="B81" t="str">
            <v>2025-12-30 19:41:47</v>
          </cell>
          <cell r="C81" t="str">
            <v>NAKONDE ZM SIDE</v>
          </cell>
          <cell r="D81" t="str">
            <v>2025-12-30 19:46:13</v>
          </cell>
          <cell r="E81" t="str">
            <v>NAKONDE ZM SIDE</v>
          </cell>
          <cell r="F81" t="str">
            <v>0:04:26</v>
          </cell>
          <cell r="G81">
            <v>0.23945</v>
          </cell>
        </row>
        <row r="82">
          <cell r="A82" t="str">
            <v>T420DHE</v>
          </cell>
          <cell r="B82" t="str">
            <v>2025-12-30 19:56:02</v>
          </cell>
          <cell r="C82" t="str">
            <v>NAKONDE ZM SIDE</v>
          </cell>
          <cell r="D82" t="str">
            <v>2025-12-30 19:58:24</v>
          </cell>
          <cell r="E82" t="str">
            <v>NAKONDE ZM SIDE</v>
          </cell>
          <cell r="F82" t="str">
            <v>0:02:22</v>
          </cell>
          <cell r="G82">
            <v>0.24663599999999999</v>
          </cell>
        </row>
        <row r="83">
          <cell r="A83" t="str">
            <v>T420DHE</v>
          </cell>
          <cell r="B83" t="str">
            <v>2025-12-30 20:22:26</v>
          </cell>
          <cell r="C83" t="str">
            <v>NAKONDE ZM SIDE</v>
          </cell>
          <cell r="D83" t="str">
            <v>2025-12-30 20:31:41</v>
          </cell>
          <cell r="E83" t="str">
            <v>NAKONDE ZM SIDE</v>
          </cell>
          <cell r="F83" t="str">
            <v>0:09:15</v>
          </cell>
          <cell r="G83">
            <v>0.21004100000000001</v>
          </cell>
        </row>
        <row r="84">
          <cell r="A84" t="str">
            <v>T420DHE</v>
          </cell>
          <cell r="B84" t="str">
            <v>2025-12-30 20:44:54</v>
          </cell>
          <cell r="C84" t="str">
            <v>NAKONDE ZM SIDE</v>
          </cell>
          <cell r="D84" t="str">
            <v>2025-12-30 20:46:15</v>
          </cell>
          <cell r="E84" t="str">
            <v>NAKONDE ZM SIDE</v>
          </cell>
          <cell r="F84" t="str">
            <v>0:01:21</v>
          </cell>
          <cell r="G84">
            <v>0.236507</v>
          </cell>
        </row>
        <row r="85">
          <cell r="A85" t="str">
            <v>T420DHE</v>
          </cell>
          <cell r="B85" t="str">
            <v>2025-12-30 21:02:39</v>
          </cell>
          <cell r="C85" t="str">
            <v>NAKONDE ZM SIDE</v>
          </cell>
          <cell r="D85" t="str">
            <v>2025-12-30 21:03:43</v>
          </cell>
          <cell r="E85" t="str">
            <v>NAKONDE ZM SIDE</v>
          </cell>
          <cell r="F85" t="str">
            <v>0:01:04</v>
          </cell>
          <cell r="G85">
            <v>0.14396400000000001</v>
          </cell>
        </row>
        <row r="86">
          <cell r="A86" t="str">
            <v>T420DHE</v>
          </cell>
          <cell r="B86" t="str">
            <v>2025-12-30 21:26:21</v>
          </cell>
          <cell r="C86" t="str">
            <v>NAKONDE ZM SIDE</v>
          </cell>
          <cell r="D86" t="str">
            <v>2025-12-30 21:38:30</v>
          </cell>
          <cell r="E86" t="str">
            <v>Great North Road, Nakonde</v>
          </cell>
          <cell r="F86" t="str">
            <v>0:12:09</v>
          </cell>
          <cell r="G86">
            <v>0.326187</v>
          </cell>
        </row>
        <row r="87">
          <cell r="A87" t="str">
            <v>T420DHE</v>
          </cell>
          <cell r="B87" t="str">
            <v>2025-12-30 22:20:56</v>
          </cell>
          <cell r="C87" t="str">
            <v>TUNDUMA BORDER TZ SIDE</v>
          </cell>
          <cell r="D87" t="str">
            <v>2025-12-30 22:23:06</v>
          </cell>
          <cell r="E87" t="str">
            <v>TUNDUMA BORDER TZ SIDE</v>
          </cell>
          <cell r="F87" t="str">
            <v>0:02:10</v>
          </cell>
          <cell r="G87">
            <v>0.12864400000000001</v>
          </cell>
        </row>
        <row r="88">
          <cell r="A88" t="str">
            <v>T420DHE</v>
          </cell>
          <cell r="B88" t="str">
            <v>2025-12-30 22:31:46</v>
          </cell>
          <cell r="C88" t="str">
            <v>TUNDUMA BORDER TZ SIDE</v>
          </cell>
          <cell r="D88" t="str">
            <v>2025-12-30 23:08:46</v>
          </cell>
          <cell r="E88" t="str">
            <v>TUNDUMA BORDER TZ SIDE</v>
          </cell>
          <cell r="F88" t="str">
            <v>0:37:00</v>
          </cell>
          <cell r="G88">
            <v>6.7262909999999998</v>
          </cell>
        </row>
        <row r="89">
          <cell r="A89" t="str">
            <v>T420DHE</v>
          </cell>
          <cell r="B89" t="str">
            <v>2025-12-30 23:41:34</v>
          </cell>
          <cell r="C89" t="str">
            <v>TUNDUMA BORDER TZ SIDE</v>
          </cell>
          <cell r="D89" t="str">
            <v>2025-12-30 23:49:51</v>
          </cell>
          <cell r="E89" t="str">
            <v>TUNDUMA PARKING</v>
          </cell>
          <cell r="F89" t="str">
            <v>0:08:17</v>
          </cell>
          <cell r="G89">
            <v>2.0375549999999998</v>
          </cell>
        </row>
        <row r="90">
          <cell r="A90" t="str">
            <v>T423DHE</v>
          </cell>
          <cell r="B90" t="str">
            <v>2025-12-30 19:37:09</v>
          </cell>
          <cell r="C90" t="str">
            <v>CHIMALA FILLING STATION</v>
          </cell>
          <cell r="D90" t="str">
            <v>2025-12-30 20:31:59</v>
          </cell>
          <cell r="E90" t="str">
            <v>IGAWA T JUNCTION</v>
          </cell>
          <cell r="F90" t="str">
            <v>0:54:50</v>
          </cell>
          <cell r="G90">
            <v>41.330562</v>
          </cell>
        </row>
        <row r="91">
          <cell r="A91" t="str">
            <v>T423DHE</v>
          </cell>
          <cell r="B91" t="str">
            <v>2025-12-30 19:37:09</v>
          </cell>
          <cell r="C91" t="str">
            <v>CHIMALA FILLING STATION</v>
          </cell>
          <cell r="D91" t="str">
            <v>2025-12-30 20:31:59</v>
          </cell>
          <cell r="E91" t="str">
            <v>IGAWA T JUNCTION</v>
          </cell>
          <cell r="F91" t="str">
            <v>0:54:50</v>
          </cell>
          <cell r="G91">
            <v>41.330562</v>
          </cell>
        </row>
        <row r="92">
          <cell r="A92" t="str">
            <v>T434DHG</v>
          </cell>
          <cell r="B92" t="str">
            <v>2025-12-30 18:52:17</v>
          </cell>
          <cell r="C92" t="str">
            <v>M1, 13.70 km from Sementi</v>
          </cell>
          <cell r="D92" t="str">
            <v>2025-12-30 20:54:50</v>
          </cell>
          <cell r="E92" t="str">
            <v>Mbala - Nakonde Road, 17.22 km from Sementi</v>
          </cell>
          <cell r="F92" t="str">
            <v>1:34:55</v>
          </cell>
          <cell r="G92">
            <v>57.585585000000002</v>
          </cell>
        </row>
        <row r="93">
          <cell r="A93" t="str">
            <v>T434DHG</v>
          </cell>
          <cell r="B93" t="str">
            <v>2025-12-30 18:52:17</v>
          </cell>
          <cell r="C93" t="str">
            <v>M1, 13.70 km from Sementi</v>
          </cell>
          <cell r="D93" t="str">
            <v>2025-12-30 19:13:21</v>
          </cell>
          <cell r="E93" t="str">
            <v>M1, 1.53 km from Sementi</v>
          </cell>
          <cell r="F93" t="str">
            <v>0:21:04</v>
          </cell>
          <cell r="G93">
            <v>13.061681999999999</v>
          </cell>
        </row>
        <row r="94">
          <cell r="A94" t="str">
            <v>T434DHG</v>
          </cell>
          <cell r="B94" t="str">
            <v>2025-12-30 19:40:59</v>
          </cell>
          <cell r="C94" t="str">
            <v>M1, 1.53 km from Sementi</v>
          </cell>
          <cell r="D94" t="str">
            <v>2025-12-30 20:54:50</v>
          </cell>
          <cell r="E94" t="str">
            <v>Mbala - Nakonde Road, 17.22 km from Sementi</v>
          </cell>
          <cell r="F94" t="str">
            <v>1:13:51</v>
          </cell>
          <cell r="G94">
            <v>44.523904000000002</v>
          </cell>
        </row>
        <row r="95">
          <cell r="A95" t="str">
            <v>T436DHG</v>
          </cell>
          <cell r="B95" t="str">
            <v>2025-12-30 19:01:57</v>
          </cell>
          <cell r="C95" t="str">
            <v>KASUMBALESA DRC SIDE</v>
          </cell>
          <cell r="D95" t="str">
            <v>2025-12-30 19:39:02</v>
          </cell>
          <cell r="E95" t="str">
            <v>KASUMBALESA 114 PARKING</v>
          </cell>
          <cell r="F95" t="str">
            <v>0:18:02</v>
          </cell>
          <cell r="G95">
            <v>0.52454100000000004</v>
          </cell>
        </row>
        <row r="96">
          <cell r="A96" t="str">
            <v>T436DHG</v>
          </cell>
          <cell r="B96" t="str">
            <v>2025-12-30 19:01:57</v>
          </cell>
          <cell r="C96" t="str">
            <v>KASUMBALESA DRC SIDE</v>
          </cell>
          <cell r="D96" t="str">
            <v>2025-12-30 19:14:16</v>
          </cell>
          <cell r="E96" t="str">
            <v>KASUMBALESA 114 PARKING</v>
          </cell>
          <cell r="F96" t="str">
            <v>0:12:19</v>
          </cell>
          <cell r="G96">
            <v>0.35231400000000002</v>
          </cell>
        </row>
        <row r="97">
          <cell r="A97" t="str">
            <v>T436DHG</v>
          </cell>
          <cell r="B97" t="str">
            <v>2025-12-30 19:33:19</v>
          </cell>
          <cell r="C97" t="str">
            <v>KASUMBALESA 114 PARKING</v>
          </cell>
          <cell r="D97" t="str">
            <v>2025-12-30 19:39:02</v>
          </cell>
          <cell r="E97" t="str">
            <v>KASUMBALESA 114 PARKING</v>
          </cell>
          <cell r="F97" t="str">
            <v>0:05:43</v>
          </cell>
          <cell r="G97">
            <v>0.17222599999999999</v>
          </cell>
        </row>
        <row r="98">
          <cell r="A98" t="str">
            <v>T492DYR</v>
          </cell>
          <cell r="B98" t="str">
            <v>2025-12-30 18:35:17</v>
          </cell>
          <cell r="C98" t="str">
            <v>GOMEZ PARKING - DRC</v>
          </cell>
          <cell r="D98" t="str">
            <v>2025-12-30 18:45:56</v>
          </cell>
          <cell r="E98" t="str">
            <v>GOMEZ PARKING - DRC</v>
          </cell>
          <cell r="F98" t="str">
            <v>0:10:39</v>
          </cell>
          <cell r="G98">
            <v>0.44450699999999999</v>
          </cell>
        </row>
        <row r="99">
          <cell r="A99" t="str">
            <v>T492DYR</v>
          </cell>
          <cell r="B99" t="str">
            <v>2025-12-30 18:35:17</v>
          </cell>
          <cell r="C99" t="str">
            <v>GOMEZ PARKING - DRC</v>
          </cell>
          <cell r="D99" t="str">
            <v>2025-12-30 18:45:56</v>
          </cell>
          <cell r="E99" t="str">
            <v>GOMEZ PARKING - DRC</v>
          </cell>
          <cell r="F99" t="str">
            <v>0:10:39</v>
          </cell>
          <cell r="G99">
            <v>0.44450699999999999</v>
          </cell>
        </row>
        <row r="100">
          <cell r="A100" t="str">
            <v>T494DYR</v>
          </cell>
          <cell r="B100" t="str">
            <v>2025-12-30 18:45:25</v>
          </cell>
          <cell r="C100" t="str">
            <v>Rn1, 5.00 km from Kikula</v>
          </cell>
          <cell r="D100" t="str">
            <v>2025-12-30 19:42:31</v>
          </cell>
          <cell r="E100" t="str">
            <v>LIKASI BYPASS 1</v>
          </cell>
          <cell r="F100" t="str">
            <v>0:50:43</v>
          </cell>
          <cell r="G100">
            <v>26.325868</v>
          </cell>
        </row>
        <row r="101">
          <cell r="A101" t="str">
            <v>T494DYR</v>
          </cell>
          <cell r="B101" t="str">
            <v>2025-12-30 18:45:25</v>
          </cell>
          <cell r="C101" t="str">
            <v>Rn1, 5.00 km from Kikula</v>
          </cell>
          <cell r="D101" t="str">
            <v>2025-12-30 19:00:26</v>
          </cell>
          <cell r="E101" t="str">
            <v>LIKASI BYPASS 1</v>
          </cell>
          <cell r="F101" t="str">
            <v>0:15:01</v>
          </cell>
          <cell r="G101">
            <v>5.9713710000000004</v>
          </cell>
        </row>
        <row r="102">
          <cell r="A102" t="str">
            <v>T494DYR</v>
          </cell>
          <cell r="B102" t="str">
            <v>2025-12-30 19:06:49</v>
          </cell>
          <cell r="C102" t="str">
            <v>LIKASI BYPASS 1</v>
          </cell>
          <cell r="D102" t="str">
            <v>2025-12-30 19:42:31</v>
          </cell>
          <cell r="E102" t="str">
            <v>LIKASI BYPASS 1</v>
          </cell>
          <cell r="F102" t="str">
            <v>0:35:42</v>
          </cell>
          <cell r="G102">
            <v>20.354496999999999</v>
          </cell>
        </row>
        <row r="103">
          <cell r="A103" t="str">
            <v>T509EBY</v>
          </cell>
          <cell r="B103" t="str">
            <v>2025-12-30 01:20:51</v>
          </cell>
          <cell r="C103" t="str">
            <v>Rn39, 3.98 km from Fungurume</v>
          </cell>
          <cell r="D103" t="str">
            <v>2025-12-30 01:27:41</v>
          </cell>
          <cell r="E103" t="str">
            <v>Rn39, 4.07 km from Fungurume</v>
          </cell>
          <cell r="F103" t="str">
            <v>0:06:50</v>
          </cell>
          <cell r="G103">
            <v>0.32198100000000002</v>
          </cell>
        </row>
        <row r="104">
          <cell r="A104" t="str">
            <v>T509EBY</v>
          </cell>
          <cell r="B104" t="str">
            <v>2025-12-30 01:20:51</v>
          </cell>
          <cell r="C104" t="str">
            <v>Rn39, 3.98 km from Fungurume</v>
          </cell>
          <cell r="D104" t="str">
            <v>2025-12-30 01:27:41</v>
          </cell>
          <cell r="E104" t="str">
            <v>Rn39, 4.07 km from Fungurume</v>
          </cell>
          <cell r="F104" t="str">
            <v>0:06:50</v>
          </cell>
          <cell r="G104">
            <v>0.32198100000000002</v>
          </cell>
        </row>
        <row r="105">
          <cell r="A105" t="str">
            <v>T511EBY</v>
          </cell>
          <cell r="B105" t="str">
            <v>2025-12-30 19:35:31</v>
          </cell>
          <cell r="C105" t="str">
            <v>NAKONDE ZM SIDE</v>
          </cell>
          <cell r="D105" t="str">
            <v>2025-12-30 19:46:43</v>
          </cell>
          <cell r="E105" t="str">
            <v>NAKONDE ZM SIDE</v>
          </cell>
          <cell r="F105" t="str">
            <v>0:11:12</v>
          </cell>
          <cell r="G105">
            <v>0.230383</v>
          </cell>
        </row>
        <row r="106">
          <cell r="A106" t="str">
            <v>T511EBY</v>
          </cell>
          <cell r="B106" t="str">
            <v>2025-12-30 19:35:31</v>
          </cell>
          <cell r="C106" t="str">
            <v>NAKONDE ZM SIDE</v>
          </cell>
          <cell r="D106" t="str">
            <v>2025-12-30 19:46:43</v>
          </cell>
          <cell r="E106" t="str">
            <v>NAKONDE ZM SIDE</v>
          </cell>
          <cell r="F106" t="str">
            <v>0:11:12</v>
          </cell>
          <cell r="G106">
            <v>0.230383</v>
          </cell>
        </row>
        <row r="107">
          <cell r="A107" t="str">
            <v>T518EBY</v>
          </cell>
          <cell r="B107" t="str">
            <v>2025-12-30 05:54:48</v>
          </cell>
          <cell r="C107" t="str">
            <v>KASUMBALESA DRC SIDE</v>
          </cell>
          <cell r="D107" t="str">
            <v>2025-12-30 19:32:47</v>
          </cell>
          <cell r="E107" t="str">
            <v>KASUMBALESA 114 PARKING</v>
          </cell>
          <cell r="F107" t="str">
            <v>0:25:14</v>
          </cell>
          <cell r="G107">
            <v>2.3744730000000001</v>
          </cell>
        </row>
        <row r="108">
          <cell r="A108" t="str">
            <v>T518EBY</v>
          </cell>
          <cell r="B108" t="str">
            <v>2025-12-30 05:54:48</v>
          </cell>
          <cell r="C108" t="str">
            <v>KASUMBALESA DRC SIDE</v>
          </cell>
          <cell r="D108" t="str">
            <v>2025-12-30 05:59:26</v>
          </cell>
          <cell r="E108" t="str">
            <v>KASUMBALESA DRC SIDE</v>
          </cell>
          <cell r="F108" t="str">
            <v>0:04:38</v>
          </cell>
          <cell r="G108">
            <v>1.4219250000000001</v>
          </cell>
        </row>
        <row r="109">
          <cell r="A109" t="str">
            <v>T518EBY</v>
          </cell>
          <cell r="B109" t="str">
            <v>2025-12-30 19:03:54</v>
          </cell>
          <cell r="C109" t="str">
            <v>T3, 7.18 km from Konkola</v>
          </cell>
          <cell r="D109" t="str">
            <v>2025-12-30 19:10:11</v>
          </cell>
          <cell r="E109" t="str">
            <v>KASUMBALESA ZAMBIA SIDE</v>
          </cell>
          <cell r="F109" t="str">
            <v>0:06:17</v>
          </cell>
          <cell r="G109">
            <v>0.26772200000000002</v>
          </cell>
        </row>
        <row r="110">
          <cell r="A110" t="str">
            <v>T518EBY</v>
          </cell>
          <cell r="B110" t="str">
            <v>2025-12-30 19:18:28</v>
          </cell>
          <cell r="C110" t="str">
            <v>KASUMBALESA ZAMBIA SIDE</v>
          </cell>
          <cell r="D110" t="str">
            <v>2025-12-30 19:32:47</v>
          </cell>
          <cell r="E110" t="str">
            <v>KASUMBALESA 114 PARKING</v>
          </cell>
          <cell r="F110" t="str">
            <v>0:14:19</v>
          </cell>
          <cell r="G110">
            <v>0.68482600000000005</v>
          </cell>
        </row>
        <row r="111">
          <cell r="A111" t="str">
            <v>T527EBY</v>
          </cell>
          <cell r="B111" t="str">
            <v>2025-12-30 05:58:37</v>
          </cell>
          <cell r="C111" t="str">
            <v>TUNDUMA PARKING</v>
          </cell>
          <cell r="D111" t="str">
            <v>2025-12-30 08:37:14</v>
          </cell>
          <cell r="E111" t="str">
            <v>Tanzam Road, Mbalizi</v>
          </cell>
          <cell r="F111" t="str">
            <v>2:38:37</v>
          </cell>
          <cell r="G111">
            <v>82.393563999999998</v>
          </cell>
        </row>
        <row r="112">
          <cell r="A112" t="str">
            <v>T527EBY</v>
          </cell>
          <cell r="B112" t="str">
            <v>2025-12-30 05:58:37</v>
          </cell>
          <cell r="C112" t="str">
            <v>TUNDUMA PARKING</v>
          </cell>
          <cell r="D112" t="str">
            <v>2025-12-30 08:37:14</v>
          </cell>
          <cell r="E112" t="str">
            <v>Tanzam Road, Mbalizi</v>
          </cell>
          <cell r="F112" t="str">
            <v>2:38:37</v>
          </cell>
          <cell r="G112">
            <v>82.393563999999998</v>
          </cell>
        </row>
        <row r="113">
          <cell r="A113" t="str">
            <v>T561DYR</v>
          </cell>
          <cell r="B113" t="str">
            <v>2025-12-30 18:46:35</v>
          </cell>
          <cell r="C113" t="str">
            <v>LIKASI,DRC</v>
          </cell>
          <cell r="D113" t="str">
            <v>2025-12-30 19:42:35</v>
          </cell>
          <cell r="E113" t="str">
            <v>Route De Lubumbashi, Mbalaka</v>
          </cell>
          <cell r="F113" t="str">
            <v>0:47:33</v>
          </cell>
          <cell r="G113">
            <v>28.301864999999999</v>
          </cell>
        </row>
        <row r="114">
          <cell r="A114" t="str">
            <v>T561DYR</v>
          </cell>
          <cell r="B114" t="str">
            <v>2025-12-30 18:46:35</v>
          </cell>
          <cell r="C114" t="str">
            <v>LIKASI,DRC</v>
          </cell>
          <cell r="D114" t="str">
            <v>2025-12-30 18:58:32</v>
          </cell>
          <cell r="E114" t="str">
            <v>LIKASI BYPASS 1</v>
          </cell>
          <cell r="F114" t="str">
            <v>0:11:57</v>
          </cell>
          <cell r="G114">
            <v>7.9369839999999998</v>
          </cell>
        </row>
        <row r="115">
          <cell r="A115" t="str">
            <v>T561DYR</v>
          </cell>
          <cell r="B115" t="str">
            <v>2025-12-30 19:06:59</v>
          </cell>
          <cell r="C115" t="str">
            <v>LIKASI BYPASS 1</v>
          </cell>
          <cell r="D115" t="str">
            <v>2025-12-30 19:42:35</v>
          </cell>
          <cell r="E115" t="str">
            <v>Route De Lubumbashi, Mbalaka</v>
          </cell>
          <cell r="F115" t="str">
            <v>0:35:36</v>
          </cell>
          <cell r="G115">
            <v>20.364881</v>
          </cell>
        </row>
        <row r="116">
          <cell r="A116" t="str">
            <v>T566DYR</v>
          </cell>
          <cell r="B116" t="str">
            <v>2025-12-30 19:05:02</v>
          </cell>
          <cell r="C116" t="str">
            <v>Kolwezi, Rn39</v>
          </cell>
          <cell r="D116" t="str">
            <v>2025-12-30 20:27:31</v>
          </cell>
          <cell r="E116" t="str">
            <v>KISENDA, MUTANDA MINE JUNCTION</v>
          </cell>
          <cell r="F116" t="str">
            <v>0:57:54</v>
          </cell>
          <cell r="G116">
            <v>27.679364</v>
          </cell>
        </row>
        <row r="117">
          <cell r="A117" t="str">
            <v>T566DYR</v>
          </cell>
          <cell r="B117" t="str">
            <v>2025-12-30 19:05:02</v>
          </cell>
          <cell r="C117" t="str">
            <v>Kolwezi, Rn39</v>
          </cell>
          <cell r="D117" t="str">
            <v>2025-12-30 19:19:26</v>
          </cell>
          <cell r="E117" t="str">
            <v>Rn39, 5.46 km from Kisenda</v>
          </cell>
          <cell r="F117" t="str">
            <v>0:14:24</v>
          </cell>
          <cell r="G117">
            <v>12.453730999999999</v>
          </cell>
        </row>
        <row r="118">
          <cell r="A118" t="str">
            <v>T566DYR</v>
          </cell>
          <cell r="B118" t="str">
            <v>2025-12-30 19:30:02</v>
          </cell>
          <cell r="C118" t="str">
            <v>Rn39, 5.46 km from Kisenda</v>
          </cell>
          <cell r="D118" t="str">
            <v>2025-12-30 19:33:20</v>
          </cell>
          <cell r="E118" t="str">
            <v>Rn39, 5.33 km from Kisenda</v>
          </cell>
          <cell r="F118" t="str">
            <v>0:03:18</v>
          </cell>
          <cell r="G118">
            <v>0.13999700000000001</v>
          </cell>
        </row>
        <row r="119">
          <cell r="A119" t="str">
            <v>T566DYR</v>
          </cell>
          <cell r="B119" t="str">
            <v>2025-12-30 19:42:19</v>
          </cell>
          <cell r="C119" t="str">
            <v>PEAGE LUALABA</v>
          </cell>
          <cell r="D119" t="str">
            <v>2025-12-30 20:13:32</v>
          </cell>
          <cell r="E119" t="str">
            <v>MUTANDA MINES,DRC</v>
          </cell>
          <cell r="F119" t="str">
            <v>0:31:13</v>
          </cell>
          <cell r="G119">
            <v>14.628081</v>
          </cell>
        </row>
        <row r="120">
          <cell r="A120" t="str">
            <v>T566DYR</v>
          </cell>
          <cell r="B120" t="str">
            <v>2025-12-30 20:18:32</v>
          </cell>
          <cell r="C120" t="str">
            <v>MUTANDA MINES,DRC</v>
          </cell>
          <cell r="D120" t="str">
            <v>2025-12-30 20:27:31</v>
          </cell>
          <cell r="E120" t="str">
            <v>KISENDA, MUTANDA MINE JUNCTION</v>
          </cell>
          <cell r="F120" t="str">
            <v>0:08:59</v>
          </cell>
          <cell r="G120">
            <v>0.45755400000000002</v>
          </cell>
        </row>
        <row r="121">
          <cell r="A121" t="str">
            <v>T576DTQ</v>
          </cell>
          <cell r="B121" t="str">
            <v>2025-12-30 19:20:17</v>
          </cell>
          <cell r="C121" t="str">
            <v>MUTANDA MINES,DRC</v>
          </cell>
          <cell r="D121" t="str">
            <v>2025-12-30 19:25:11</v>
          </cell>
          <cell r="E121" t="str">
            <v>KISENDA, MUTANDA MINE JUNCTION</v>
          </cell>
          <cell r="F121" t="str">
            <v>0:04:54</v>
          </cell>
          <cell r="G121">
            <v>0.34537800000000002</v>
          </cell>
        </row>
        <row r="122">
          <cell r="A122" t="str">
            <v>T576DTQ</v>
          </cell>
          <cell r="B122" t="str">
            <v>2025-12-30 19:20:17</v>
          </cell>
          <cell r="C122" t="str">
            <v>MUTANDA MINES,DRC</v>
          </cell>
          <cell r="D122" t="str">
            <v>2025-12-30 19:25:11</v>
          </cell>
          <cell r="E122" t="str">
            <v>KISENDA, MUTANDA MINE JUNCTION</v>
          </cell>
          <cell r="F122" t="str">
            <v>0:04:54</v>
          </cell>
          <cell r="G122">
            <v>0.34537800000000002</v>
          </cell>
        </row>
        <row r="123">
          <cell r="A123" t="str">
            <v>T576DYR</v>
          </cell>
          <cell r="B123" t="str">
            <v>2025-12-30 19:44:50</v>
          </cell>
          <cell r="C123" t="str">
            <v>VS CARGO ZM</v>
          </cell>
          <cell r="D123" t="str">
            <v>2025-12-30 19:48:42</v>
          </cell>
          <cell r="E123" t="str">
            <v>VS CARGO ZM</v>
          </cell>
          <cell r="F123" t="str">
            <v>0:03:52</v>
          </cell>
          <cell r="G123">
            <v>0.16387199999999999</v>
          </cell>
        </row>
        <row r="124">
          <cell r="A124" t="str">
            <v>T576DYR</v>
          </cell>
          <cell r="B124" t="str">
            <v>2025-12-30 19:44:50</v>
          </cell>
          <cell r="C124" t="str">
            <v>VS CARGO ZM</v>
          </cell>
          <cell r="D124" t="str">
            <v>2025-12-30 19:48:42</v>
          </cell>
          <cell r="E124" t="str">
            <v>VS CARGO ZM</v>
          </cell>
          <cell r="F124" t="str">
            <v>0:03:52</v>
          </cell>
          <cell r="G124">
            <v>0.16387199999999999</v>
          </cell>
        </row>
        <row r="125">
          <cell r="A125" t="str">
            <v>T581DYR</v>
          </cell>
          <cell r="B125" t="str">
            <v>2025-12-30 00:00:48</v>
          </cell>
          <cell r="C125" t="str">
            <v>TUNDUMA BORDER TZ SIDE</v>
          </cell>
          <cell r="D125" t="str">
            <v>2025-12-30 00:07:43</v>
          </cell>
          <cell r="E125" t="str">
            <v>TUNDUMA BORDER TZ SIDE</v>
          </cell>
          <cell r="F125" t="str">
            <v>0:06:55</v>
          </cell>
          <cell r="G125">
            <v>1.9857050000000001</v>
          </cell>
        </row>
        <row r="126">
          <cell r="A126" t="str">
            <v>T581DYR</v>
          </cell>
          <cell r="B126" t="str">
            <v>2025-12-30 00:00:48</v>
          </cell>
          <cell r="C126" t="str">
            <v>TUNDUMA BORDER TZ SIDE</v>
          </cell>
          <cell r="D126" t="str">
            <v>2025-12-30 00:07:43</v>
          </cell>
          <cell r="E126" t="str">
            <v>TUNDUMA BORDER TZ SIDE</v>
          </cell>
          <cell r="F126" t="str">
            <v>0:06:55</v>
          </cell>
          <cell r="G126">
            <v>1.9857050000000001</v>
          </cell>
        </row>
        <row r="127">
          <cell r="A127" t="str">
            <v>T585DTQ</v>
          </cell>
          <cell r="B127" t="str">
            <v>2025-12-30 19:10:07</v>
          </cell>
          <cell r="C127" t="str">
            <v>T1, Bwawani</v>
          </cell>
          <cell r="D127" t="str">
            <v>2025-12-30 19:15:52</v>
          </cell>
          <cell r="E127" t="str">
            <v>T1, Bwawani</v>
          </cell>
          <cell r="F127" t="str">
            <v>0:05:45</v>
          </cell>
          <cell r="G127">
            <v>0.72769099999999998</v>
          </cell>
        </row>
        <row r="128">
          <cell r="A128" t="str">
            <v>T585DTQ</v>
          </cell>
          <cell r="B128" t="str">
            <v>2025-12-30 19:10:07</v>
          </cell>
          <cell r="C128" t="str">
            <v>T1, Bwawani</v>
          </cell>
          <cell r="D128" t="str">
            <v>2025-12-30 19:15:52</v>
          </cell>
          <cell r="E128" t="str">
            <v>T1, Bwawani</v>
          </cell>
          <cell r="F128" t="str">
            <v>0:05:45</v>
          </cell>
          <cell r="G128">
            <v>0.72769099999999998</v>
          </cell>
        </row>
        <row r="129">
          <cell r="A129" t="str">
            <v>T588DYR</v>
          </cell>
          <cell r="B129" t="str">
            <v>2025-12-30 18:34:21</v>
          </cell>
          <cell r="C129" t="str">
            <v>PEAGE LUALABA</v>
          </cell>
          <cell r="D129" t="str">
            <v>2025-12-30 19:28:55</v>
          </cell>
          <cell r="E129" t="str">
            <v>KISENDA, MUTANDA MINE JUNCTION</v>
          </cell>
          <cell r="F129" t="str">
            <v>0:43:34</v>
          </cell>
          <cell r="G129">
            <v>14.595533</v>
          </cell>
        </row>
        <row r="130">
          <cell r="A130" t="str">
            <v>T588DYR</v>
          </cell>
          <cell r="B130" t="str">
            <v>2025-12-30 18:34:21</v>
          </cell>
          <cell r="C130" t="str">
            <v>PEAGE LUALABA</v>
          </cell>
          <cell r="D130" t="str">
            <v>2025-12-30 19:11:55</v>
          </cell>
          <cell r="E130" t="str">
            <v>MUTANDA MINES,DRC</v>
          </cell>
          <cell r="F130" t="str">
            <v>0:37:34</v>
          </cell>
          <cell r="G130">
            <v>14.355159</v>
          </cell>
        </row>
        <row r="131">
          <cell r="A131" t="str">
            <v>T588DYR</v>
          </cell>
          <cell r="B131" t="str">
            <v>2025-12-30 19:22:55</v>
          </cell>
          <cell r="C131" t="str">
            <v>MUTANDA MINES,DRC</v>
          </cell>
          <cell r="D131" t="str">
            <v>2025-12-30 19:28:55</v>
          </cell>
          <cell r="E131" t="str">
            <v>KISENDA, MUTANDA MINE JUNCTION</v>
          </cell>
          <cell r="F131" t="str">
            <v>0:06:00</v>
          </cell>
          <cell r="G131">
            <v>0.240374</v>
          </cell>
        </row>
        <row r="132">
          <cell r="A132" t="str">
            <v>T595DTQ</v>
          </cell>
          <cell r="B132" t="str">
            <v>2025-12-30 18:55:08</v>
          </cell>
          <cell r="C132" t="str">
            <v>Mbala - Nakonde Road, 13.16 km from Ntatumbila</v>
          </cell>
          <cell r="D132" t="str">
            <v>2025-12-30 20:28:28</v>
          </cell>
          <cell r="E132" t="str">
            <v>NAKONDE ZM SIDE</v>
          </cell>
          <cell r="F132" t="str">
            <v>1:33:20</v>
          </cell>
          <cell r="G132">
            <v>70.279319000000001</v>
          </cell>
        </row>
        <row r="133">
          <cell r="A133" t="str">
            <v>T595DTQ</v>
          </cell>
          <cell r="B133" t="str">
            <v>2025-12-30 18:55:08</v>
          </cell>
          <cell r="C133" t="str">
            <v>Mbala - Nakonde Road, 13.16 km from Ntatumbila</v>
          </cell>
          <cell r="D133" t="str">
            <v>2025-12-30 20:28:28</v>
          </cell>
          <cell r="E133" t="str">
            <v>NAKONDE ZM SIDE</v>
          </cell>
          <cell r="F133" t="str">
            <v>1:33:20</v>
          </cell>
          <cell r="G133">
            <v>70.279319000000001</v>
          </cell>
        </row>
        <row r="134">
          <cell r="A134" t="str">
            <v>T596DTQ</v>
          </cell>
          <cell r="B134" t="str">
            <v>2025-12-30 20:44:02</v>
          </cell>
          <cell r="C134" t="str">
            <v>NAKONDE ZM SIDE</v>
          </cell>
          <cell r="D134" t="str">
            <v>2025-12-30 23:58:32</v>
          </cell>
          <cell r="E134" t="str">
            <v>TUNDUMA BORDER TZ SIDE</v>
          </cell>
          <cell r="F134" t="str">
            <v>1:11:23</v>
          </cell>
          <cell r="G134">
            <v>8.5696940000000001</v>
          </cell>
        </row>
        <row r="135">
          <cell r="A135" t="str">
            <v>T596DTQ</v>
          </cell>
          <cell r="B135" t="str">
            <v>2025-12-30 20:44:02</v>
          </cell>
          <cell r="C135" t="str">
            <v>NAKONDE ZM SIDE</v>
          </cell>
          <cell r="D135" t="str">
            <v>2025-12-30 21:12:46</v>
          </cell>
          <cell r="E135" t="str">
            <v>NAKONDE ZM SIDE</v>
          </cell>
          <cell r="F135" t="str">
            <v>0:28:44</v>
          </cell>
          <cell r="G135">
            <v>4.6652209999999998</v>
          </cell>
        </row>
        <row r="136">
          <cell r="A136" t="str">
            <v>T596DTQ</v>
          </cell>
          <cell r="B136" t="str">
            <v>2025-12-30 21:43:25</v>
          </cell>
          <cell r="C136" t="str">
            <v>NAKONDE ZM SIDE</v>
          </cell>
          <cell r="D136" t="str">
            <v>2025-12-30 21:47:09</v>
          </cell>
          <cell r="E136" t="str">
            <v>NAKONDE ZM SIDE</v>
          </cell>
          <cell r="F136" t="str">
            <v>0:03:44</v>
          </cell>
          <cell r="G136">
            <v>0.21944900000000001</v>
          </cell>
        </row>
        <row r="137">
          <cell r="A137" t="str">
            <v>T596DTQ</v>
          </cell>
          <cell r="B137" t="str">
            <v>2025-12-30 22:31:00</v>
          </cell>
          <cell r="C137" t="str">
            <v>NAKONDE ZM SIDE</v>
          </cell>
          <cell r="D137" t="str">
            <v>2025-12-30 22:33:27</v>
          </cell>
          <cell r="E137" t="str">
            <v>NAKONDE ZM SIDE</v>
          </cell>
          <cell r="F137" t="str">
            <v>0:02:27</v>
          </cell>
          <cell r="G137">
            <v>0.111807</v>
          </cell>
        </row>
        <row r="138">
          <cell r="A138" t="str">
            <v>T596DTQ</v>
          </cell>
          <cell r="B138" t="str">
            <v>2025-12-30 22:41:22</v>
          </cell>
          <cell r="C138" t="str">
            <v>NAKONDE ZM SIDE</v>
          </cell>
          <cell r="D138" t="str">
            <v>2025-12-30 22:42:50</v>
          </cell>
          <cell r="E138" t="str">
            <v>NAKONDE ZM SIDE</v>
          </cell>
          <cell r="F138" t="str">
            <v>0:01:28</v>
          </cell>
          <cell r="G138">
            <v>0.172212</v>
          </cell>
        </row>
        <row r="139">
          <cell r="A139" t="str">
            <v>T596DTQ</v>
          </cell>
          <cell r="B139" t="str">
            <v>2025-12-30 22:55:07</v>
          </cell>
          <cell r="C139" t="str">
            <v>NAKONDE ZM SIDE</v>
          </cell>
          <cell r="D139" t="str">
            <v>2025-12-30 22:58:16</v>
          </cell>
          <cell r="E139" t="str">
            <v>NAKONDE ZM SIDE</v>
          </cell>
          <cell r="F139" t="str">
            <v>0:03:09</v>
          </cell>
          <cell r="G139">
            <v>0.150394</v>
          </cell>
        </row>
        <row r="140">
          <cell r="A140" t="str">
            <v>T596DTQ</v>
          </cell>
          <cell r="B140" t="str">
            <v>2025-12-30 23:07:51</v>
          </cell>
          <cell r="C140" t="str">
            <v>NAKONDE ZM SIDE</v>
          </cell>
          <cell r="D140" t="str">
            <v>2025-12-30 23:25:28</v>
          </cell>
          <cell r="E140" t="str">
            <v>Great North Road, Nakonde</v>
          </cell>
          <cell r="F140" t="str">
            <v>0:17:37</v>
          </cell>
          <cell r="G140">
            <v>0.57609699999999997</v>
          </cell>
        </row>
        <row r="141">
          <cell r="A141" t="str">
            <v>T596DTQ</v>
          </cell>
          <cell r="B141" t="str">
            <v>2025-12-30 23:44:18</v>
          </cell>
          <cell r="C141" t="str">
            <v>TUNDUMA BORDER TZ SIDE</v>
          </cell>
          <cell r="D141" t="str">
            <v>2025-12-30 23:58:32</v>
          </cell>
          <cell r="E141" t="str">
            <v>TUNDUMA BORDER TZ SIDE</v>
          </cell>
          <cell r="F141" t="str">
            <v>0:14:14</v>
          </cell>
          <cell r="G141">
            <v>2.6745130000000001</v>
          </cell>
        </row>
        <row r="142">
          <cell r="A142" t="str">
            <v>T598DTQ</v>
          </cell>
          <cell r="B142" t="str">
            <v>2025-12-30 20:33:14</v>
          </cell>
          <cell r="C142" t="str">
            <v>KITWE DANGER ZONE!!, ZAMBIA</v>
          </cell>
          <cell r="D142" t="str">
            <v>2025-12-30 20:58:48</v>
          </cell>
          <cell r="E142" t="str">
            <v>KITWE DANGER ZONE!!, ZAMBIA</v>
          </cell>
          <cell r="F142" t="str">
            <v>0:25:34</v>
          </cell>
          <cell r="G142">
            <v>0.45122400000000001</v>
          </cell>
        </row>
        <row r="143">
          <cell r="A143" t="str">
            <v>T598DTQ</v>
          </cell>
          <cell r="B143" t="str">
            <v>2025-12-30 20:33:14</v>
          </cell>
          <cell r="C143" t="str">
            <v>KITWE DANGER ZONE!!, ZAMBIA</v>
          </cell>
          <cell r="D143" t="str">
            <v>2025-12-30 20:58:48</v>
          </cell>
          <cell r="E143" t="str">
            <v>KITWE DANGER ZONE!!, ZAMBIA</v>
          </cell>
          <cell r="F143" t="str">
            <v>0:25:34</v>
          </cell>
          <cell r="G143">
            <v>0.45122400000000001</v>
          </cell>
        </row>
        <row r="144">
          <cell r="A144" t="str">
            <v>T604DTQ</v>
          </cell>
          <cell r="B144" t="str">
            <v>2025-12-30 20:46:37</v>
          </cell>
          <cell r="C144" t="str">
            <v>KITWE DANGER ZONE!!, ZAMBIA</v>
          </cell>
          <cell r="D144" t="str">
            <v>2025-12-30 20:57:30</v>
          </cell>
          <cell r="E144" t="str">
            <v>KITWE DANGER ZONE!!, ZAMBIA</v>
          </cell>
          <cell r="F144" t="str">
            <v>0:10:53</v>
          </cell>
          <cell r="G144">
            <v>1.8626469999999999</v>
          </cell>
        </row>
        <row r="145">
          <cell r="A145" t="str">
            <v>T604DTQ</v>
          </cell>
          <cell r="B145" t="str">
            <v>2025-12-30 20:46:37</v>
          </cell>
          <cell r="C145" t="str">
            <v>KITWE DANGER ZONE!!, ZAMBIA</v>
          </cell>
          <cell r="D145" t="str">
            <v>2025-12-30 20:57:30</v>
          </cell>
          <cell r="E145" t="str">
            <v>KITWE DANGER ZONE!!, ZAMBIA</v>
          </cell>
          <cell r="F145" t="str">
            <v>0:10:53</v>
          </cell>
          <cell r="G145">
            <v>1.8626469999999999</v>
          </cell>
        </row>
        <row r="146">
          <cell r="A146" t="str">
            <v>T634DHL</v>
          </cell>
          <cell r="B146" t="str">
            <v>2025-12-30 23:47:42</v>
          </cell>
          <cell r="C146" t="str">
            <v>DAR ES SALAAM</v>
          </cell>
          <cell r="D146" t="str">
            <v>2025-12-30 23:50:00</v>
          </cell>
          <cell r="E146" t="str">
            <v>DAR ES SALAAM</v>
          </cell>
          <cell r="F146" t="str">
            <v>0:02:18</v>
          </cell>
          <cell r="G146">
            <v>0.68028100000000002</v>
          </cell>
        </row>
        <row r="147">
          <cell r="A147" t="str">
            <v>T634DHL</v>
          </cell>
          <cell r="B147" t="str">
            <v>2025-12-30 23:47:42</v>
          </cell>
          <cell r="C147" t="str">
            <v>DAR ES SALAAM</v>
          </cell>
          <cell r="D147" t="str">
            <v>2025-12-30 23:50:00</v>
          </cell>
          <cell r="E147" t="str">
            <v>DAR ES SALAAM</v>
          </cell>
          <cell r="F147" t="str">
            <v>0:02:18</v>
          </cell>
          <cell r="G147">
            <v>0.68028100000000002</v>
          </cell>
        </row>
        <row r="148">
          <cell r="A148" t="str">
            <v>T643DHL</v>
          </cell>
          <cell r="B148" t="str">
            <v>2025-12-30 21:37:30</v>
          </cell>
          <cell r="C148" t="str">
            <v>DAR ES SALAAM</v>
          </cell>
          <cell r="D148" t="str">
            <v>2025-12-30 22:09:36</v>
          </cell>
          <cell r="E148" t="str">
            <v>GL KURASINI YARD</v>
          </cell>
          <cell r="F148" t="str">
            <v>0:32:06</v>
          </cell>
          <cell r="G148">
            <v>8.3184500000000003</v>
          </cell>
        </row>
        <row r="149">
          <cell r="A149" t="str">
            <v>T643DHL</v>
          </cell>
          <cell r="B149" t="str">
            <v>2025-12-30 21:37:30</v>
          </cell>
          <cell r="C149" t="str">
            <v>DAR ES SALAAM</v>
          </cell>
          <cell r="D149" t="str">
            <v>2025-12-30 22:09:36</v>
          </cell>
          <cell r="E149" t="str">
            <v>GL KURASINI YARD</v>
          </cell>
          <cell r="F149" t="str">
            <v>0:32:06</v>
          </cell>
          <cell r="G149">
            <v>8.3184500000000003</v>
          </cell>
        </row>
        <row r="150">
          <cell r="A150" t="str">
            <v>T645DHL</v>
          </cell>
          <cell r="B150" t="str">
            <v>2025-12-30 19:40:33</v>
          </cell>
          <cell r="C150" t="str">
            <v>M1, 1.61 km from Sementi</v>
          </cell>
          <cell r="D150" t="str">
            <v>2025-12-30 20:54:12</v>
          </cell>
          <cell r="E150" t="str">
            <v>Mbala - Nakonde Road, 17.24 km from Sementi</v>
          </cell>
          <cell r="F150" t="str">
            <v>1:13:39</v>
          </cell>
          <cell r="G150">
            <v>44.639189999999999</v>
          </cell>
        </row>
        <row r="151">
          <cell r="A151" t="str">
            <v>T645DHL</v>
          </cell>
          <cell r="B151" t="str">
            <v>2025-12-30 19:40:33</v>
          </cell>
          <cell r="C151" t="str">
            <v>M1, 1.61 km from Sementi</v>
          </cell>
          <cell r="D151" t="str">
            <v>2025-12-30 20:54:12</v>
          </cell>
          <cell r="E151" t="str">
            <v>Mbala - Nakonde Road, 17.24 km from Sementi</v>
          </cell>
          <cell r="F151" t="str">
            <v>1:13:39</v>
          </cell>
          <cell r="G151">
            <v>44.639189999999999</v>
          </cell>
        </row>
        <row r="152">
          <cell r="A152" t="str">
            <v>T651DTQ</v>
          </cell>
          <cell r="B152" t="str">
            <v>2025-12-30 19:41:07</v>
          </cell>
          <cell r="C152" t="str">
            <v>GL KURASINI YARD</v>
          </cell>
          <cell r="D152" t="str">
            <v>2025-12-30 22:38:12</v>
          </cell>
          <cell r="E152" t="str">
            <v>GALCO ICD UDA</v>
          </cell>
          <cell r="F152" t="str">
            <v>0:24:44</v>
          </cell>
          <cell r="G152">
            <v>2.3398479999999999</v>
          </cell>
        </row>
        <row r="153">
          <cell r="A153" t="str">
            <v>T651DTQ</v>
          </cell>
          <cell r="B153" t="str">
            <v>2025-12-30 19:41:07</v>
          </cell>
          <cell r="C153" t="str">
            <v>GL KURASINI YARD</v>
          </cell>
          <cell r="D153" t="str">
            <v>2025-12-30 19:57:30</v>
          </cell>
          <cell r="E153" t="str">
            <v>DAR ES SALAAM</v>
          </cell>
          <cell r="F153" t="str">
            <v>0:16:23</v>
          </cell>
          <cell r="G153">
            <v>1.8557760000000001</v>
          </cell>
        </row>
        <row r="154">
          <cell r="A154" t="str">
            <v>T651DTQ</v>
          </cell>
          <cell r="B154" t="str">
            <v>2025-12-30 20:41:33</v>
          </cell>
          <cell r="C154" t="str">
            <v>DAR ES SALAAM</v>
          </cell>
          <cell r="D154" t="str">
            <v>2025-12-30 20:44:26</v>
          </cell>
          <cell r="E154" t="str">
            <v>GALCO ICD UDA</v>
          </cell>
          <cell r="F154" t="str">
            <v>0:02:53</v>
          </cell>
          <cell r="G154">
            <v>0.20464499999999999</v>
          </cell>
        </row>
        <row r="155">
          <cell r="A155" t="str">
            <v>T651DTQ</v>
          </cell>
          <cell r="B155" t="str">
            <v>2025-12-30 21:41:05</v>
          </cell>
          <cell r="C155" t="str">
            <v>GALCO ICD UDA</v>
          </cell>
          <cell r="D155" t="str">
            <v>2025-12-30 21:42:27</v>
          </cell>
          <cell r="E155" t="str">
            <v>GALCO ICD UDA</v>
          </cell>
          <cell r="F155" t="str">
            <v>0:01:22</v>
          </cell>
          <cell r="G155">
            <v>0.13136300000000001</v>
          </cell>
        </row>
        <row r="156">
          <cell r="A156" t="str">
            <v>T651DTQ</v>
          </cell>
          <cell r="B156" t="str">
            <v>2025-12-30 22:34:06</v>
          </cell>
          <cell r="C156" t="str">
            <v>GALCO ICD UDA</v>
          </cell>
          <cell r="D156" t="str">
            <v>2025-12-30 22:38:12</v>
          </cell>
          <cell r="E156" t="str">
            <v>GALCO ICD UDA</v>
          </cell>
          <cell r="F156" t="str">
            <v>0:04:06</v>
          </cell>
          <cell r="G156">
            <v>0.148063</v>
          </cell>
        </row>
        <row r="157">
          <cell r="A157" t="str">
            <v>T660DTQ</v>
          </cell>
          <cell r="B157" t="str">
            <v>2025-12-30 18:57:14</v>
          </cell>
          <cell r="C157" t="str">
            <v>GALCO CFS</v>
          </cell>
          <cell r="D157" t="str">
            <v>2025-12-30 20:41:01</v>
          </cell>
          <cell r="E157" t="str">
            <v>MBAGALA YARD</v>
          </cell>
          <cell r="F157" t="str">
            <v>1:33:46</v>
          </cell>
          <cell r="G157">
            <v>12.721664000000001</v>
          </cell>
        </row>
        <row r="158">
          <cell r="A158" t="str">
            <v>T660DTQ</v>
          </cell>
          <cell r="B158" t="str">
            <v>2025-12-30 18:57:14</v>
          </cell>
          <cell r="C158" t="str">
            <v>GALCO CFS</v>
          </cell>
          <cell r="D158" t="str">
            <v>2025-12-30 19:20:51</v>
          </cell>
          <cell r="E158" t="str">
            <v>DAR ES SALAAM</v>
          </cell>
          <cell r="F158" t="str">
            <v>0:23:37</v>
          </cell>
          <cell r="G158">
            <v>5.7642160000000002</v>
          </cell>
        </row>
        <row r="159">
          <cell r="A159" t="str">
            <v>T660DTQ</v>
          </cell>
          <cell r="B159" t="str">
            <v>2025-12-30 19:30:52</v>
          </cell>
          <cell r="C159" t="str">
            <v>MBAGALA YARD</v>
          </cell>
          <cell r="D159" t="str">
            <v>2025-12-30 20:41:01</v>
          </cell>
          <cell r="E159" t="str">
            <v>MBAGALA YARD</v>
          </cell>
          <cell r="F159" t="str">
            <v>1:10:09</v>
          </cell>
          <cell r="G159">
            <v>6.9574480000000003</v>
          </cell>
        </row>
        <row r="160">
          <cell r="A160" t="str">
            <v>T662DTQ</v>
          </cell>
          <cell r="B160" t="str">
            <v>2025-12-30 18:34:31</v>
          </cell>
          <cell r="C160" t="str">
            <v>KASUMBALESA ZAMBIA SIDE</v>
          </cell>
          <cell r="D160" t="str">
            <v>2025-12-30 19:20:45</v>
          </cell>
          <cell r="E160" t="str">
            <v>KSU BORDER PARKING ZM</v>
          </cell>
          <cell r="F160" t="str">
            <v>0:26:26</v>
          </cell>
          <cell r="G160">
            <v>0.94153500000000001</v>
          </cell>
        </row>
        <row r="161">
          <cell r="A161" t="str">
            <v>T662DTQ</v>
          </cell>
          <cell r="B161" t="str">
            <v>2025-12-30 18:34:31</v>
          </cell>
          <cell r="C161" t="str">
            <v>KASUMBALESA ZAMBIA SIDE</v>
          </cell>
          <cell r="D161" t="str">
            <v>2025-12-30 18:36:32</v>
          </cell>
          <cell r="E161" t="str">
            <v>KASUMBALESA 114 PARKING</v>
          </cell>
          <cell r="F161" t="str">
            <v>0:02:01</v>
          </cell>
          <cell r="G161">
            <v>0.245478</v>
          </cell>
        </row>
        <row r="162">
          <cell r="A162" t="str">
            <v>T662DTQ</v>
          </cell>
          <cell r="B162" t="str">
            <v>2025-12-30 18:56:20</v>
          </cell>
          <cell r="C162" t="str">
            <v>KASUMBALESA 114 PARKING</v>
          </cell>
          <cell r="D162" t="str">
            <v>2025-12-30 19:20:45</v>
          </cell>
          <cell r="E162" t="str">
            <v>KSU BORDER PARKING ZM</v>
          </cell>
          <cell r="F162" t="str">
            <v>0:24:25</v>
          </cell>
          <cell r="G162">
            <v>0.69605799999999995</v>
          </cell>
        </row>
        <row r="163">
          <cell r="A163" t="str">
            <v>T684EBX</v>
          </cell>
          <cell r="B163" t="str">
            <v>2025-12-30 18:46:13</v>
          </cell>
          <cell r="C163" t="str">
            <v>Rn1, 5.14 km from Kikula</v>
          </cell>
          <cell r="D163" t="str">
            <v>2025-12-30 19:41:40</v>
          </cell>
          <cell r="E163" t="str">
            <v>LIKASI BYPASS 1</v>
          </cell>
          <cell r="F163" t="str">
            <v>0:45:00</v>
          </cell>
          <cell r="G163">
            <v>26.259442</v>
          </cell>
        </row>
        <row r="164">
          <cell r="A164" t="str">
            <v>T684EBX</v>
          </cell>
          <cell r="B164" t="str">
            <v>2025-12-30 18:46:13</v>
          </cell>
          <cell r="C164" t="str">
            <v>Rn1, 5.14 km from Kikula</v>
          </cell>
          <cell r="D164" t="str">
            <v>2025-12-30 19:02:50</v>
          </cell>
          <cell r="E164" t="str">
            <v>LIKASI BYPASS 1</v>
          </cell>
          <cell r="F164" t="str">
            <v>0:16:37</v>
          </cell>
          <cell r="G164">
            <v>6.3703250000000002</v>
          </cell>
        </row>
        <row r="165">
          <cell r="A165" t="str">
            <v>T684EBX</v>
          </cell>
          <cell r="B165" t="str">
            <v>2025-12-30 19:13:17</v>
          </cell>
          <cell r="C165" t="str">
            <v>LIKASI BYPASS 1</v>
          </cell>
          <cell r="D165" t="str">
            <v>2025-12-30 19:41:40</v>
          </cell>
          <cell r="E165" t="str">
            <v>LIKASI BYPASS 1</v>
          </cell>
          <cell r="F165" t="str">
            <v>0:28:23</v>
          </cell>
          <cell r="G165">
            <v>19.889116999999999</v>
          </cell>
        </row>
        <row r="166">
          <cell r="A166" t="str">
            <v>T697DEB</v>
          </cell>
          <cell r="B166" t="str">
            <v>2025-12-30 18:46:20</v>
          </cell>
          <cell r="C166" t="str">
            <v>Rn1, 5.06 km from Kikula</v>
          </cell>
          <cell r="D166" t="str">
            <v>2025-12-30 19:43:02</v>
          </cell>
          <cell r="E166" t="str">
            <v>Route De Lubumbashi, Mbalaka</v>
          </cell>
          <cell r="F166" t="str">
            <v>0:56:42</v>
          </cell>
          <cell r="G166">
            <v>26.279774</v>
          </cell>
        </row>
        <row r="167">
          <cell r="A167" t="str">
            <v>T697DEB</v>
          </cell>
          <cell r="B167" t="str">
            <v>2025-12-30 18:46:20</v>
          </cell>
          <cell r="C167" t="str">
            <v>Rn1, 5.06 km from Kikula</v>
          </cell>
          <cell r="D167" t="str">
            <v>2025-12-30 19:43:02</v>
          </cell>
          <cell r="E167" t="str">
            <v>Route De Lubumbashi, Mbalaka</v>
          </cell>
          <cell r="F167" t="str">
            <v>0:56:42</v>
          </cell>
          <cell r="G167">
            <v>26.279774</v>
          </cell>
        </row>
        <row r="168">
          <cell r="A168" t="str">
            <v>T703EBX</v>
          </cell>
          <cell r="B168" t="str">
            <v>2025-12-30 19:21:03</v>
          </cell>
          <cell r="C168" t="str">
            <v>MUTANDA MINES,DRC</v>
          </cell>
          <cell r="D168" t="str">
            <v>2025-12-30 19:26:25</v>
          </cell>
          <cell r="E168" t="str">
            <v>KISENDA, MUTANDA MINE JUNCTION</v>
          </cell>
          <cell r="F168" t="str">
            <v>0:05:22</v>
          </cell>
          <cell r="G168">
            <v>0.28646700000000003</v>
          </cell>
        </row>
        <row r="169">
          <cell r="A169" t="str">
            <v>T703EBX</v>
          </cell>
          <cell r="B169" t="str">
            <v>2025-12-30 19:21:03</v>
          </cell>
          <cell r="C169" t="str">
            <v>MUTANDA MINES,DRC</v>
          </cell>
          <cell r="D169" t="str">
            <v>2025-12-30 19:26:25</v>
          </cell>
          <cell r="E169" t="str">
            <v>KISENDA, MUTANDA MINE JUNCTION</v>
          </cell>
          <cell r="F169" t="str">
            <v>0:05:22</v>
          </cell>
          <cell r="G169">
            <v>0.28646700000000003</v>
          </cell>
        </row>
        <row r="170">
          <cell r="A170" t="str">
            <v>T709EBX</v>
          </cell>
          <cell r="B170" t="str">
            <v>2025-12-30 21:08:43</v>
          </cell>
          <cell r="C170" t="str">
            <v>KITWE DANGER ZONE!!, ZAMBIA</v>
          </cell>
          <cell r="D170" t="str">
            <v>2025-12-30 21:13:08</v>
          </cell>
          <cell r="E170" t="str">
            <v>KITWE DANGER ZONE!!, ZAMBIA</v>
          </cell>
          <cell r="F170" t="str">
            <v>0:04:25</v>
          </cell>
          <cell r="G170">
            <v>0.140432</v>
          </cell>
        </row>
        <row r="171">
          <cell r="A171" t="str">
            <v>T709EBX</v>
          </cell>
          <cell r="B171" t="str">
            <v>2025-12-30 21:08:43</v>
          </cell>
          <cell r="C171" t="str">
            <v>KITWE DANGER ZONE!!, ZAMBIA</v>
          </cell>
          <cell r="D171" t="str">
            <v>2025-12-30 21:13:08</v>
          </cell>
          <cell r="E171" t="str">
            <v>KITWE DANGER ZONE!!, ZAMBIA</v>
          </cell>
          <cell r="F171" t="str">
            <v>0:04:25</v>
          </cell>
          <cell r="G171">
            <v>0.140432</v>
          </cell>
        </row>
        <row r="172">
          <cell r="A172" t="str">
            <v>T721DEB</v>
          </cell>
          <cell r="B172" t="str">
            <v>2025-12-30 18:46:10</v>
          </cell>
          <cell r="C172" t="str">
            <v>Rn1, 5.12 km from Kikula</v>
          </cell>
          <cell r="D172" t="str">
            <v>2025-12-30 19:38:23</v>
          </cell>
          <cell r="E172" t="str">
            <v>LIKASI BYPASS 1</v>
          </cell>
          <cell r="F172" t="str">
            <v>0:40:56</v>
          </cell>
          <cell r="G172">
            <v>26.242705999999998</v>
          </cell>
        </row>
        <row r="173">
          <cell r="A173" t="str">
            <v>T721DEB</v>
          </cell>
          <cell r="B173" t="str">
            <v>2025-12-30 18:46:10</v>
          </cell>
          <cell r="C173" t="str">
            <v>Rn1, 5.12 km from Kikula</v>
          </cell>
          <cell r="D173" t="str">
            <v>2025-12-30 19:02:16</v>
          </cell>
          <cell r="E173" t="str">
            <v>LIKASI BYPASS 1</v>
          </cell>
          <cell r="F173" t="str">
            <v>0:16:06</v>
          </cell>
          <cell r="G173">
            <v>6.525614</v>
          </cell>
        </row>
        <row r="174">
          <cell r="A174" t="str">
            <v>T721DEB</v>
          </cell>
          <cell r="B174" t="str">
            <v>2025-12-30 19:13:33</v>
          </cell>
          <cell r="C174" t="str">
            <v>LIKASI BYPASS 1</v>
          </cell>
          <cell r="D174" t="str">
            <v>2025-12-30 19:38:23</v>
          </cell>
          <cell r="E174" t="str">
            <v>LIKASI BYPASS 1</v>
          </cell>
          <cell r="F174" t="str">
            <v>0:24:50</v>
          </cell>
          <cell r="G174">
            <v>19.717092000000001</v>
          </cell>
        </row>
        <row r="175">
          <cell r="A175" t="str">
            <v>T728EBX</v>
          </cell>
          <cell r="B175" t="str">
            <v>2025-12-30 18:46:26</v>
          </cell>
          <cell r="C175" t="str">
            <v>Rn1, 5.09 km from Kikula</v>
          </cell>
          <cell r="D175" t="str">
            <v>2025-12-30 19:41:10</v>
          </cell>
          <cell r="E175" t="str">
            <v>Route De Lubumbashi, Mbalaka</v>
          </cell>
          <cell r="F175" t="str">
            <v>0:54:44</v>
          </cell>
          <cell r="G175">
            <v>26.324546000000002</v>
          </cell>
        </row>
        <row r="176">
          <cell r="A176" t="str">
            <v>T728EBX</v>
          </cell>
          <cell r="B176" t="str">
            <v>2025-12-30 18:46:26</v>
          </cell>
          <cell r="C176" t="str">
            <v>Rn1, 5.09 km from Kikula</v>
          </cell>
          <cell r="D176" t="str">
            <v>2025-12-30 19:41:10</v>
          </cell>
          <cell r="E176" t="str">
            <v>Route De Lubumbashi, Mbalaka</v>
          </cell>
          <cell r="F176" t="str">
            <v>0:54:44</v>
          </cell>
          <cell r="G176">
            <v>26.324546000000002</v>
          </cell>
        </row>
        <row r="177">
          <cell r="A177" t="str">
            <v>T732EBX</v>
          </cell>
          <cell r="B177" t="str">
            <v>2025-12-30 18:47:50</v>
          </cell>
          <cell r="C177" t="str">
            <v>Iringa Road, 3.40 km from Kikoboga</v>
          </cell>
          <cell r="D177" t="str">
            <v>2025-12-30 19:16:57</v>
          </cell>
          <cell r="E177" t="str">
            <v>Iringa Road, Kikwaraza</v>
          </cell>
          <cell r="F177" t="str">
            <v>0:29:07</v>
          </cell>
          <cell r="G177">
            <v>17.886172999999999</v>
          </cell>
        </row>
        <row r="178">
          <cell r="A178" t="str">
            <v>T732EBX</v>
          </cell>
          <cell r="B178" t="str">
            <v>2025-12-30 18:47:50</v>
          </cell>
          <cell r="C178" t="str">
            <v>Iringa Road, 3.40 km from Kikoboga</v>
          </cell>
          <cell r="D178" t="str">
            <v>2025-12-30 19:16:57</v>
          </cell>
          <cell r="E178" t="str">
            <v>Iringa Road, Kikwaraza</v>
          </cell>
          <cell r="F178" t="str">
            <v>0:29:07</v>
          </cell>
          <cell r="G178">
            <v>17.886172999999999</v>
          </cell>
        </row>
        <row r="179">
          <cell r="A179" t="str">
            <v>T742EBX</v>
          </cell>
          <cell r="B179" t="str">
            <v>2025-12-30 18:56:37</v>
          </cell>
          <cell r="C179" t="str">
            <v>TENKE FUNGURUME MINE DRC</v>
          </cell>
          <cell r="D179" t="str">
            <v>2025-12-30 19:05:09</v>
          </cell>
          <cell r="E179" t="str">
            <v>TENKE FUNGURUME MINE DRC</v>
          </cell>
          <cell r="F179" t="str">
            <v>0:08:32</v>
          </cell>
          <cell r="G179">
            <v>0.34442899999999999</v>
          </cell>
        </row>
        <row r="180">
          <cell r="A180" t="str">
            <v>T742EBX</v>
          </cell>
          <cell r="B180" t="str">
            <v>2025-12-30 18:56:37</v>
          </cell>
          <cell r="C180" t="str">
            <v>TENKE FUNGURUME MINE DRC</v>
          </cell>
          <cell r="D180" t="str">
            <v>2025-12-30 19:05:09</v>
          </cell>
          <cell r="E180" t="str">
            <v>TENKE FUNGURUME MINE DRC</v>
          </cell>
          <cell r="F180" t="str">
            <v>0:08:32</v>
          </cell>
          <cell r="G180">
            <v>0.34442899999999999</v>
          </cell>
        </row>
        <row r="181">
          <cell r="A181" t="str">
            <v>T745EBX</v>
          </cell>
          <cell r="B181" t="str">
            <v>2025-12-30 20:14:58</v>
          </cell>
          <cell r="C181" t="str">
            <v>DAR ES SALAAM</v>
          </cell>
          <cell r="D181" t="str">
            <v>2025-12-30 20:37:38</v>
          </cell>
          <cell r="E181" t="str">
            <v>MOFED</v>
          </cell>
          <cell r="F181" t="str">
            <v>0:15:32</v>
          </cell>
          <cell r="G181">
            <v>0.51394799999999996</v>
          </cell>
        </row>
        <row r="182">
          <cell r="A182" t="str">
            <v>T745EBX</v>
          </cell>
          <cell r="B182" t="str">
            <v>2025-12-30 20:14:58</v>
          </cell>
          <cell r="C182" t="str">
            <v>DAR ES SALAAM</v>
          </cell>
          <cell r="D182" t="str">
            <v>2025-12-30 20:25:15</v>
          </cell>
          <cell r="E182" t="str">
            <v>MOFED</v>
          </cell>
          <cell r="F182" t="str">
            <v>0:10:17</v>
          </cell>
          <cell r="G182">
            <v>0.29190500000000003</v>
          </cell>
        </row>
        <row r="183">
          <cell r="A183" t="str">
            <v>T745EBX</v>
          </cell>
          <cell r="B183" t="str">
            <v>2025-12-30 20:32:23</v>
          </cell>
          <cell r="C183" t="str">
            <v>MOFED</v>
          </cell>
          <cell r="D183" t="str">
            <v>2025-12-30 20:37:38</v>
          </cell>
          <cell r="E183" t="str">
            <v>MOFED</v>
          </cell>
          <cell r="F183" t="str">
            <v>0:05:15</v>
          </cell>
          <cell r="G183">
            <v>0.22204299999999999</v>
          </cell>
        </row>
        <row r="184">
          <cell r="A184" t="str">
            <v>T748EBX</v>
          </cell>
          <cell r="B184" t="str">
            <v>2025-12-30 19:09:28</v>
          </cell>
          <cell r="C184" t="str">
            <v>Kolwezi, Rn39</v>
          </cell>
          <cell r="D184" t="str">
            <v>2025-12-30 19:18:32</v>
          </cell>
          <cell r="E184" t="str">
            <v>CONNEX AFRICA - DRC</v>
          </cell>
          <cell r="F184" t="str">
            <v>0:09:04</v>
          </cell>
          <cell r="G184">
            <v>0.276258</v>
          </cell>
        </row>
        <row r="185">
          <cell r="A185" t="str">
            <v>T748EBX</v>
          </cell>
          <cell r="B185" t="str">
            <v>2025-12-30 19:09:28</v>
          </cell>
          <cell r="C185" t="str">
            <v>Kolwezi, Rn39</v>
          </cell>
          <cell r="D185" t="str">
            <v>2025-12-30 19:18:32</v>
          </cell>
          <cell r="E185" t="str">
            <v>CONNEX AFRICA - DRC</v>
          </cell>
          <cell r="F185" t="str">
            <v>0:09:04</v>
          </cell>
          <cell r="G185">
            <v>0.276258</v>
          </cell>
        </row>
        <row r="186">
          <cell r="A186" t="str">
            <v>T754EBX</v>
          </cell>
          <cell r="B186" t="str">
            <v>2025-12-30 21:58:45</v>
          </cell>
          <cell r="C186" t="str">
            <v>KITWE DANGER ZONE!!, ZAMBIA</v>
          </cell>
          <cell r="D186" t="str">
            <v>2025-12-30 22:03:36</v>
          </cell>
          <cell r="E186" t="str">
            <v>KITWE DANGER ZONE!!, ZAMBIA</v>
          </cell>
          <cell r="F186" t="str">
            <v>0:04:51</v>
          </cell>
          <cell r="G186">
            <v>0.18762300000000001</v>
          </cell>
        </row>
        <row r="187">
          <cell r="A187" t="str">
            <v>T754EBX</v>
          </cell>
          <cell r="B187" t="str">
            <v>2025-12-30 21:58:45</v>
          </cell>
          <cell r="C187" t="str">
            <v>KITWE DANGER ZONE!!, ZAMBIA</v>
          </cell>
          <cell r="D187" t="str">
            <v>2025-12-30 22:03:36</v>
          </cell>
          <cell r="E187" t="str">
            <v>KITWE DANGER ZONE!!, ZAMBIA</v>
          </cell>
          <cell r="F187" t="str">
            <v>0:04:51</v>
          </cell>
          <cell r="G187">
            <v>0.18762300000000001</v>
          </cell>
        </row>
        <row r="188">
          <cell r="A188" t="str">
            <v>T755EBX</v>
          </cell>
          <cell r="B188" t="str">
            <v>2025-12-30 21:37:52</v>
          </cell>
          <cell r="C188" t="str">
            <v>KITWE DANGER ZONE!!, ZAMBIA</v>
          </cell>
          <cell r="D188" t="str">
            <v>2025-12-30 21:42:35</v>
          </cell>
          <cell r="E188" t="str">
            <v>KITWE DANGER ZONE!!, ZAMBIA</v>
          </cell>
          <cell r="F188" t="str">
            <v>0:04:43</v>
          </cell>
          <cell r="G188">
            <v>0.11103300000000001</v>
          </cell>
        </row>
        <row r="189">
          <cell r="A189" t="str">
            <v>T755EBX</v>
          </cell>
          <cell r="B189" t="str">
            <v>2025-12-30 21:37:52</v>
          </cell>
          <cell r="C189" t="str">
            <v>KITWE DANGER ZONE!!, ZAMBIA</v>
          </cell>
          <cell r="D189" t="str">
            <v>2025-12-30 21:42:35</v>
          </cell>
          <cell r="E189" t="str">
            <v>KITWE DANGER ZONE!!, ZAMBIA</v>
          </cell>
          <cell r="F189" t="str">
            <v>0:04:43</v>
          </cell>
          <cell r="G189">
            <v>0.11103300000000001</v>
          </cell>
        </row>
        <row r="190">
          <cell r="A190" t="str">
            <v>T762EBW</v>
          </cell>
          <cell r="B190" t="str">
            <v>2025-12-30 18:42:05</v>
          </cell>
          <cell r="C190" t="str">
            <v>KITWE DANGER ZONE!!, ZAMBIA</v>
          </cell>
          <cell r="D190" t="str">
            <v>2025-12-30 20:58:58</v>
          </cell>
          <cell r="E190" t="str">
            <v>CRAFTER YARD NDOLA</v>
          </cell>
          <cell r="F190" t="str">
            <v>1:56:01</v>
          </cell>
          <cell r="G190">
            <v>64.640967000000003</v>
          </cell>
        </row>
        <row r="191">
          <cell r="A191" t="str">
            <v>T762EBW</v>
          </cell>
          <cell r="B191" t="str">
            <v>2025-12-30 18:42:05</v>
          </cell>
          <cell r="C191" t="str">
            <v>KITWE DANGER ZONE!!, ZAMBIA</v>
          </cell>
          <cell r="D191" t="str">
            <v>2025-12-30 20:29:23</v>
          </cell>
          <cell r="E191" t="str">
            <v>NDOLA</v>
          </cell>
          <cell r="F191" t="str">
            <v>1:47:18</v>
          </cell>
          <cell r="G191">
            <v>64.478432999999995</v>
          </cell>
        </row>
        <row r="192">
          <cell r="A192" t="str">
            <v>T762EBW</v>
          </cell>
          <cell r="B192" t="str">
            <v>2025-12-30 20:50:15</v>
          </cell>
          <cell r="C192" t="str">
            <v>NDOLA</v>
          </cell>
          <cell r="D192" t="str">
            <v>2025-12-30 20:58:58</v>
          </cell>
          <cell r="E192" t="str">
            <v>CRAFTER YARD NDOLA</v>
          </cell>
          <cell r="F192" t="str">
            <v>0:08:43</v>
          </cell>
          <cell r="G192">
            <v>0.16253400000000001</v>
          </cell>
        </row>
        <row r="193">
          <cell r="A193" t="str">
            <v>T767DYR</v>
          </cell>
          <cell r="B193" t="str">
            <v>2025-12-30 18:37:39</v>
          </cell>
          <cell r="C193" t="str">
            <v>KAPIRI DANGER ZONE</v>
          </cell>
          <cell r="D193" t="str">
            <v>2025-12-30 19:27:10</v>
          </cell>
          <cell r="E193" t="str">
            <v>ZRA KAPIRI</v>
          </cell>
          <cell r="F193" t="str">
            <v>0:49:31</v>
          </cell>
          <cell r="G193">
            <v>39.813042000000003</v>
          </cell>
        </row>
        <row r="194">
          <cell r="A194" t="str">
            <v>T767DYR</v>
          </cell>
          <cell r="B194" t="str">
            <v>2025-12-30 18:37:39</v>
          </cell>
          <cell r="C194" t="str">
            <v>KAPIRI DANGER ZONE</v>
          </cell>
          <cell r="D194" t="str">
            <v>2025-12-30 19:27:10</v>
          </cell>
          <cell r="E194" t="str">
            <v>ZRA KAPIRI</v>
          </cell>
          <cell r="F194" t="str">
            <v>0:49:31</v>
          </cell>
          <cell r="G194">
            <v>39.813042000000003</v>
          </cell>
        </row>
        <row r="195">
          <cell r="A195" t="str">
            <v>T772DYR</v>
          </cell>
          <cell r="B195" t="str">
            <v>2025-12-30 19:16:48</v>
          </cell>
          <cell r="C195" t="str">
            <v>Iringa Road, 4.49 km from Comfort</v>
          </cell>
          <cell r="D195" t="str">
            <v>2025-12-30 20:30:56</v>
          </cell>
          <cell r="E195" t="str">
            <v>ILULA SOKONI</v>
          </cell>
          <cell r="F195" t="str">
            <v>1:08:17</v>
          </cell>
          <cell r="G195">
            <v>16.852319000000001</v>
          </cell>
        </row>
        <row r="196">
          <cell r="A196" t="str">
            <v>T772DYR</v>
          </cell>
          <cell r="B196" t="str">
            <v>2025-12-30 19:16:48</v>
          </cell>
          <cell r="C196" t="str">
            <v>Iringa Road, 4.49 km from Comfort</v>
          </cell>
          <cell r="D196" t="str">
            <v>2025-12-30 19:26:25</v>
          </cell>
          <cell r="E196" t="str">
            <v>Iringa Road, 4.49 km from Ikokoto</v>
          </cell>
          <cell r="F196" t="str">
            <v>0:09:37</v>
          </cell>
          <cell r="G196">
            <v>0.20517299999999999</v>
          </cell>
        </row>
        <row r="197">
          <cell r="A197" t="str">
            <v>T772DYR</v>
          </cell>
          <cell r="B197" t="str">
            <v>2025-12-30 19:32:16</v>
          </cell>
          <cell r="C197" t="str">
            <v>Iringa Road, 4.49 km from Ikokoto</v>
          </cell>
          <cell r="D197" t="str">
            <v>2025-12-30 20:30:56</v>
          </cell>
          <cell r="E197" t="str">
            <v>ILULA SOKONI</v>
          </cell>
          <cell r="F197" t="str">
            <v>0:58:40</v>
          </cell>
          <cell r="G197">
            <v>16.647144999999998</v>
          </cell>
        </row>
        <row r="198">
          <cell r="A198" t="str">
            <v>T791DYR</v>
          </cell>
          <cell r="B198" t="str">
            <v>2025-12-30 18:45:42</v>
          </cell>
          <cell r="C198" t="str">
            <v>DAR ES SALAAM</v>
          </cell>
          <cell r="D198" t="str">
            <v>2025-12-30 21:09:48</v>
          </cell>
          <cell r="E198" t="str">
            <v>Dar Es Salaam, Morogoro Main Road</v>
          </cell>
          <cell r="F198" t="str">
            <v>2:05:17</v>
          </cell>
          <cell r="G198">
            <v>28.28077</v>
          </cell>
        </row>
        <row r="199">
          <cell r="A199" t="str">
            <v>T791DYR</v>
          </cell>
          <cell r="B199" t="str">
            <v>2025-12-30 18:45:42</v>
          </cell>
          <cell r="C199" t="str">
            <v>DAR ES SALAAM</v>
          </cell>
          <cell r="D199" t="str">
            <v>2025-12-30 18:55:02</v>
          </cell>
          <cell r="E199" t="str">
            <v>DAR ES SALAAM</v>
          </cell>
          <cell r="F199" t="str">
            <v>0:09:20</v>
          </cell>
          <cell r="G199">
            <v>0.33541599999999999</v>
          </cell>
        </row>
        <row r="200">
          <cell r="A200" t="str">
            <v>T791DYR</v>
          </cell>
          <cell r="B200" t="str">
            <v>2025-12-30 19:06:50</v>
          </cell>
          <cell r="C200" t="str">
            <v>DAR ES SALAAM</v>
          </cell>
          <cell r="D200" t="str">
            <v>2025-12-30 20:14:57</v>
          </cell>
          <cell r="E200" t="str">
            <v>DAR ES SALAAM</v>
          </cell>
          <cell r="F200" t="str">
            <v>1:08:07</v>
          </cell>
          <cell r="G200">
            <v>11.137587999999999</v>
          </cell>
        </row>
        <row r="201">
          <cell r="A201" t="str">
            <v>T791DYR</v>
          </cell>
          <cell r="B201" t="str">
            <v>2025-12-30 20:21:58</v>
          </cell>
          <cell r="C201" t="str">
            <v>KIMARA</v>
          </cell>
          <cell r="D201" t="str">
            <v>2025-12-30 21:09:48</v>
          </cell>
          <cell r="E201" t="str">
            <v>Dar Es Salaam, Morogoro Main Road</v>
          </cell>
          <cell r="F201" t="str">
            <v>0:47:50</v>
          </cell>
          <cell r="G201">
            <v>16.807766000000001</v>
          </cell>
        </row>
        <row r="202">
          <cell r="A202" t="str">
            <v>T797DYR</v>
          </cell>
          <cell r="B202" t="str">
            <v>2025-12-30 19:03:03</v>
          </cell>
          <cell r="C202" t="str">
            <v>NDOLA</v>
          </cell>
          <cell r="D202" t="str">
            <v>2025-12-30 19:47:29</v>
          </cell>
          <cell r="E202" t="str">
            <v>VS CARGO ZM</v>
          </cell>
          <cell r="F202" t="str">
            <v>0:32:38</v>
          </cell>
          <cell r="G202">
            <v>3.3337539999999999</v>
          </cell>
        </row>
        <row r="203">
          <cell r="A203" t="str">
            <v>T797DYR</v>
          </cell>
          <cell r="B203" t="str">
            <v>2025-12-30 19:03:03</v>
          </cell>
          <cell r="C203" t="str">
            <v>NDOLA</v>
          </cell>
          <cell r="D203" t="str">
            <v>2025-12-30 19:24:55</v>
          </cell>
          <cell r="E203" t="str">
            <v>VS CARGO ZM</v>
          </cell>
          <cell r="F203" t="str">
            <v>0:21:52</v>
          </cell>
          <cell r="G203">
            <v>3.1355949999999999</v>
          </cell>
        </row>
        <row r="204">
          <cell r="A204" t="str">
            <v>T797DYR</v>
          </cell>
          <cell r="B204" t="str">
            <v>2025-12-30 19:36:43</v>
          </cell>
          <cell r="C204" t="str">
            <v>VS CARGO ZM</v>
          </cell>
          <cell r="D204" t="str">
            <v>2025-12-30 19:47:29</v>
          </cell>
          <cell r="E204" t="str">
            <v>VS CARGO ZM</v>
          </cell>
          <cell r="F204" t="str">
            <v>0:10:46</v>
          </cell>
          <cell r="G204">
            <v>0.198159</v>
          </cell>
        </row>
        <row r="205">
          <cell r="A205" t="str">
            <v>T803DYR</v>
          </cell>
          <cell r="B205" t="str">
            <v>2025-12-30 18:48:33</v>
          </cell>
          <cell r="C205" t="str">
            <v>KASUMBALESA 114 PARKING</v>
          </cell>
          <cell r="D205" t="str">
            <v>2025-12-30 19:16:40</v>
          </cell>
          <cell r="E205" t="str">
            <v>GOMEZ PARKING - DRC</v>
          </cell>
          <cell r="F205" t="str">
            <v>0:18:16</v>
          </cell>
          <cell r="G205">
            <v>0.70903400000000005</v>
          </cell>
        </row>
        <row r="206">
          <cell r="A206" t="str">
            <v>T803DYR</v>
          </cell>
          <cell r="B206" t="str">
            <v>2025-12-30 18:48:33</v>
          </cell>
          <cell r="C206" t="str">
            <v>KASUMBALESA 114 PARKING</v>
          </cell>
          <cell r="D206" t="str">
            <v>2025-12-30 18:52:32</v>
          </cell>
          <cell r="E206" t="str">
            <v>KASUMBALESA 114 PARKING</v>
          </cell>
          <cell r="F206" t="str">
            <v>0:03:59</v>
          </cell>
          <cell r="G206">
            <v>0.14333699999999999</v>
          </cell>
        </row>
        <row r="207">
          <cell r="A207" t="str">
            <v>T803DYR</v>
          </cell>
          <cell r="B207" t="str">
            <v>2025-12-30 19:02:23</v>
          </cell>
          <cell r="C207" t="str">
            <v>KASUMBALESA DRC SIDE</v>
          </cell>
          <cell r="D207" t="str">
            <v>2025-12-30 19:16:40</v>
          </cell>
          <cell r="E207" t="str">
            <v>GOMEZ PARKING - DRC</v>
          </cell>
          <cell r="F207" t="str">
            <v>0:14:17</v>
          </cell>
          <cell r="G207">
            <v>0.56569700000000001</v>
          </cell>
        </row>
        <row r="208">
          <cell r="A208" t="str">
            <v>T804EBW</v>
          </cell>
          <cell r="B208" t="str">
            <v>2025-12-30 20:14:00</v>
          </cell>
          <cell r="C208" t="str">
            <v>DAR ES SALAAM</v>
          </cell>
          <cell r="D208" t="str">
            <v>2025-12-30 20:28:59</v>
          </cell>
          <cell r="E208" t="str">
            <v>MOFED</v>
          </cell>
          <cell r="F208" t="str">
            <v>0:14:59</v>
          </cell>
          <cell r="G208">
            <v>0.71133500000000005</v>
          </cell>
        </row>
        <row r="209">
          <cell r="A209" t="str">
            <v>T804EBW</v>
          </cell>
          <cell r="B209" t="str">
            <v>2025-12-30 20:14:00</v>
          </cell>
          <cell r="C209" t="str">
            <v>DAR ES SALAAM</v>
          </cell>
          <cell r="D209" t="str">
            <v>2025-12-30 20:28:59</v>
          </cell>
          <cell r="E209" t="str">
            <v>MOFED</v>
          </cell>
          <cell r="F209" t="str">
            <v>0:14:59</v>
          </cell>
          <cell r="G209">
            <v>0.71133500000000005</v>
          </cell>
        </row>
        <row r="210">
          <cell r="A210" t="str">
            <v>T810EBW</v>
          </cell>
          <cell r="B210" t="str">
            <v>2025-12-30 18:46:14</v>
          </cell>
          <cell r="C210" t="str">
            <v>Rn1, 5.11 km from Kikula</v>
          </cell>
          <cell r="D210" t="str">
            <v>2025-12-30 19:41:17</v>
          </cell>
          <cell r="E210" t="str">
            <v>Route De Lubumbashi, Mbalaka</v>
          </cell>
          <cell r="F210" t="str">
            <v>0:45:47</v>
          </cell>
          <cell r="G210">
            <v>26.215441999999999</v>
          </cell>
        </row>
        <row r="211">
          <cell r="A211" t="str">
            <v>T810EBW</v>
          </cell>
          <cell r="B211" t="str">
            <v>2025-12-30 18:46:14</v>
          </cell>
          <cell r="C211" t="str">
            <v>Rn1, 5.11 km from Kikula</v>
          </cell>
          <cell r="D211" t="str">
            <v>2025-12-30 19:04:20</v>
          </cell>
          <cell r="E211" t="str">
            <v>LIKASI BYPASS 1</v>
          </cell>
          <cell r="F211" t="str">
            <v>0:18:06</v>
          </cell>
          <cell r="G211">
            <v>6.4918930000000001</v>
          </cell>
        </row>
        <row r="212">
          <cell r="A212" t="str">
            <v>T810EBW</v>
          </cell>
          <cell r="B212" t="str">
            <v>2025-12-30 19:13:36</v>
          </cell>
          <cell r="C212" t="str">
            <v>LIKASI BYPASS 1</v>
          </cell>
          <cell r="D212" t="str">
            <v>2025-12-30 19:41:17</v>
          </cell>
          <cell r="E212" t="str">
            <v>Route De Lubumbashi, Mbalaka</v>
          </cell>
          <cell r="F212" t="str">
            <v>0:27:41</v>
          </cell>
          <cell r="G212">
            <v>19.723548999999998</v>
          </cell>
        </row>
        <row r="213">
          <cell r="A213" t="str">
            <v>T812EBW</v>
          </cell>
          <cell r="B213" t="str">
            <v>2025-12-30 18:46:02</v>
          </cell>
          <cell r="C213" t="str">
            <v>Rn1, 5.17 km from Kikula</v>
          </cell>
          <cell r="D213" t="str">
            <v>2025-12-30 19:39:12</v>
          </cell>
          <cell r="E213" t="str">
            <v>Route De Lubumbashi, Mbalaka</v>
          </cell>
          <cell r="F213" t="str">
            <v>0:40:57</v>
          </cell>
          <cell r="G213">
            <v>26.259246999999998</v>
          </cell>
        </row>
        <row r="214">
          <cell r="A214" t="str">
            <v>T812EBW</v>
          </cell>
          <cell r="B214" t="str">
            <v>2025-12-30 18:46:02</v>
          </cell>
          <cell r="C214" t="str">
            <v>Rn1, 5.17 km from Kikula</v>
          </cell>
          <cell r="D214" t="str">
            <v>2025-12-30 19:00:58</v>
          </cell>
          <cell r="E214" t="str">
            <v>LIKASI BYPASS 1</v>
          </cell>
          <cell r="F214" t="str">
            <v>0:14:56</v>
          </cell>
          <cell r="G214">
            <v>6.3752490000000002</v>
          </cell>
        </row>
        <row r="215">
          <cell r="A215" t="str">
            <v>T812EBW</v>
          </cell>
          <cell r="B215" t="str">
            <v>2025-12-30 19:13:11</v>
          </cell>
          <cell r="C215" t="str">
            <v>LIKASI BYPASS 1</v>
          </cell>
          <cell r="D215" t="str">
            <v>2025-12-30 19:39:12</v>
          </cell>
          <cell r="E215" t="str">
            <v>Route De Lubumbashi, Mbalaka</v>
          </cell>
          <cell r="F215" t="str">
            <v>0:26:01</v>
          </cell>
          <cell r="G215">
            <v>19.883997999999998</v>
          </cell>
        </row>
        <row r="216">
          <cell r="A216" t="str">
            <v>T816DDS</v>
          </cell>
          <cell r="B216" t="str">
            <v>2025-12-30 23:50:55</v>
          </cell>
          <cell r="C216" t="str">
            <v>GALCO ICD MBOZI</v>
          </cell>
          <cell r="D216" t="str">
            <v>2025-12-30 23:58:53</v>
          </cell>
          <cell r="E216" t="str">
            <v>DAR ES SALAAM</v>
          </cell>
          <cell r="F216" t="str">
            <v>0:07:58</v>
          </cell>
          <cell r="G216">
            <v>0.707874</v>
          </cell>
        </row>
        <row r="217">
          <cell r="A217" t="str">
            <v>T816DDS</v>
          </cell>
          <cell r="B217" t="str">
            <v>2025-12-30 23:50:55</v>
          </cell>
          <cell r="C217" t="str">
            <v>GALCO ICD MBOZI</v>
          </cell>
          <cell r="D217" t="str">
            <v>2025-12-30 23:58:53</v>
          </cell>
          <cell r="E217" t="str">
            <v>DAR ES SALAAM</v>
          </cell>
          <cell r="F217" t="str">
            <v>0:07:58</v>
          </cell>
          <cell r="G217">
            <v>0.707874</v>
          </cell>
        </row>
        <row r="218">
          <cell r="A218" t="str">
            <v>T819EBW</v>
          </cell>
          <cell r="B218" t="str">
            <v>2025-12-30 02:09:00</v>
          </cell>
          <cell r="C218" t="str">
            <v>Rn39, 4.04 km from Fungurume</v>
          </cell>
          <cell r="D218" t="str">
            <v>2025-12-30 05:43:54</v>
          </cell>
          <cell r="E218" t="str">
            <v>Rn39, 4.08 km from Fungurume</v>
          </cell>
          <cell r="F218" t="str">
            <v>0:06:12</v>
          </cell>
          <cell r="G218">
            <v>0.35786000000000001</v>
          </cell>
        </row>
        <row r="219">
          <cell r="A219" t="str">
            <v>T819EBW</v>
          </cell>
          <cell r="B219" t="str">
            <v>2025-12-30 02:09:00</v>
          </cell>
          <cell r="C219" t="str">
            <v>Rn39, 4.04 km from Fungurume</v>
          </cell>
          <cell r="D219" t="str">
            <v>2025-12-30 02:11:34</v>
          </cell>
          <cell r="E219" t="str">
            <v>Rn39, 3.98 km from Fungurume</v>
          </cell>
          <cell r="F219" t="str">
            <v>0:02:34</v>
          </cell>
          <cell r="G219">
            <v>0.10591399999999999</v>
          </cell>
        </row>
        <row r="220">
          <cell r="A220" t="str">
            <v>T819EBW</v>
          </cell>
          <cell r="B220" t="str">
            <v>2025-12-30 05:40:16</v>
          </cell>
          <cell r="C220" t="str">
            <v>Rn39, 3.97 km from Fungurume</v>
          </cell>
          <cell r="D220" t="str">
            <v>2025-12-30 05:43:54</v>
          </cell>
          <cell r="E220" t="str">
            <v>Rn39, 4.08 km from Fungurume</v>
          </cell>
          <cell r="F220" t="str">
            <v>0:03:38</v>
          </cell>
          <cell r="G220">
            <v>0.25194699999999998</v>
          </cell>
        </row>
        <row r="221">
          <cell r="A221" t="str">
            <v>T822DDS</v>
          </cell>
          <cell r="B221" t="str">
            <v>2025-12-30 19:07:45</v>
          </cell>
          <cell r="C221" t="str">
            <v>LIKASI BYPASS 1</v>
          </cell>
          <cell r="D221" t="str">
            <v>2025-12-30 19:51:32</v>
          </cell>
          <cell r="E221" t="str">
            <v>Route De Lubumbashi, Mbalaka</v>
          </cell>
          <cell r="F221" t="str">
            <v>0:43:47</v>
          </cell>
          <cell r="G221">
            <v>20.324777999999998</v>
          </cell>
        </row>
        <row r="222">
          <cell r="A222" t="str">
            <v>T822DDS</v>
          </cell>
          <cell r="B222" t="str">
            <v>2025-12-30 19:07:45</v>
          </cell>
          <cell r="C222" t="str">
            <v>LIKASI BYPASS 1</v>
          </cell>
          <cell r="D222" t="str">
            <v>2025-12-30 19:51:32</v>
          </cell>
          <cell r="E222" t="str">
            <v>Route De Lubumbashi, Mbalaka</v>
          </cell>
          <cell r="F222" t="str">
            <v>0:43:47</v>
          </cell>
          <cell r="G222">
            <v>20.324777999999998</v>
          </cell>
        </row>
        <row r="223">
          <cell r="A223" t="str">
            <v>T842EBY</v>
          </cell>
          <cell r="B223" t="str">
            <v>2025-12-30 19:38:15</v>
          </cell>
          <cell r="C223" t="str">
            <v>KSU BORDER PARKING ZM</v>
          </cell>
          <cell r="D223" t="str">
            <v>2025-12-30 19:51:59</v>
          </cell>
          <cell r="E223" t="str">
            <v>KASUMBALESA 114 PARKING</v>
          </cell>
          <cell r="F223" t="str">
            <v>0:13:44</v>
          </cell>
          <cell r="G223">
            <v>0.45027499999999998</v>
          </cell>
        </row>
        <row r="224">
          <cell r="A224" t="str">
            <v>T842EBY</v>
          </cell>
          <cell r="B224" t="str">
            <v>2025-12-30 19:38:15</v>
          </cell>
          <cell r="C224" t="str">
            <v>KSU BORDER PARKING ZM</v>
          </cell>
          <cell r="D224" t="str">
            <v>2025-12-30 19:51:59</v>
          </cell>
          <cell r="E224" t="str">
            <v>KASUMBALESA 114 PARKING</v>
          </cell>
          <cell r="F224" t="str">
            <v>0:13:44</v>
          </cell>
          <cell r="G224">
            <v>0.45027499999999998</v>
          </cell>
        </row>
        <row r="225">
          <cell r="A225" t="str">
            <v>T869EBY</v>
          </cell>
          <cell r="B225" t="str">
            <v>2025-12-30 19:03:38</v>
          </cell>
          <cell r="C225" t="str">
            <v>NDOLA</v>
          </cell>
          <cell r="D225" t="str">
            <v>2025-12-30 20:27:39</v>
          </cell>
          <cell r="E225" t="str">
            <v>CRAFTER YARD NDOLA</v>
          </cell>
          <cell r="F225" t="str">
            <v>0:40:14</v>
          </cell>
          <cell r="G225">
            <v>5.675503</v>
          </cell>
        </row>
        <row r="226">
          <cell r="A226" t="str">
            <v>T869EBY</v>
          </cell>
          <cell r="B226" t="str">
            <v>2025-12-30 19:03:38</v>
          </cell>
          <cell r="C226" t="str">
            <v>NDOLA</v>
          </cell>
          <cell r="D226" t="str">
            <v>2025-12-30 19:23:27</v>
          </cell>
          <cell r="E226" t="str">
            <v>VS CARGO ZM</v>
          </cell>
          <cell r="F226" t="str">
            <v>0:19:49</v>
          </cell>
          <cell r="G226">
            <v>2.980305</v>
          </cell>
        </row>
        <row r="227">
          <cell r="A227" t="str">
            <v>T869EBY</v>
          </cell>
          <cell r="B227" t="str">
            <v>2025-12-30 19:40:08</v>
          </cell>
          <cell r="C227" t="str">
            <v>VS CARGO ZM</v>
          </cell>
          <cell r="D227" t="str">
            <v>2025-12-30 19:50:45</v>
          </cell>
          <cell r="E227" t="str">
            <v>NDOLA</v>
          </cell>
          <cell r="F227" t="str">
            <v>0:10:37</v>
          </cell>
          <cell r="G227">
            <v>2.4455369999999998</v>
          </cell>
        </row>
        <row r="228">
          <cell r="A228" t="str">
            <v>T869EBY</v>
          </cell>
          <cell r="B228" t="str">
            <v>2025-12-30 20:17:51</v>
          </cell>
          <cell r="C228" t="str">
            <v>NDOLA</v>
          </cell>
          <cell r="D228" t="str">
            <v>2025-12-30 20:27:39</v>
          </cell>
          <cell r="E228" t="str">
            <v>CRAFTER YARD NDOLA</v>
          </cell>
          <cell r="F228" t="str">
            <v>0:09:48</v>
          </cell>
          <cell r="G228">
            <v>0.24966099999999999</v>
          </cell>
        </row>
        <row r="229">
          <cell r="A229" t="str">
            <v>T873EBW</v>
          </cell>
          <cell r="B229" t="str">
            <v>2025-12-30 18:45:55</v>
          </cell>
          <cell r="C229" t="str">
            <v>Rn1, 5.19 km from Kikula</v>
          </cell>
          <cell r="D229" t="str">
            <v>2025-12-30 19:38:31</v>
          </cell>
          <cell r="E229" t="str">
            <v>LIKASI BYPASS 1</v>
          </cell>
          <cell r="F229" t="str">
            <v>0:40:42</v>
          </cell>
          <cell r="G229">
            <v>26.1782</v>
          </cell>
        </row>
        <row r="230">
          <cell r="A230" t="str">
            <v>T873EBW</v>
          </cell>
          <cell r="B230" t="str">
            <v>2025-12-30 18:45:55</v>
          </cell>
          <cell r="C230" t="str">
            <v>Rn1, 5.19 km from Kikula</v>
          </cell>
          <cell r="D230" t="str">
            <v>2025-12-30 19:01:51</v>
          </cell>
          <cell r="E230" t="str">
            <v>LIKASI BYPASS 1</v>
          </cell>
          <cell r="F230" t="str">
            <v>0:15:56</v>
          </cell>
          <cell r="G230">
            <v>6.4735950000000004</v>
          </cell>
        </row>
        <row r="231">
          <cell r="A231" t="str">
            <v>T873EBW</v>
          </cell>
          <cell r="B231" t="str">
            <v>2025-12-30 19:13:45</v>
          </cell>
          <cell r="C231" t="str">
            <v>LIKASI BYPASS 1</v>
          </cell>
          <cell r="D231" t="str">
            <v>2025-12-30 19:38:31</v>
          </cell>
          <cell r="E231" t="str">
            <v>LIKASI BYPASS 1</v>
          </cell>
          <cell r="F231" t="str">
            <v>0:24:46</v>
          </cell>
          <cell r="G231">
            <v>19.704605000000001</v>
          </cell>
        </row>
        <row r="232">
          <cell r="A232" t="str">
            <v>T899DYR</v>
          </cell>
          <cell r="B232" t="str">
            <v>2025-12-30 05:46:13</v>
          </cell>
          <cell r="C232" t="str">
            <v>T1, Makwenje</v>
          </cell>
          <cell r="D232" t="str">
            <v>2025-12-30 19:08:57</v>
          </cell>
          <cell r="E232" t="str">
            <v>Iringa Road, Ruaha Mbuyumi</v>
          </cell>
          <cell r="F232" t="str">
            <v>1:34:49</v>
          </cell>
          <cell r="G232">
            <v>64.946642999999995</v>
          </cell>
        </row>
        <row r="233">
          <cell r="A233" t="str">
            <v>T899DYR</v>
          </cell>
          <cell r="B233" t="str">
            <v>2025-12-30 05:46:13</v>
          </cell>
          <cell r="C233" t="str">
            <v>T1, Makwenje</v>
          </cell>
          <cell r="D233" t="str">
            <v>2025-12-30 06:54:20</v>
          </cell>
          <cell r="E233" t="str">
            <v>CHIMALA FILLING STATION</v>
          </cell>
          <cell r="F233" t="str">
            <v>1:08:07</v>
          </cell>
          <cell r="G233">
            <v>46.268143999999999</v>
          </cell>
        </row>
        <row r="234">
          <cell r="A234" t="str">
            <v>T899DYR</v>
          </cell>
          <cell r="B234" t="str">
            <v>2025-12-30 18:42:15</v>
          </cell>
          <cell r="C234" t="str">
            <v>Iringa Road, Mtandika 'B'</v>
          </cell>
          <cell r="D234" t="str">
            <v>2025-12-30 19:08:57</v>
          </cell>
          <cell r="E234" t="str">
            <v>Iringa Road, Ruaha Mbuyumi</v>
          </cell>
          <cell r="F234" t="str">
            <v>0:26:42</v>
          </cell>
          <cell r="G234">
            <v>18.6785</v>
          </cell>
        </row>
        <row r="235">
          <cell r="A235" t="str">
            <v>T912EBW</v>
          </cell>
          <cell r="B235" t="str">
            <v>2025-12-30 18:44:05</v>
          </cell>
          <cell r="C235" t="str">
            <v>T1, 4.43 km from Vigwaza</v>
          </cell>
          <cell r="D235" t="str">
            <v>2025-12-30 19:14:36</v>
          </cell>
          <cell r="E235" t="str">
            <v>T1, 1.83 km from Vigwaza</v>
          </cell>
          <cell r="F235" t="str">
            <v>0:15:06</v>
          </cell>
          <cell r="G235">
            <v>2.3549289999999998</v>
          </cell>
        </row>
        <row r="236">
          <cell r="A236" t="str">
            <v>T912EBW</v>
          </cell>
          <cell r="B236" t="str">
            <v>2025-12-30 18:44:05</v>
          </cell>
          <cell r="C236" t="str">
            <v>T1, 4.43 km from Vigwaza</v>
          </cell>
          <cell r="D236" t="str">
            <v>2025-12-30 18:47:54</v>
          </cell>
          <cell r="E236" t="str">
            <v>T1, 4.16 km from Vigwaza</v>
          </cell>
          <cell r="F236" t="str">
            <v>0:03:49</v>
          </cell>
          <cell r="G236">
            <v>0.27296700000000002</v>
          </cell>
        </row>
        <row r="237">
          <cell r="A237" t="str">
            <v>T912EBW</v>
          </cell>
          <cell r="B237" t="str">
            <v>2025-12-30 19:03:19</v>
          </cell>
          <cell r="C237" t="str">
            <v>T1, 3.88 km from Vigwaza</v>
          </cell>
          <cell r="D237" t="str">
            <v>2025-12-30 19:14:36</v>
          </cell>
          <cell r="E237" t="str">
            <v>T1, 1.83 km from Vigwaza</v>
          </cell>
          <cell r="F237" t="str">
            <v>0:11:17</v>
          </cell>
          <cell r="G237">
            <v>2.0819619999999999</v>
          </cell>
        </row>
        <row r="238">
          <cell r="A238" t="str">
            <v>T915EBW</v>
          </cell>
          <cell r="B238" t="str">
            <v>2025-12-30 19:34:50</v>
          </cell>
          <cell r="C238" t="str">
            <v>Tanzam Road, Mbalizi</v>
          </cell>
          <cell r="D238" t="str">
            <v>2025-12-30 21:24:23</v>
          </cell>
          <cell r="E238" t="str">
            <v>Tanzam Road, Uyole</v>
          </cell>
          <cell r="F238" t="str">
            <v>1:32:20</v>
          </cell>
          <cell r="G238">
            <v>22.834022999999998</v>
          </cell>
        </row>
        <row r="239">
          <cell r="A239" t="str">
            <v>T915EBW</v>
          </cell>
          <cell r="B239" t="str">
            <v>2025-12-30 19:34:50</v>
          </cell>
          <cell r="C239" t="str">
            <v>Tanzam Road, Mbalizi</v>
          </cell>
          <cell r="D239" t="str">
            <v>2025-12-30 20:50:20</v>
          </cell>
          <cell r="E239" t="str">
            <v>Tanzam Road, 1.95 km from Ituha</v>
          </cell>
          <cell r="F239" t="str">
            <v>1:15:30</v>
          </cell>
          <cell r="G239">
            <v>18.338788999999998</v>
          </cell>
        </row>
        <row r="240">
          <cell r="A240" t="str">
            <v>T915EBW</v>
          </cell>
          <cell r="B240" t="str">
            <v>2025-12-30 20:55:58</v>
          </cell>
          <cell r="C240" t="str">
            <v>Tanzam Road, 1.95 km from Ituha</v>
          </cell>
          <cell r="D240" t="str">
            <v>2025-12-30 21:08:11</v>
          </cell>
          <cell r="E240" t="str">
            <v>Tanzam Road, Uyole</v>
          </cell>
          <cell r="F240" t="str">
            <v>0:12:13</v>
          </cell>
          <cell r="G240">
            <v>4.0428350000000002</v>
          </cell>
        </row>
        <row r="241">
          <cell r="A241" t="str">
            <v>T915EBW</v>
          </cell>
          <cell r="B241" t="str">
            <v>2025-12-30 21:19:46</v>
          </cell>
          <cell r="C241" t="str">
            <v>Tanzam Road, Uyole</v>
          </cell>
          <cell r="D241" t="str">
            <v>2025-12-30 21:24:23</v>
          </cell>
          <cell r="E241" t="str">
            <v>Tanzam Road, Uyole</v>
          </cell>
          <cell r="F241" t="str">
            <v>0:04:37</v>
          </cell>
          <cell r="G241">
            <v>0.45239800000000002</v>
          </cell>
        </row>
        <row r="242">
          <cell r="A242" t="str">
            <v>T930EBW</v>
          </cell>
          <cell r="B242" t="str">
            <v>2025-12-30 18:34:52</v>
          </cell>
          <cell r="C242" t="str">
            <v>T2, Mkata Mashariki</v>
          </cell>
          <cell r="D242" t="str">
            <v>2025-12-30 21:45:36</v>
          </cell>
          <cell r="E242" t="str">
            <v>TANGA LOADING POINT</v>
          </cell>
          <cell r="F242" t="str">
            <v>2:56:44</v>
          </cell>
          <cell r="G242">
            <v>139.85712899999999</v>
          </cell>
        </row>
        <row r="243">
          <cell r="A243" t="str">
            <v>T930EBW</v>
          </cell>
          <cell r="B243" t="str">
            <v>2025-12-30 18:34:52</v>
          </cell>
          <cell r="C243" t="str">
            <v>T2, Mkata Mashariki</v>
          </cell>
          <cell r="D243" t="str">
            <v>2025-12-30 21:29:54</v>
          </cell>
          <cell r="E243" t="str">
            <v>TANGA LOADING POINT</v>
          </cell>
          <cell r="F243" t="str">
            <v>2:55:02</v>
          </cell>
          <cell r="G243">
            <v>139.65987899999999</v>
          </cell>
        </row>
        <row r="244">
          <cell r="A244" t="str">
            <v>T930EBW</v>
          </cell>
          <cell r="B244" t="str">
            <v>2025-12-30 21:43:54</v>
          </cell>
          <cell r="C244" t="str">
            <v>TANGA LOADING POINT</v>
          </cell>
          <cell r="D244" t="str">
            <v>2025-12-30 21:45:36</v>
          </cell>
          <cell r="E244" t="str">
            <v>TANGA LOADING POINT</v>
          </cell>
          <cell r="F244" t="str">
            <v>0:01:42</v>
          </cell>
          <cell r="G244">
            <v>0.19724900000000001</v>
          </cell>
        </row>
        <row r="245">
          <cell r="A245" t="str">
            <v>T932EBW</v>
          </cell>
          <cell r="B245" t="str">
            <v>2025-12-30 21:11:47</v>
          </cell>
          <cell r="C245" t="str">
            <v>SALISLA</v>
          </cell>
          <cell r="D245" t="str">
            <v>2025-12-30 22:06:21</v>
          </cell>
          <cell r="E245" t="str">
            <v>MBAGALA YARD</v>
          </cell>
          <cell r="F245" t="str">
            <v>0:43:26</v>
          </cell>
          <cell r="G245">
            <v>9.7351980000000005</v>
          </cell>
        </row>
        <row r="246">
          <cell r="A246" t="str">
            <v>T932EBW</v>
          </cell>
          <cell r="B246" t="str">
            <v>2025-12-30 21:11:47</v>
          </cell>
          <cell r="C246" t="str">
            <v>SALISLA</v>
          </cell>
          <cell r="D246" t="str">
            <v>2025-12-30 21:21:08</v>
          </cell>
          <cell r="E246" t="str">
            <v>SALISLA</v>
          </cell>
          <cell r="F246" t="str">
            <v>0:09:21</v>
          </cell>
          <cell r="G246">
            <v>0.20880599999999999</v>
          </cell>
        </row>
        <row r="247">
          <cell r="A247" t="str">
            <v>T932EBW</v>
          </cell>
          <cell r="B247" t="str">
            <v>2025-12-30 21:32:16</v>
          </cell>
          <cell r="C247" t="str">
            <v>SALISLA</v>
          </cell>
          <cell r="D247" t="str">
            <v>2025-12-30 22:06:21</v>
          </cell>
          <cell r="E247" t="str">
            <v>MBAGALA YARD</v>
          </cell>
          <cell r="F247" t="str">
            <v>0:34:05</v>
          </cell>
          <cell r="G247">
            <v>9.5263930000000006</v>
          </cell>
        </row>
        <row r="248">
          <cell r="A248" t="str">
            <v>T941EBW</v>
          </cell>
          <cell r="B248" t="str">
            <v>2025-12-30 22:48:08</v>
          </cell>
          <cell r="C248" t="str">
            <v>NAKONDE ZM SIDE</v>
          </cell>
          <cell r="D248" t="str">
            <v>2025-12-30 23:58:26</v>
          </cell>
          <cell r="E248" t="str">
            <v>TUNDUMA BORDER TZ SIDE</v>
          </cell>
          <cell r="F248" t="str">
            <v>0:23:18</v>
          </cell>
          <cell r="G248">
            <v>6.4969580000000002</v>
          </cell>
        </row>
        <row r="249">
          <cell r="A249" t="str">
            <v>T941EBW</v>
          </cell>
          <cell r="B249" t="str">
            <v>2025-12-30 22:48:08</v>
          </cell>
          <cell r="C249" t="str">
            <v>NAKONDE ZM SIDE</v>
          </cell>
          <cell r="D249" t="str">
            <v>2025-12-30 23:04:38</v>
          </cell>
          <cell r="E249" t="str">
            <v>NAKONDE ZM SIDE</v>
          </cell>
          <cell r="F249" t="str">
            <v>0:16:30</v>
          </cell>
          <cell r="G249">
            <v>4.8852190000000002</v>
          </cell>
        </row>
        <row r="250">
          <cell r="A250" t="str">
            <v>T941EBW</v>
          </cell>
          <cell r="B250" t="str">
            <v>2025-12-30 23:17:59</v>
          </cell>
          <cell r="C250" t="str">
            <v>NAKONDE ZM SIDE</v>
          </cell>
          <cell r="D250" t="str">
            <v>2025-12-30 23:21:30</v>
          </cell>
          <cell r="E250" t="str">
            <v>NAKONDE ZM SIDE</v>
          </cell>
          <cell r="F250" t="str">
            <v>0:03:31</v>
          </cell>
          <cell r="G250">
            <v>1.2981830000000001</v>
          </cell>
        </row>
        <row r="251">
          <cell r="A251" t="str">
            <v>T941EBW</v>
          </cell>
          <cell r="B251" t="str">
            <v>2025-12-30 23:29:23</v>
          </cell>
          <cell r="C251" t="str">
            <v>NAKONDE ZM SIDE</v>
          </cell>
          <cell r="D251" t="str">
            <v>2025-12-30 23:31:15</v>
          </cell>
          <cell r="E251" t="str">
            <v>Great North Road, Nakonde</v>
          </cell>
          <cell r="F251" t="str">
            <v>0:01:52</v>
          </cell>
          <cell r="G251">
            <v>0.20411000000000001</v>
          </cell>
        </row>
        <row r="252">
          <cell r="A252" t="str">
            <v>T941EBW</v>
          </cell>
          <cell r="B252" t="str">
            <v>2025-12-30 23:57:01</v>
          </cell>
          <cell r="C252" t="str">
            <v>TUNDUMA BORDER TZ SIDE</v>
          </cell>
          <cell r="D252" t="str">
            <v>2025-12-30 23:58:26</v>
          </cell>
          <cell r="E252" t="str">
            <v>TUNDUMA BORDER TZ SIDE</v>
          </cell>
          <cell r="F252" t="str">
            <v>0:01:25</v>
          </cell>
          <cell r="G252">
            <v>0.109446</v>
          </cell>
        </row>
        <row r="253">
          <cell r="A253" t="str">
            <v>T947DSX</v>
          </cell>
          <cell r="B253" t="str">
            <v>2025-12-30 19:13:24</v>
          </cell>
          <cell r="C253" t="str">
            <v>Kolwezi, Rn39</v>
          </cell>
          <cell r="D253" t="str">
            <v>2025-12-30 20:14:58</v>
          </cell>
          <cell r="E253" t="str">
            <v>CONNEX AFRICA - DRC</v>
          </cell>
          <cell r="F253" t="str">
            <v>0:07:12</v>
          </cell>
          <cell r="G253">
            <v>0.28273199999999998</v>
          </cell>
        </row>
        <row r="254">
          <cell r="A254" t="str">
            <v>T947DSX</v>
          </cell>
          <cell r="B254" t="str">
            <v>2025-12-30 19:13:24</v>
          </cell>
          <cell r="C254" t="str">
            <v>Kolwezi, Rn39</v>
          </cell>
          <cell r="D254" t="str">
            <v>2025-12-30 19:17:38</v>
          </cell>
          <cell r="E254" t="str">
            <v>Kolwezi, Rn39</v>
          </cell>
          <cell r="F254" t="str">
            <v>0:04:14</v>
          </cell>
          <cell r="G254">
            <v>0.156752</v>
          </cell>
        </row>
        <row r="255">
          <cell r="A255" t="str">
            <v>T947DSX</v>
          </cell>
          <cell r="B255" t="str">
            <v>2025-12-30 20:12:00</v>
          </cell>
          <cell r="C255" t="str">
            <v>CONNEX AFRICA - DRC</v>
          </cell>
          <cell r="D255" t="str">
            <v>2025-12-30 20:14:58</v>
          </cell>
          <cell r="E255" t="str">
            <v>CONNEX AFRICA - DRC</v>
          </cell>
          <cell r="F255" t="str">
            <v>0:02:58</v>
          </cell>
          <cell r="G255">
            <v>0.12598000000000001</v>
          </cell>
        </row>
        <row r="256">
          <cell r="A256" t="str">
            <v>T950EBW</v>
          </cell>
          <cell r="B256" t="str">
            <v>2025-12-30 18:39:11</v>
          </cell>
          <cell r="C256" t="str">
            <v>GL KURASINI YARD</v>
          </cell>
          <cell r="D256" t="str">
            <v>2025-12-30 20:34:08</v>
          </cell>
          <cell r="E256" t="str">
            <v>MOFED</v>
          </cell>
          <cell r="F256" t="str">
            <v>0:51:40</v>
          </cell>
          <cell r="G256">
            <v>3.5035989999999999</v>
          </cell>
        </row>
        <row r="257">
          <cell r="A257" t="str">
            <v>T950EBW</v>
          </cell>
          <cell r="B257" t="str">
            <v>2025-12-30 18:39:11</v>
          </cell>
          <cell r="C257" t="str">
            <v>GL KURASINI YARD</v>
          </cell>
          <cell r="D257" t="str">
            <v>2025-12-30 19:08:29</v>
          </cell>
          <cell r="E257" t="str">
            <v>MOFED</v>
          </cell>
          <cell r="F257" t="str">
            <v>0:29:18</v>
          </cell>
          <cell r="G257">
            <v>2.7196720000000001</v>
          </cell>
        </row>
        <row r="258">
          <cell r="A258" t="str">
            <v>T950EBW</v>
          </cell>
          <cell r="B258" t="str">
            <v>2025-12-30 20:06:10</v>
          </cell>
          <cell r="C258" t="str">
            <v>MOFED</v>
          </cell>
          <cell r="D258" t="str">
            <v>2025-12-30 20:08:35</v>
          </cell>
          <cell r="E258" t="str">
            <v>DAR ES SALAAM</v>
          </cell>
          <cell r="F258" t="str">
            <v>0:02:25</v>
          </cell>
          <cell r="G258">
            <v>0.114068</v>
          </cell>
        </row>
        <row r="259">
          <cell r="A259" t="str">
            <v>T950EBW</v>
          </cell>
          <cell r="B259" t="str">
            <v>2025-12-30 20:14:11</v>
          </cell>
          <cell r="C259" t="str">
            <v>DAR ES SALAAM</v>
          </cell>
          <cell r="D259" t="str">
            <v>2025-12-30 20:34:08</v>
          </cell>
          <cell r="E259" t="str">
            <v>MOFED</v>
          </cell>
          <cell r="F259" t="str">
            <v>0:19:57</v>
          </cell>
          <cell r="G259">
            <v>0.66985899999999998</v>
          </cell>
        </row>
        <row r="260">
          <cell r="A260" t="str">
            <v>T954EBW</v>
          </cell>
          <cell r="B260" t="str">
            <v>2025-12-30 18:32:41</v>
          </cell>
          <cell r="C260" t="str">
            <v>MBAGALA YARD</v>
          </cell>
          <cell r="D260" t="str">
            <v>2025-12-30 19:20:26</v>
          </cell>
          <cell r="E260" t="str">
            <v>GL KURASINI YARD</v>
          </cell>
          <cell r="F260" t="str">
            <v>0:41:47</v>
          </cell>
          <cell r="G260">
            <v>9.7612100000000002</v>
          </cell>
        </row>
        <row r="261">
          <cell r="A261" t="str">
            <v>T954EBW</v>
          </cell>
          <cell r="B261" t="str">
            <v>2025-12-30 18:32:41</v>
          </cell>
          <cell r="C261" t="str">
            <v>MBAGALA YARD</v>
          </cell>
          <cell r="D261" t="str">
            <v>2025-12-30 19:12:23</v>
          </cell>
          <cell r="E261" t="str">
            <v>GL KURASINI YARD</v>
          </cell>
          <cell r="F261" t="str">
            <v>0:39:42</v>
          </cell>
          <cell r="G261">
            <v>9.5183959999999992</v>
          </cell>
        </row>
        <row r="262">
          <cell r="A262" t="str">
            <v>T954EBW</v>
          </cell>
          <cell r="B262" t="str">
            <v>2025-12-30 19:18:21</v>
          </cell>
          <cell r="C262" t="str">
            <v>GL KURASINI YARD</v>
          </cell>
          <cell r="D262" t="str">
            <v>2025-12-30 19:20:26</v>
          </cell>
          <cell r="E262" t="str">
            <v>GL KURASINI YARD</v>
          </cell>
          <cell r="F262" t="str">
            <v>0:02:05</v>
          </cell>
          <cell r="G262">
            <v>0.242815</v>
          </cell>
        </row>
        <row r="263">
          <cell r="A263" t="str">
            <v>T960DSX</v>
          </cell>
          <cell r="B263" t="str">
            <v>2025-12-30 18:50:20</v>
          </cell>
          <cell r="C263" t="str">
            <v>DAR ES SALAAM</v>
          </cell>
          <cell r="D263" t="str">
            <v>2025-12-30 21:19:53</v>
          </cell>
          <cell r="E263" t="str">
            <v>Dar Es Salaam, Morogoro Main Road</v>
          </cell>
          <cell r="F263" t="str">
            <v>1:59:32</v>
          </cell>
          <cell r="G263">
            <v>28.179368</v>
          </cell>
        </row>
        <row r="264">
          <cell r="A264" t="str">
            <v>T960DSX</v>
          </cell>
          <cell r="B264" t="str">
            <v>2025-12-30 18:50:20</v>
          </cell>
          <cell r="C264" t="str">
            <v>DAR ES SALAAM</v>
          </cell>
          <cell r="D264" t="str">
            <v>2025-12-30 18:54:21</v>
          </cell>
          <cell r="E264" t="str">
            <v>DAR ES SALAAM</v>
          </cell>
          <cell r="F264" t="str">
            <v>0:04:01</v>
          </cell>
          <cell r="G264">
            <v>0.16885600000000001</v>
          </cell>
        </row>
        <row r="265">
          <cell r="A265" t="str">
            <v>T960DSX</v>
          </cell>
          <cell r="B265" t="str">
            <v>2025-12-30 19:06:21</v>
          </cell>
          <cell r="C265" t="str">
            <v>DAR ES SALAAM</v>
          </cell>
          <cell r="D265" t="str">
            <v>2025-12-30 20:06:33</v>
          </cell>
          <cell r="E265" t="str">
            <v>DAR ES SALAAM</v>
          </cell>
          <cell r="F265" t="str">
            <v>1:00:12</v>
          </cell>
          <cell r="G265">
            <v>10.678746</v>
          </cell>
        </row>
        <row r="266">
          <cell r="A266" t="str">
            <v>T960DSX</v>
          </cell>
          <cell r="B266" t="str">
            <v>2025-12-30 20:24:34</v>
          </cell>
          <cell r="C266" t="str">
            <v>DAR ES SALAAM</v>
          </cell>
          <cell r="D266" t="str">
            <v>2025-12-30 21:19:53</v>
          </cell>
          <cell r="E266" t="str">
            <v>Dar Es Salaam, Morogoro Main Road</v>
          </cell>
          <cell r="F266" t="str">
            <v>0:55:19</v>
          </cell>
          <cell r="G266">
            <v>17.331765999999998</v>
          </cell>
        </row>
        <row r="267">
          <cell r="A267" t="str">
            <v>T967EBW</v>
          </cell>
          <cell r="B267" t="str">
            <v>2025-12-30 19:34:06</v>
          </cell>
          <cell r="C267" t="str">
            <v>VS CARGO ZM</v>
          </cell>
          <cell r="D267" t="str">
            <v>2025-12-30 19:38:07</v>
          </cell>
          <cell r="E267" t="str">
            <v>VS CARGO ZM</v>
          </cell>
          <cell r="F267" t="str">
            <v>0:04:01</v>
          </cell>
          <cell r="G267">
            <v>0.121488</v>
          </cell>
        </row>
        <row r="268">
          <cell r="A268" t="str">
            <v>T967EBW</v>
          </cell>
          <cell r="B268" t="str">
            <v>2025-12-30 19:34:06</v>
          </cell>
          <cell r="C268" t="str">
            <v>VS CARGO ZM</v>
          </cell>
          <cell r="D268" t="str">
            <v>2025-12-30 19:38:07</v>
          </cell>
          <cell r="E268" t="str">
            <v>VS CARGO ZM</v>
          </cell>
          <cell r="F268" t="str">
            <v>0:04:01</v>
          </cell>
          <cell r="G268">
            <v>0.121488</v>
          </cell>
        </row>
        <row r="269">
          <cell r="A269" t="str">
            <v>T994EBW</v>
          </cell>
          <cell r="B269" t="str">
            <v>2025-12-30 19:03:15</v>
          </cell>
          <cell r="C269" t="str">
            <v>NDOLA</v>
          </cell>
          <cell r="D269" t="str">
            <v>2025-12-30 19:43:11</v>
          </cell>
          <cell r="E269" t="str">
            <v>VS CARGO ZM</v>
          </cell>
          <cell r="F269" t="str">
            <v>0:24:54</v>
          </cell>
          <cell r="G269">
            <v>3.152498</v>
          </cell>
        </row>
        <row r="270">
          <cell r="A270" t="str">
            <v>T994EBW</v>
          </cell>
          <cell r="B270" t="str">
            <v>2025-12-30 19:03:15</v>
          </cell>
          <cell r="C270" t="str">
            <v>NDOLA</v>
          </cell>
          <cell r="D270" t="str">
            <v>2025-12-30 19:24:24</v>
          </cell>
          <cell r="E270" t="str">
            <v>NDOLA</v>
          </cell>
          <cell r="F270" t="str">
            <v>0:21:09</v>
          </cell>
          <cell r="G270">
            <v>3.0010479999999999</v>
          </cell>
        </row>
        <row r="271">
          <cell r="A271" t="str">
            <v>T994EBW</v>
          </cell>
          <cell r="B271" t="str">
            <v>2025-12-30 19:39:26</v>
          </cell>
          <cell r="C271" t="str">
            <v>VS CARGO ZM</v>
          </cell>
          <cell r="D271" t="str">
            <v>2025-12-30 19:43:11</v>
          </cell>
          <cell r="E271" t="str">
            <v>VS CARGO ZM</v>
          </cell>
          <cell r="F271" t="str">
            <v>0:03:45</v>
          </cell>
          <cell r="G271">
            <v>0.15145</v>
          </cell>
        </row>
        <row r="272">
          <cell r="A272" t="str">
            <v>Total</v>
          </cell>
          <cell r="B272" t="str">
            <v>-----</v>
          </cell>
          <cell r="C272" t="str">
            <v>-----</v>
          </cell>
          <cell r="D272" t="str">
            <v>-----</v>
          </cell>
          <cell r="E272" t="str">
            <v>-----</v>
          </cell>
          <cell r="F272" t="str">
            <v>66:35:19</v>
          </cell>
          <cell r="G272">
            <v>1774.5797230000001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Sheet1"/>
      <sheetName val="TRIPS"/>
    </sheetNames>
    <sheetDataSet>
      <sheetData sheetId="0" refreshError="1"/>
      <sheetData sheetId="1" refreshError="1"/>
      <sheetData sheetId="2">
        <row r="1">
          <cell r="B1" t="str">
            <v>Grouping</v>
          </cell>
          <cell r="C1" t="str">
            <v>Beginning</v>
          </cell>
          <cell r="D1" t="str">
            <v>Initial location</v>
          </cell>
          <cell r="E1" t="str">
            <v>End</v>
          </cell>
          <cell r="F1" t="str">
            <v>Final location</v>
          </cell>
          <cell r="G1" t="str">
            <v>Duration</v>
          </cell>
          <cell r="H1" t="str">
            <v>Mileage</v>
          </cell>
        </row>
        <row r="2">
          <cell r="B2" t="str">
            <v>T142EBX</v>
          </cell>
          <cell r="C2" t="str">
            <v>2026-01-04 01:02:33</v>
          </cell>
          <cell r="D2" t="str">
            <v>TUNDUMA PARKING</v>
          </cell>
          <cell r="E2" t="str">
            <v>2026-01-04 04:48:35</v>
          </cell>
          <cell r="F2" t="str">
            <v>NAKONDE ZM SIDE</v>
          </cell>
          <cell r="G2" t="str">
            <v>2:06:08</v>
          </cell>
          <cell r="H2">
            <v>18.815387000000001</v>
          </cell>
        </row>
        <row r="3">
          <cell r="B3" t="str">
            <v>T142EBX</v>
          </cell>
          <cell r="C3" t="str">
            <v>2026-01-04 01:02:33</v>
          </cell>
          <cell r="D3" t="str">
            <v>TUNDUMA PARKING</v>
          </cell>
          <cell r="E3" t="str">
            <v>2026-01-04 01:19:42</v>
          </cell>
          <cell r="F3" t="str">
            <v>TUNDUMA BORDER TZ SIDE</v>
          </cell>
          <cell r="G3" t="str">
            <v>0:17:09</v>
          </cell>
          <cell r="H3">
            <v>5.4302400000000004</v>
          </cell>
        </row>
        <row r="4">
          <cell r="B4" t="str">
            <v>T142EBX</v>
          </cell>
          <cell r="C4" t="str">
            <v>2026-01-04 01:32:45</v>
          </cell>
          <cell r="D4" t="str">
            <v>TUNDUMA BORDER TZ SIDE</v>
          </cell>
          <cell r="E4" t="str">
            <v>2026-01-04 01:35:12</v>
          </cell>
          <cell r="F4" t="str">
            <v>TUNDUMA BORDER TZ SIDE</v>
          </cell>
          <cell r="G4" t="str">
            <v>0:02:27</v>
          </cell>
          <cell r="H4">
            <v>0.135848</v>
          </cell>
        </row>
        <row r="5">
          <cell r="B5" t="str">
            <v>T142EBX</v>
          </cell>
          <cell r="C5" t="str">
            <v>2026-01-04 01:40:33</v>
          </cell>
          <cell r="D5" t="str">
            <v>TUNDUMA BORDER TZ SIDE</v>
          </cell>
          <cell r="E5" t="str">
            <v>2026-01-04 01:44:33</v>
          </cell>
          <cell r="F5" t="str">
            <v>TUNDUMA BORDER TZ SIDE</v>
          </cell>
          <cell r="G5" t="str">
            <v>0:04:00</v>
          </cell>
          <cell r="H5">
            <v>0.217194</v>
          </cell>
        </row>
        <row r="6">
          <cell r="B6" t="str">
            <v>T142EBX</v>
          </cell>
          <cell r="C6" t="str">
            <v>2026-01-04 02:09:07</v>
          </cell>
          <cell r="D6" t="str">
            <v>TUNDUMA BORDER TZ SIDE</v>
          </cell>
          <cell r="E6" t="str">
            <v>2026-01-04 02:32:28</v>
          </cell>
          <cell r="F6" t="str">
            <v>TUNDUMA BORDER TZ SIDE</v>
          </cell>
          <cell r="G6" t="str">
            <v>0:23:21</v>
          </cell>
          <cell r="H6">
            <v>4.8447149999999999</v>
          </cell>
        </row>
        <row r="7">
          <cell r="B7" t="str">
            <v>T142EBX</v>
          </cell>
          <cell r="C7" t="str">
            <v>2026-01-04 02:42:43</v>
          </cell>
          <cell r="D7" t="str">
            <v>TUNDUMA BORDER TZ SIDE</v>
          </cell>
          <cell r="E7" t="str">
            <v>2026-01-04 03:24:00</v>
          </cell>
          <cell r="F7" t="str">
            <v>TUNDUMA BORDER TZ SIDE</v>
          </cell>
          <cell r="G7" t="str">
            <v>0:41:17</v>
          </cell>
          <cell r="H7">
            <v>0.68117499999999997</v>
          </cell>
        </row>
        <row r="8">
          <cell r="B8" t="str">
            <v>T142EBX</v>
          </cell>
          <cell r="C8" t="str">
            <v>2026-01-04 03:50:37</v>
          </cell>
          <cell r="D8" t="str">
            <v>TUNDUMA BORDER TZ SIDE</v>
          </cell>
          <cell r="E8" t="str">
            <v>2026-01-04 04:03:30</v>
          </cell>
          <cell r="F8" t="str">
            <v>TUNDUMA BORDER TZ SIDE</v>
          </cell>
          <cell r="G8" t="str">
            <v>0:12:53</v>
          </cell>
          <cell r="H8">
            <v>0.33096399999999998</v>
          </cell>
        </row>
        <row r="9">
          <cell r="B9" t="str">
            <v>T142EBX</v>
          </cell>
          <cell r="C9" t="str">
            <v>2026-01-04 04:11:29</v>
          </cell>
          <cell r="D9" t="str">
            <v>TUNDUMA BORDER TZ SIDE</v>
          </cell>
          <cell r="E9" t="str">
            <v>2026-01-04 04:16:02</v>
          </cell>
          <cell r="F9" t="str">
            <v>T1, Nakonde</v>
          </cell>
          <cell r="G9" t="str">
            <v>0:04:33</v>
          </cell>
          <cell r="H9">
            <v>0.24682699999999999</v>
          </cell>
        </row>
        <row r="10">
          <cell r="B10" t="str">
            <v>T142EBX</v>
          </cell>
          <cell r="C10" t="str">
            <v>2026-01-04 04:28:07</v>
          </cell>
          <cell r="D10" t="str">
            <v>Great North Road, Nakonde</v>
          </cell>
          <cell r="E10" t="str">
            <v>2026-01-04 04:48:35</v>
          </cell>
          <cell r="F10" t="str">
            <v>NAKONDE ZM SIDE</v>
          </cell>
          <cell r="G10" t="str">
            <v>0:20:28</v>
          </cell>
          <cell r="H10">
            <v>6.9284239999999997</v>
          </cell>
        </row>
        <row r="11">
          <cell r="B11" t="str">
            <v>T149EBX</v>
          </cell>
          <cell r="C11" t="str">
            <v>2026-01-04 18:53:26</v>
          </cell>
          <cell r="D11" t="str">
            <v>Great North Road, 4.99 km from Kampimpa</v>
          </cell>
          <cell r="E11" t="str">
            <v>2026-01-04 20:07:08</v>
          </cell>
          <cell r="F11" t="str">
            <v>ISOKA, ZAMBIA</v>
          </cell>
          <cell r="G11" t="str">
            <v>1:13:42</v>
          </cell>
          <cell r="H11">
            <v>58.453167999999998</v>
          </cell>
        </row>
        <row r="12">
          <cell r="B12" t="str">
            <v>T149EBX</v>
          </cell>
          <cell r="C12" t="str">
            <v>2026-01-04 18:53:26</v>
          </cell>
          <cell r="D12" t="str">
            <v>Great North Road, 4.99 km from Kampimpa</v>
          </cell>
          <cell r="E12" t="str">
            <v>2026-01-04 20:07:08</v>
          </cell>
          <cell r="F12" t="str">
            <v>ISOKA, ZAMBIA</v>
          </cell>
          <cell r="G12" t="str">
            <v>1:13:42</v>
          </cell>
          <cell r="H12">
            <v>58.453167999999998</v>
          </cell>
        </row>
        <row r="13">
          <cell r="B13" t="str">
            <v>T150EBX</v>
          </cell>
          <cell r="C13" t="str">
            <v>2026-01-04 00:45:21</v>
          </cell>
          <cell r="D13" t="str">
            <v>KIOO</v>
          </cell>
          <cell r="E13" t="str">
            <v>2026-01-04 04:06:20</v>
          </cell>
          <cell r="F13" t="str">
            <v>MBAGALA YARD</v>
          </cell>
          <cell r="G13" t="str">
            <v>1:18:31</v>
          </cell>
          <cell r="H13">
            <v>25.599955999999999</v>
          </cell>
        </row>
        <row r="14">
          <cell r="B14" t="str">
            <v>T150EBX</v>
          </cell>
          <cell r="C14" t="str">
            <v>2026-01-04 00:45:21</v>
          </cell>
          <cell r="D14" t="str">
            <v>KIOO</v>
          </cell>
          <cell r="E14" t="str">
            <v>2026-01-04 01:13:56</v>
          </cell>
          <cell r="F14" t="str">
            <v>DAR ES SALAAM</v>
          </cell>
          <cell r="G14" t="str">
            <v>0:28:35</v>
          </cell>
          <cell r="H14">
            <v>8.6481849999999998</v>
          </cell>
        </row>
        <row r="15">
          <cell r="B15" t="str">
            <v>T150EBX</v>
          </cell>
          <cell r="C15" t="str">
            <v>2026-01-04 03:10:42</v>
          </cell>
          <cell r="D15" t="str">
            <v>DAR ES SALAAM</v>
          </cell>
          <cell r="E15" t="str">
            <v>2026-01-04 03:31:53</v>
          </cell>
          <cell r="F15" t="str">
            <v>DAR ES SALAAM</v>
          </cell>
          <cell r="G15" t="str">
            <v>0:21:11</v>
          </cell>
          <cell r="H15">
            <v>1.95285</v>
          </cell>
        </row>
        <row r="16">
          <cell r="B16" t="str">
            <v>T150EBX</v>
          </cell>
          <cell r="C16" t="str">
            <v>2026-01-04 03:37:35</v>
          </cell>
          <cell r="D16" t="str">
            <v>DAR ES SALAAM</v>
          </cell>
          <cell r="E16" t="str">
            <v>2026-01-04 04:06:20</v>
          </cell>
          <cell r="F16" t="str">
            <v>MBAGALA YARD</v>
          </cell>
          <cell r="G16" t="str">
            <v>0:28:45</v>
          </cell>
          <cell r="H16">
            <v>14.998920999999999</v>
          </cell>
        </row>
        <row r="17">
          <cell r="B17" t="str">
            <v>T178EBX</v>
          </cell>
          <cell r="C17" t="str">
            <v>2026-01-04 00:00:21</v>
          </cell>
          <cell r="D17" t="str">
            <v>DAR ES SALAAM</v>
          </cell>
          <cell r="E17" t="str">
            <v>2026-01-04 02:50:31</v>
          </cell>
          <cell r="F17" t="str">
            <v>MBAGALA YARD</v>
          </cell>
          <cell r="G17" t="str">
            <v>0:43:28</v>
          </cell>
          <cell r="H17">
            <v>17.614771000000001</v>
          </cell>
        </row>
        <row r="18">
          <cell r="B18" t="str">
            <v>T178EBX</v>
          </cell>
          <cell r="C18" t="str">
            <v>2026-01-04 00:00:21</v>
          </cell>
          <cell r="D18" t="str">
            <v>DAR ES SALAAM</v>
          </cell>
          <cell r="E18" t="str">
            <v>2026-01-04 00:02:28</v>
          </cell>
          <cell r="F18" t="str">
            <v>DAR ES SALAAM</v>
          </cell>
          <cell r="G18" t="str">
            <v>0:02:07</v>
          </cell>
          <cell r="H18">
            <v>0.21002299999999999</v>
          </cell>
        </row>
        <row r="19">
          <cell r="B19" t="str">
            <v>T178EBX</v>
          </cell>
          <cell r="C19" t="str">
            <v>2026-01-04 02:09:10</v>
          </cell>
          <cell r="D19" t="str">
            <v>DAR ES SALAAM</v>
          </cell>
          <cell r="E19" t="str">
            <v>2026-01-04 02:50:31</v>
          </cell>
          <cell r="F19" t="str">
            <v>MBAGALA YARD</v>
          </cell>
          <cell r="G19" t="str">
            <v>0:41:21</v>
          </cell>
          <cell r="H19">
            <v>17.404747</v>
          </cell>
        </row>
        <row r="20">
          <cell r="B20" t="str">
            <v>T184EBX</v>
          </cell>
          <cell r="C20" t="str">
            <v>2026-01-04 00:56:21</v>
          </cell>
          <cell r="D20" t="str">
            <v>TUNDUMA PARKING</v>
          </cell>
          <cell r="E20" t="str">
            <v>2026-01-04 02:54:36</v>
          </cell>
          <cell r="F20" t="str">
            <v>NAKONDE ZM SIDE</v>
          </cell>
          <cell r="G20" t="str">
            <v>1:00:22</v>
          </cell>
          <cell r="H20">
            <v>15.169714000000001</v>
          </cell>
        </row>
        <row r="21">
          <cell r="B21" t="str">
            <v>T184EBX</v>
          </cell>
          <cell r="C21" t="str">
            <v>2026-01-04 00:56:21</v>
          </cell>
          <cell r="D21" t="str">
            <v>TUNDUMA PARKING</v>
          </cell>
          <cell r="E21" t="str">
            <v>2026-01-04 01:09:12</v>
          </cell>
          <cell r="F21" t="str">
            <v>TUNDUMA BORDER TZ SIDE</v>
          </cell>
          <cell r="G21" t="str">
            <v>0:12:51</v>
          </cell>
          <cell r="H21">
            <v>5.8638849999999998</v>
          </cell>
        </row>
        <row r="22">
          <cell r="B22" t="str">
            <v>T184EBX</v>
          </cell>
          <cell r="C22" t="str">
            <v>2026-01-04 01:26:56</v>
          </cell>
          <cell r="D22" t="str">
            <v>TUNDUMA BORDER TZ SIDE</v>
          </cell>
          <cell r="E22" t="str">
            <v>2026-01-04 01:41:52</v>
          </cell>
          <cell r="F22" t="str">
            <v>TUNDUMA BORDER TZ SIDE</v>
          </cell>
          <cell r="G22" t="str">
            <v>0:14:56</v>
          </cell>
          <cell r="H22">
            <v>0.56238299999999997</v>
          </cell>
        </row>
        <row r="23">
          <cell r="B23" t="str">
            <v>T184EBX</v>
          </cell>
          <cell r="C23" t="str">
            <v>2026-01-04 02:03:55</v>
          </cell>
          <cell r="D23" t="str">
            <v>TUNDUMA BORDER TZ SIDE</v>
          </cell>
          <cell r="E23" t="str">
            <v>2026-01-04 02:16:39</v>
          </cell>
          <cell r="F23" t="str">
            <v>TUNDUMA BORDER TZ SIDE</v>
          </cell>
          <cell r="G23" t="str">
            <v>0:12:44</v>
          </cell>
          <cell r="H23">
            <v>1.977317</v>
          </cell>
        </row>
        <row r="24">
          <cell r="B24" t="str">
            <v>T184EBX</v>
          </cell>
          <cell r="C24" t="str">
            <v>2026-01-04 02:21:39</v>
          </cell>
          <cell r="D24" t="str">
            <v>TUNDUMA BORDER TZ SIDE</v>
          </cell>
          <cell r="E24" t="str">
            <v>2026-01-04 02:30:29</v>
          </cell>
          <cell r="F24" t="str">
            <v>TUNDUMA BORDER TZ SIDE</v>
          </cell>
          <cell r="G24" t="str">
            <v>0:08:50</v>
          </cell>
          <cell r="H24">
            <v>0.260162</v>
          </cell>
        </row>
        <row r="25">
          <cell r="B25" t="str">
            <v>T184EBX</v>
          </cell>
          <cell r="C25" t="str">
            <v>2026-01-04 02:43:35</v>
          </cell>
          <cell r="D25" t="str">
            <v>Great North Road, Nakonde</v>
          </cell>
          <cell r="E25" t="str">
            <v>2026-01-04 02:54:36</v>
          </cell>
          <cell r="F25" t="str">
            <v>NAKONDE ZM SIDE</v>
          </cell>
          <cell r="G25" t="str">
            <v>0:11:01</v>
          </cell>
          <cell r="H25">
            <v>6.5059680000000002</v>
          </cell>
        </row>
        <row r="26">
          <cell r="B26" t="str">
            <v>T191EBX</v>
          </cell>
          <cell r="C26" t="str">
            <v>2026-01-04 18:40:30</v>
          </cell>
          <cell r="D26" t="str">
            <v>Rn39, 5.65 km from Kisenda</v>
          </cell>
          <cell r="E26" t="str">
            <v>2026-01-04 19:08:41</v>
          </cell>
          <cell r="F26" t="str">
            <v>CONNEX AFRICA - DRC</v>
          </cell>
          <cell r="G26" t="str">
            <v>0:28:11</v>
          </cell>
          <cell r="H26">
            <v>13.365508</v>
          </cell>
        </row>
        <row r="27">
          <cell r="B27" t="str">
            <v>T191EBX</v>
          </cell>
          <cell r="C27" t="str">
            <v>2026-01-04 18:40:30</v>
          </cell>
          <cell r="D27" t="str">
            <v>Rn39, 5.65 km from Kisenda</v>
          </cell>
          <cell r="E27" t="str">
            <v>2026-01-04 19:08:41</v>
          </cell>
          <cell r="F27" t="str">
            <v>CONNEX AFRICA - DRC</v>
          </cell>
          <cell r="G27" t="str">
            <v>0:28:11</v>
          </cell>
          <cell r="H27">
            <v>13.365508</v>
          </cell>
        </row>
        <row r="28">
          <cell r="B28" t="str">
            <v>T220EBX</v>
          </cell>
          <cell r="C28" t="str">
            <v>2026-01-04 02:15:47</v>
          </cell>
          <cell r="D28" t="str">
            <v>DAR ES SALAAM</v>
          </cell>
          <cell r="E28" t="str">
            <v>2026-01-04 03:08:04</v>
          </cell>
          <cell r="F28" t="str">
            <v>MBAGALA YARD</v>
          </cell>
          <cell r="G28" t="str">
            <v>0:44:51</v>
          </cell>
          <cell r="H28">
            <v>17.604040999999999</v>
          </cell>
        </row>
        <row r="29">
          <cell r="B29" t="str">
            <v>T220EBX</v>
          </cell>
          <cell r="C29" t="str">
            <v>2026-01-04 02:15:47</v>
          </cell>
          <cell r="D29" t="str">
            <v>DAR ES SALAAM</v>
          </cell>
          <cell r="E29" t="str">
            <v>2026-01-04 02:34:21</v>
          </cell>
          <cell r="F29" t="str">
            <v>DAR ES SALAAM</v>
          </cell>
          <cell r="G29" t="str">
            <v>0:18:34</v>
          </cell>
          <cell r="H29">
            <v>3.4617260000000001</v>
          </cell>
        </row>
        <row r="30">
          <cell r="B30" t="str">
            <v>T220EBX</v>
          </cell>
          <cell r="C30" t="str">
            <v>2026-01-04 02:41:47</v>
          </cell>
          <cell r="D30" t="str">
            <v>DAR ES SALAAM</v>
          </cell>
          <cell r="E30" t="str">
            <v>2026-01-04 03:08:04</v>
          </cell>
          <cell r="F30" t="str">
            <v>MBAGALA YARD</v>
          </cell>
          <cell r="G30" t="str">
            <v>0:26:17</v>
          </cell>
          <cell r="H30">
            <v>14.142315999999999</v>
          </cell>
        </row>
        <row r="31">
          <cell r="B31" t="str">
            <v>T224EBX</v>
          </cell>
          <cell r="C31" t="str">
            <v>2026-01-04 19:09:16</v>
          </cell>
          <cell r="D31" t="str">
            <v>TUNDUMA BORDER TZ SIDE</v>
          </cell>
          <cell r="E31" t="str">
            <v>2026-01-04 22:42:59</v>
          </cell>
          <cell r="F31" t="str">
            <v>TUNDUMA BORDER TZ SIDE</v>
          </cell>
          <cell r="G31" t="str">
            <v>0:50:47</v>
          </cell>
          <cell r="H31">
            <v>1.3636900000000001</v>
          </cell>
        </row>
        <row r="32">
          <cell r="B32" t="str">
            <v>T224EBX</v>
          </cell>
          <cell r="C32" t="str">
            <v>2026-01-04 19:09:16</v>
          </cell>
          <cell r="D32" t="str">
            <v>TUNDUMA BORDER TZ SIDE</v>
          </cell>
          <cell r="E32" t="str">
            <v>2026-01-04 19:11:47</v>
          </cell>
          <cell r="F32" t="str">
            <v>TUNDUMA BORDER TZ SIDE</v>
          </cell>
          <cell r="G32" t="str">
            <v>0:02:31</v>
          </cell>
          <cell r="H32">
            <v>0.13550999999999999</v>
          </cell>
        </row>
        <row r="33">
          <cell r="B33" t="str">
            <v>T224EBX</v>
          </cell>
          <cell r="C33" t="str">
            <v>2026-01-04 19:40:31</v>
          </cell>
          <cell r="D33" t="str">
            <v>TUNDUMA BORDER TZ SIDE</v>
          </cell>
          <cell r="E33" t="str">
            <v>2026-01-04 19:43:17</v>
          </cell>
          <cell r="F33" t="str">
            <v>TUNDUMA BORDER TZ SIDE</v>
          </cell>
          <cell r="G33" t="str">
            <v>0:02:46</v>
          </cell>
          <cell r="H33">
            <v>0.104071</v>
          </cell>
        </row>
        <row r="34">
          <cell r="B34" t="str">
            <v>T224EBX</v>
          </cell>
          <cell r="C34" t="str">
            <v>2026-01-04 21:07:13</v>
          </cell>
          <cell r="D34" t="str">
            <v>TUNDUMA BORDER TZ SIDE</v>
          </cell>
          <cell r="E34" t="str">
            <v>2026-01-04 21:10:21</v>
          </cell>
          <cell r="F34" t="str">
            <v>TUNDUMA BORDER TZ SIDE</v>
          </cell>
          <cell r="G34" t="str">
            <v>0:03:08</v>
          </cell>
          <cell r="H34">
            <v>0.17419200000000001</v>
          </cell>
        </row>
        <row r="35">
          <cell r="B35" t="str">
            <v>T224EBX</v>
          </cell>
          <cell r="C35" t="str">
            <v>2026-01-04 21:22:45</v>
          </cell>
          <cell r="D35" t="str">
            <v>TUNDUMA BORDER TZ SIDE</v>
          </cell>
          <cell r="E35" t="str">
            <v>2026-01-04 21:26:31</v>
          </cell>
          <cell r="F35" t="str">
            <v>TUNDUMA BORDER TZ SIDE</v>
          </cell>
          <cell r="G35" t="str">
            <v>0:03:46</v>
          </cell>
          <cell r="H35">
            <v>0.18376300000000001</v>
          </cell>
        </row>
        <row r="36">
          <cell r="B36" t="str">
            <v>T224EBX</v>
          </cell>
          <cell r="C36" t="str">
            <v>2026-01-04 21:41:10</v>
          </cell>
          <cell r="D36" t="str">
            <v>TUNDUMA BORDER TZ SIDE</v>
          </cell>
          <cell r="E36" t="str">
            <v>2026-01-04 21:51:44</v>
          </cell>
          <cell r="F36" t="str">
            <v>TUNDUMA BORDER TZ SIDE</v>
          </cell>
          <cell r="G36" t="str">
            <v>0:10:34</v>
          </cell>
          <cell r="H36">
            <v>0.21049599999999999</v>
          </cell>
        </row>
        <row r="37">
          <cell r="B37" t="str">
            <v>T224EBX</v>
          </cell>
          <cell r="C37" t="str">
            <v>2026-01-04 22:05:53</v>
          </cell>
          <cell r="D37" t="str">
            <v>TUNDUMA BORDER TZ SIDE</v>
          </cell>
          <cell r="E37" t="str">
            <v>2026-01-04 22:27:08</v>
          </cell>
          <cell r="F37" t="str">
            <v>TUNDUMA BORDER TZ SIDE</v>
          </cell>
          <cell r="G37" t="str">
            <v>0:21:15</v>
          </cell>
          <cell r="H37">
            <v>0.37546400000000002</v>
          </cell>
        </row>
        <row r="38">
          <cell r="B38" t="str">
            <v>T224EBX</v>
          </cell>
          <cell r="C38" t="str">
            <v>2026-01-04 22:36:12</v>
          </cell>
          <cell r="D38" t="str">
            <v>TUNDUMA BORDER TZ SIDE</v>
          </cell>
          <cell r="E38" t="str">
            <v>2026-01-04 22:42:59</v>
          </cell>
          <cell r="F38" t="str">
            <v>TUNDUMA BORDER TZ SIDE</v>
          </cell>
          <cell r="G38" t="str">
            <v>0:06:47</v>
          </cell>
          <cell r="H38">
            <v>0.18019399999999999</v>
          </cell>
        </row>
        <row r="39">
          <cell r="B39" t="str">
            <v>T233EBX</v>
          </cell>
          <cell r="C39" t="str">
            <v>2026-01-04 00:39:40</v>
          </cell>
          <cell r="D39" t="str">
            <v>KIOO</v>
          </cell>
          <cell r="E39" t="str">
            <v>2026-01-04 04:22:31</v>
          </cell>
          <cell r="F39" t="str">
            <v>MBAGALA YARD</v>
          </cell>
          <cell r="G39" t="str">
            <v>1:02:37</v>
          </cell>
          <cell r="H39">
            <v>26.026955000000001</v>
          </cell>
        </row>
        <row r="40">
          <cell r="B40" t="str">
            <v>T233EBX</v>
          </cell>
          <cell r="C40" t="str">
            <v>2026-01-04 00:39:40</v>
          </cell>
          <cell r="D40" t="str">
            <v>KIOO</v>
          </cell>
          <cell r="E40" t="str">
            <v>2026-01-04 00:44:03</v>
          </cell>
          <cell r="F40" t="str">
            <v>KIOO</v>
          </cell>
          <cell r="G40" t="str">
            <v>0:04:23</v>
          </cell>
          <cell r="H40">
            <v>0.106353</v>
          </cell>
        </row>
        <row r="41">
          <cell r="B41" t="str">
            <v>T233EBX</v>
          </cell>
          <cell r="C41" t="str">
            <v>2026-01-04 00:51:10</v>
          </cell>
          <cell r="D41" t="str">
            <v>KIOO</v>
          </cell>
          <cell r="E41" t="str">
            <v>2026-01-04 01:07:08</v>
          </cell>
          <cell r="F41" t="str">
            <v>DAR ES SALAAM</v>
          </cell>
          <cell r="G41" t="str">
            <v>0:15:58</v>
          </cell>
          <cell r="H41">
            <v>6.0515100000000004</v>
          </cell>
        </row>
        <row r="42">
          <cell r="B42" t="str">
            <v>T233EBX</v>
          </cell>
          <cell r="C42" t="str">
            <v>2026-01-04 01:14:57</v>
          </cell>
          <cell r="D42" t="str">
            <v>DAR ES SALAAM</v>
          </cell>
          <cell r="E42" t="str">
            <v>2026-01-04 01:24:55</v>
          </cell>
          <cell r="F42" t="str">
            <v>DAR ES SALAAM</v>
          </cell>
          <cell r="G42" t="str">
            <v>0:09:58</v>
          </cell>
          <cell r="H42">
            <v>2.6534409999999999</v>
          </cell>
        </row>
        <row r="43">
          <cell r="B43" t="str">
            <v>T233EBX</v>
          </cell>
          <cell r="C43" t="str">
            <v>2026-01-04 03:50:13</v>
          </cell>
          <cell r="D43" t="str">
            <v>DAR ES SALAAM</v>
          </cell>
          <cell r="E43" t="str">
            <v>2026-01-04 04:22:31</v>
          </cell>
          <cell r="F43" t="str">
            <v>MBAGALA YARD</v>
          </cell>
          <cell r="G43" t="str">
            <v>0:32:18</v>
          </cell>
          <cell r="H43">
            <v>17.215651999999999</v>
          </cell>
        </row>
        <row r="44">
          <cell r="B44" t="str">
            <v>T235EBX</v>
          </cell>
          <cell r="C44" t="str">
            <v>2026-01-04 00:24:50</v>
          </cell>
          <cell r="D44" t="str">
            <v>DAR ES SALAAM</v>
          </cell>
          <cell r="E44" t="str">
            <v>2026-01-04 01:27:12</v>
          </cell>
          <cell r="F44" t="str">
            <v>MBAGALA YARD</v>
          </cell>
          <cell r="G44" t="str">
            <v>1:02:22</v>
          </cell>
          <cell r="H44">
            <v>18.683730000000001</v>
          </cell>
        </row>
        <row r="45">
          <cell r="B45" t="str">
            <v>T235EBX</v>
          </cell>
          <cell r="C45" t="str">
            <v>2026-01-04 00:24:50</v>
          </cell>
          <cell r="D45" t="str">
            <v>DAR ES SALAAM</v>
          </cell>
          <cell r="E45" t="str">
            <v>2026-01-04 01:27:12</v>
          </cell>
          <cell r="F45" t="str">
            <v>MBAGALA YARD</v>
          </cell>
          <cell r="G45" t="str">
            <v>1:02:22</v>
          </cell>
          <cell r="H45">
            <v>18.683730000000001</v>
          </cell>
        </row>
        <row r="46">
          <cell r="B46" t="str">
            <v>T241EBX</v>
          </cell>
          <cell r="C46" t="str">
            <v>2026-01-04 19:13:24</v>
          </cell>
          <cell r="D46" t="str">
            <v>GENERAL PARKING - LUBUMBASHI</v>
          </cell>
          <cell r="E46" t="str">
            <v>2026-01-04 20:58:48</v>
          </cell>
          <cell r="F46" t="str">
            <v>LUBUMBASHI</v>
          </cell>
          <cell r="G46" t="str">
            <v>1:45:24</v>
          </cell>
          <cell r="H46">
            <v>43.85333</v>
          </cell>
        </row>
        <row r="47">
          <cell r="B47" t="str">
            <v>T241EBX</v>
          </cell>
          <cell r="C47" t="str">
            <v>2026-01-04 19:13:24</v>
          </cell>
          <cell r="D47" t="str">
            <v>GENERAL PARKING - LUBUMBASHI</v>
          </cell>
          <cell r="E47" t="str">
            <v>2026-01-04 20:58:48</v>
          </cell>
          <cell r="F47" t="str">
            <v>LUBUMBASHI</v>
          </cell>
          <cell r="G47" t="str">
            <v>1:45:24</v>
          </cell>
          <cell r="H47">
            <v>43.85333</v>
          </cell>
        </row>
        <row r="48">
          <cell r="B48" t="str">
            <v>T250EBX</v>
          </cell>
          <cell r="C48" t="str">
            <v>2026-01-04 05:54:56</v>
          </cell>
          <cell r="D48" t="str">
            <v>Iringa Road, Comfort</v>
          </cell>
          <cell r="E48" t="str">
            <v>2026-01-04 08:17:26</v>
          </cell>
          <cell r="F48" t="str">
            <v>IPOGOLO IRINGA</v>
          </cell>
          <cell r="G48" t="str">
            <v>2:22:30</v>
          </cell>
          <cell r="H48">
            <v>65.724644999999995</v>
          </cell>
        </row>
        <row r="49">
          <cell r="B49" t="str">
            <v>T250EBX</v>
          </cell>
          <cell r="C49" t="str">
            <v>2026-01-04 05:54:56</v>
          </cell>
          <cell r="D49" t="str">
            <v>Iringa Road, Comfort</v>
          </cell>
          <cell r="E49" t="str">
            <v>2026-01-04 08:17:26</v>
          </cell>
          <cell r="F49" t="str">
            <v>IPOGOLO IRINGA</v>
          </cell>
          <cell r="G49" t="str">
            <v>2:22:30</v>
          </cell>
          <cell r="H49">
            <v>65.724644999999995</v>
          </cell>
        </row>
        <row r="50">
          <cell r="B50" t="str">
            <v>T259EBY</v>
          </cell>
          <cell r="C50" t="str">
            <v>2026-01-04 18:43:55</v>
          </cell>
          <cell r="D50" t="str">
            <v>TUNDUMA BORDER TZ SIDE</v>
          </cell>
          <cell r="E50" t="str">
            <v>2026-01-04 23:48:51</v>
          </cell>
          <cell r="F50" t="str">
            <v>TUNDUMA BORDER TZ SIDE</v>
          </cell>
          <cell r="G50" t="str">
            <v>0:23:30</v>
          </cell>
          <cell r="H50">
            <v>6.2117180000000003</v>
          </cell>
        </row>
        <row r="51">
          <cell r="B51" t="str">
            <v>T259EBY</v>
          </cell>
          <cell r="C51" t="str">
            <v>2026-01-04 18:43:55</v>
          </cell>
          <cell r="D51" t="str">
            <v>TUNDUMA BORDER TZ SIDE</v>
          </cell>
          <cell r="E51" t="str">
            <v>2026-01-04 19:01:34</v>
          </cell>
          <cell r="F51" t="str">
            <v>TUNDUMA BORDER TZ SIDE</v>
          </cell>
          <cell r="G51" t="str">
            <v>0:17:39</v>
          </cell>
          <cell r="H51">
            <v>5.7543049999999996</v>
          </cell>
        </row>
        <row r="52">
          <cell r="B52" t="str">
            <v>T259EBY</v>
          </cell>
          <cell r="C52" t="str">
            <v>2026-01-04 19:48:54</v>
          </cell>
          <cell r="D52" t="str">
            <v>TUNDUMA BORDER TZ SIDE</v>
          </cell>
          <cell r="E52" t="str">
            <v>2026-01-04 19:51:35</v>
          </cell>
          <cell r="F52" t="str">
            <v>TUNDUMA BORDER TZ SIDE</v>
          </cell>
          <cell r="G52" t="str">
            <v>0:02:41</v>
          </cell>
          <cell r="H52">
            <v>0.13071099999999999</v>
          </cell>
        </row>
        <row r="53">
          <cell r="B53" t="str">
            <v>T259EBY</v>
          </cell>
          <cell r="C53" t="str">
            <v>2026-01-04 23:45:41</v>
          </cell>
          <cell r="D53" t="str">
            <v>TUNDUMA BORDER TZ SIDE</v>
          </cell>
          <cell r="E53" t="str">
            <v>2026-01-04 23:48:51</v>
          </cell>
          <cell r="F53" t="str">
            <v>TUNDUMA BORDER TZ SIDE</v>
          </cell>
          <cell r="G53" t="str">
            <v>0:03:10</v>
          </cell>
          <cell r="H53">
            <v>0.32670100000000002</v>
          </cell>
        </row>
        <row r="54">
          <cell r="B54" t="str">
            <v>T263EBX</v>
          </cell>
          <cell r="C54" t="str">
            <v>2026-01-04 01:04:26</v>
          </cell>
          <cell r="D54" t="str">
            <v>DAR ES SALAAM</v>
          </cell>
          <cell r="E54" t="str">
            <v>2026-01-04 02:53:30</v>
          </cell>
          <cell r="F54" t="str">
            <v>MBAGALA YARD</v>
          </cell>
          <cell r="G54" t="str">
            <v>0:37:51</v>
          </cell>
          <cell r="H54">
            <v>17.672194999999999</v>
          </cell>
        </row>
        <row r="55">
          <cell r="B55" t="str">
            <v>T263EBX</v>
          </cell>
          <cell r="C55" t="str">
            <v>2026-01-04 01:04:26</v>
          </cell>
          <cell r="D55" t="str">
            <v>DAR ES SALAAM</v>
          </cell>
          <cell r="E55" t="str">
            <v>2026-01-04 01:11:01</v>
          </cell>
          <cell r="F55" t="str">
            <v>DAR ES SALAAM</v>
          </cell>
          <cell r="G55" t="str">
            <v>0:06:35</v>
          </cell>
          <cell r="H55">
            <v>0.30715700000000001</v>
          </cell>
        </row>
        <row r="56">
          <cell r="B56" t="str">
            <v>T263EBX</v>
          </cell>
          <cell r="C56" t="str">
            <v>2026-01-04 02:22:14</v>
          </cell>
          <cell r="D56" t="str">
            <v>DAR ES SALAAM</v>
          </cell>
          <cell r="E56" t="str">
            <v>2026-01-04 02:53:30</v>
          </cell>
          <cell r="F56" t="str">
            <v>MBAGALA YARD</v>
          </cell>
          <cell r="G56" t="str">
            <v>0:31:16</v>
          </cell>
          <cell r="H56">
            <v>17.365037999999998</v>
          </cell>
        </row>
        <row r="57">
          <cell r="B57" t="str">
            <v>T271EBY</v>
          </cell>
          <cell r="C57" t="str">
            <v>2026-01-04 00:54:13</v>
          </cell>
          <cell r="D57" t="str">
            <v>TUNDUMA PARKING</v>
          </cell>
          <cell r="E57" t="str">
            <v>2026-01-04 03:56:03</v>
          </cell>
          <cell r="F57" t="str">
            <v>NAKONDE ZM SIDE</v>
          </cell>
          <cell r="G57" t="str">
            <v>1:57:13</v>
          </cell>
          <cell r="H57">
            <v>19.440263000000002</v>
          </cell>
        </row>
        <row r="58">
          <cell r="B58" t="str">
            <v>T271EBY</v>
          </cell>
          <cell r="C58" t="str">
            <v>2026-01-04 00:54:13</v>
          </cell>
          <cell r="D58" t="str">
            <v>TUNDUMA PARKING</v>
          </cell>
          <cell r="E58" t="str">
            <v>2026-01-04 01:09:13</v>
          </cell>
          <cell r="F58" t="str">
            <v>TUNDUMA BORDER TZ SIDE</v>
          </cell>
          <cell r="G58" t="str">
            <v>0:15:00</v>
          </cell>
          <cell r="H58">
            <v>6.1824469999999998</v>
          </cell>
        </row>
        <row r="59">
          <cell r="B59" t="str">
            <v>T271EBY</v>
          </cell>
          <cell r="C59" t="str">
            <v>2026-01-04 01:20:06</v>
          </cell>
          <cell r="D59" t="str">
            <v>TUNDUMA BORDER TZ SIDE</v>
          </cell>
          <cell r="E59" t="str">
            <v>2026-01-04 01:36:39</v>
          </cell>
          <cell r="F59" t="str">
            <v>TUNDUMA BORDER TZ SIDE</v>
          </cell>
          <cell r="G59" t="str">
            <v>0:16:33</v>
          </cell>
          <cell r="H59">
            <v>0.50031400000000004</v>
          </cell>
        </row>
        <row r="60">
          <cell r="B60" t="str">
            <v>T271EBY</v>
          </cell>
          <cell r="C60" t="str">
            <v>2026-01-04 01:44:51</v>
          </cell>
          <cell r="D60" t="str">
            <v>TUNDUMA BORDER TZ SIDE</v>
          </cell>
          <cell r="E60" t="str">
            <v>2026-01-04 01:53:04</v>
          </cell>
          <cell r="F60" t="str">
            <v>TUNDUMA BORDER TZ SIDE</v>
          </cell>
          <cell r="G60" t="str">
            <v>0:08:13</v>
          </cell>
          <cell r="H60">
            <v>0.276144</v>
          </cell>
        </row>
        <row r="61">
          <cell r="B61" t="str">
            <v>T271EBY</v>
          </cell>
          <cell r="C61" t="str">
            <v>2026-01-04 02:03:05</v>
          </cell>
          <cell r="D61" t="str">
            <v>TUNDUMA BORDER TZ SIDE</v>
          </cell>
          <cell r="E61" t="str">
            <v>2026-01-04 02:25:45</v>
          </cell>
          <cell r="F61" t="str">
            <v>TUNDUMA BORDER TZ SIDE</v>
          </cell>
          <cell r="G61" t="str">
            <v>0:22:40</v>
          </cell>
          <cell r="H61">
            <v>4.7563519999999997</v>
          </cell>
        </row>
        <row r="62">
          <cell r="B62" t="str">
            <v>T271EBY</v>
          </cell>
          <cell r="C62" t="str">
            <v>2026-01-04 02:38:26</v>
          </cell>
          <cell r="D62" t="str">
            <v>TUNDUMA BORDER TZ SIDE</v>
          </cell>
          <cell r="E62" t="str">
            <v>2026-01-04 03:19:18</v>
          </cell>
          <cell r="F62" t="str">
            <v>TUNDUMA BORDER TZ SIDE</v>
          </cell>
          <cell r="G62" t="str">
            <v>0:40:52</v>
          </cell>
          <cell r="H62">
            <v>1.0206120000000001</v>
          </cell>
        </row>
        <row r="63">
          <cell r="B63" t="str">
            <v>T271EBY</v>
          </cell>
          <cell r="C63" t="str">
            <v>2026-01-04 03:24:58</v>
          </cell>
          <cell r="D63" t="str">
            <v>TUNDUMA BORDER TZ SIDE</v>
          </cell>
          <cell r="E63" t="str">
            <v>2026-01-04 03:27:03</v>
          </cell>
          <cell r="F63" t="str">
            <v>TUNDUMA BORDER TZ SIDE</v>
          </cell>
          <cell r="G63" t="str">
            <v>0:02:05</v>
          </cell>
          <cell r="H63">
            <v>0.12653300000000001</v>
          </cell>
        </row>
        <row r="64">
          <cell r="B64" t="str">
            <v>T271EBY</v>
          </cell>
          <cell r="C64" t="str">
            <v>2026-01-04 03:44:13</v>
          </cell>
          <cell r="D64" t="str">
            <v>T1, Nakonde</v>
          </cell>
          <cell r="E64" t="str">
            <v>2026-01-04 03:56:03</v>
          </cell>
          <cell r="F64" t="str">
            <v>NAKONDE ZM SIDE</v>
          </cell>
          <cell r="G64" t="str">
            <v>0:11:50</v>
          </cell>
          <cell r="H64">
            <v>6.5778619999999997</v>
          </cell>
        </row>
        <row r="65">
          <cell r="B65" t="str">
            <v>T319EBY</v>
          </cell>
          <cell r="C65" t="str">
            <v>2026-01-04 01:00:08</v>
          </cell>
          <cell r="D65" t="str">
            <v>TUNDUMA PARKING</v>
          </cell>
          <cell r="E65" t="str">
            <v>2026-01-04 04:31:06</v>
          </cell>
          <cell r="F65" t="str">
            <v>NAKONDE ZM SIDE</v>
          </cell>
          <cell r="G65" t="str">
            <v>1:58:50</v>
          </cell>
          <cell r="H65">
            <v>19.233841999999999</v>
          </cell>
        </row>
        <row r="66">
          <cell r="B66" t="str">
            <v>T319EBY</v>
          </cell>
          <cell r="C66" t="str">
            <v>2026-01-04 01:00:08</v>
          </cell>
          <cell r="D66" t="str">
            <v>TUNDUMA PARKING</v>
          </cell>
          <cell r="E66" t="str">
            <v>2026-01-04 01:16:45</v>
          </cell>
          <cell r="F66" t="str">
            <v>TUNDUMA BORDER TZ SIDE</v>
          </cell>
          <cell r="G66" t="str">
            <v>0:16:37</v>
          </cell>
          <cell r="H66">
            <v>5.6171879999999996</v>
          </cell>
        </row>
        <row r="67">
          <cell r="B67" t="str">
            <v>T319EBY</v>
          </cell>
          <cell r="C67" t="str">
            <v>2026-01-04 01:28:28</v>
          </cell>
          <cell r="D67" t="str">
            <v>TUNDUMA BORDER TZ SIDE</v>
          </cell>
          <cell r="E67" t="str">
            <v>2026-01-04 01:41:40</v>
          </cell>
          <cell r="F67" t="str">
            <v>TUNDUMA BORDER TZ SIDE</v>
          </cell>
          <cell r="G67" t="str">
            <v>0:13:12</v>
          </cell>
          <cell r="H67">
            <v>0.59005700000000005</v>
          </cell>
        </row>
        <row r="68">
          <cell r="B68" t="str">
            <v>T319EBY</v>
          </cell>
          <cell r="C68" t="str">
            <v>2026-01-04 01:51:39</v>
          </cell>
          <cell r="D68" t="str">
            <v>TUNDUMA BORDER TZ SIDE</v>
          </cell>
          <cell r="E68" t="str">
            <v>2026-01-04 01:58:47</v>
          </cell>
          <cell r="F68" t="str">
            <v>TUNDUMA BORDER TZ SIDE</v>
          </cell>
          <cell r="G68" t="str">
            <v>0:07:08</v>
          </cell>
          <cell r="H68">
            <v>0.23020699999999999</v>
          </cell>
        </row>
        <row r="69">
          <cell r="B69" t="str">
            <v>T319EBY</v>
          </cell>
          <cell r="C69" t="str">
            <v>2026-01-04 02:06:36</v>
          </cell>
          <cell r="D69" t="str">
            <v>TUNDUMA BORDER TZ SIDE</v>
          </cell>
          <cell r="E69" t="str">
            <v>2026-01-04 02:32:54</v>
          </cell>
          <cell r="F69" t="str">
            <v>TUNDUMA BORDER TZ SIDE</v>
          </cell>
          <cell r="G69" t="str">
            <v>0:26:18</v>
          </cell>
          <cell r="H69">
            <v>4.8935500000000003</v>
          </cell>
        </row>
        <row r="70">
          <cell r="B70" t="str">
            <v>T319EBY</v>
          </cell>
          <cell r="C70" t="str">
            <v>2026-01-04 02:57:16</v>
          </cell>
          <cell r="D70" t="str">
            <v>TUNDUMA BORDER TZ SIDE</v>
          </cell>
          <cell r="E70" t="str">
            <v>2026-01-04 03:02:41</v>
          </cell>
          <cell r="F70" t="str">
            <v>TUNDUMA BORDER TZ SIDE</v>
          </cell>
          <cell r="G70" t="str">
            <v>0:05:25</v>
          </cell>
          <cell r="H70">
            <v>0.17119500000000001</v>
          </cell>
        </row>
        <row r="71">
          <cell r="B71" t="str">
            <v>T319EBY</v>
          </cell>
          <cell r="C71" t="str">
            <v>2026-01-04 03:09:46</v>
          </cell>
          <cell r="D71" t="str">
            <v>TUNDUMA BORDER TZ SIDE</v>
          </cell>
          <cell r="E71" t="str">
            <v>2026-01-04 03:11:33</v>
          </cell>
          <cell r="F71" t="str">
            <v>TUNDUMA BORDER TZ SIDE</v>
          </cell>
          <cell r="G71" t="str">
            <v>0:01:47</v>
          </cell>
          <cell r="H71">
            <v>0.111646</v>
          </cell>
        </row>
        <row r="72">
          <cell r="B72" t="str">
            <v>T319EBY</v>
          </cell>
          <cell r="C72" t="str">
            <v>2026-01-04 03:20:03</v>
          </cell>
          <cell r="D72" t="str">
            <v>TUNDUMA BORDER TZ SIDE</v>
          </cell>
          <cell r="E72" t="str">
            <v>2026-01-04 03:34:24</v>
          </cell>
          <cell r="F72" t="str">
            <v>TUNDUMA BORDER TZ SIDE</v>
          </cell>
          <cell r="G72" t="str">
            <v>0:14:21</v>
          </cell>
          <cell r="H72">
            <v>0.30385800000000002</v>
          </cell>
        </row>
        <row r="73">
          <cell r="B73" t="str">
            <v>T319EBY</v>
          </cell>
          <cell r="C73" t="str">
            <v>2026-01-04 03:41:04</v>
          </cell>
          <cell r="D73" t="str">
            <v>TUNDUMA BORDER TZ SIDE</v>
          </cell>
          <cell r="E73" t="str">
            <v>2026-01-04 03:46:50</v>
          </cell>
          <cell r="F73" t="str">
            <v>TUNDUMA BORDER TZ SIDE</v>
          </cell>
          <cell r="G73" t="str">
            <v>0:05:46</v>
          </cell>
          <cell r="H73">
            <v>0.196684</v>
          </cell>
        </row>
        <row r="74">
          <cell r="B74" t="str">
            <v>T319EBY</v>
          </cell>
          <cell r="C74" t="str">
            <v>2026-01-04 03:53:26</v>
          </cell>
          <cell r="D74" t="str">
            <v>TUNDUMA BORDER TZ SIDE</v>
          </cell>
          <cell r="E74" t="str">
            <v>2026-01-04 04:03:47</v>
          </cell>
          <cell r="F74" t="str">
            <v>T1, Nakonde</v>
          </cell>
          <cell r="G74" t="str">
            <v>0:10:21</v>
          </cell>
          <cell r="H74">
            <v>0.48095700000000002</v>
          </cell>
        </row>
        <row r="75">
          <cell r="B75" t="str">
            <v>T319EBY</v>
          </cell>
          <cell r="C75" t="str">
            <v>2026-01-04 04:13:11</v>
          </cell>
          <cell r="D75" t="str">
            <v>Great North Road, Nakonde</v>
          </cell>
          <cell r="E75" t="str">
            <v>2026-01-04 04:31:06</v>
          </cell>
          <cell r="F75" t="str">
            <v>NAKONDE ZM SIDE</v>
          </cell>
          <cell r="G75" t="str">
            <v>0:17:55</v>
          </cell>
          <cell r="H75">
            <v>6.6384990000000004</v>
          </cell>
        </row>
        <row r="76">
          <cell r="B76" t="str">
            <v>T326ECN</v>
          </cell>
          <cell r="C76" t="str">
            <v>2026-01-04 00:05:44</v>
          </cell>
          <cell r="D76" t="str">
            <v>T3, 3.59 km from Momba</v>
          </cell>
          <cell r="E76" t="str">
            <v>2026-01-04 00:36:16</v>
          </cell>
          <cell r="F76" t="str">
            <v>KASUMBALESA ZAMBIA SIDE</v>
          </cell>
          <cell r="G76" t="str">
            <v>0:30:32</v>
          </cell>
          <cell r="H76">
            <v>7.2669800000000002</v>
          </cell>
        </row>
        <row r="77">
          <cell r="B77" t="str">
            <v>T326ECN</v>
          </cell>
          <cell r="C77" t="str">
            <v>2026-01-04 00:05:44</v>
          </cell>
          <cell r="D77" t="str">
            <v>T3, 3.59 km from Momba</v>
          </cell>
          <cell r="E77" t="str">
            <v>2026-01-04 00:36:16</v>
          </cell>
          <cell r="F77" t="str">
            <v>KASUMBALESA ZAMBIA SIDE</v>
          </cell>
          <cell r="G77" t="str">
            <v>0:30:32</v>
          </cell>
          <cell r="H77">
            <v>7.2669800000000002</v>
          </cell>
        </row>
        <row r="78">
          <cell r="B78" t="str">
            <v>T331DHG</v>
          </cell>
          <cell r="C78" t="str">
            <v>2026-01-04 00:02:28</v>
          </cell>
          <cell r="D78" t="str">
            <v>DAR ES SALAAM</v>
          </cell>
          <cell r="E78" t="str">
            <v>2026-01-04 01:28:59</v>
          </cell>
          <cell r="F78" t="str">
            <v>MBAGALA YARD</v>
          </cell>
          <cell r="G78" t="str">
            <v>0:53:33</v>
          </cell>
          <cell r="H78">
            <v>16.348393000000002</v>
          </cell>
        </row>
        <row r="79">
          <cell r="B79" t="str">
            <v>T331DHG</v>
          </cell>
          <cell r="C79" t="str">
            <v>2026-01-04 00:02:28</v>
          </cell>
          <cell r="D79" t="str">
            <v>DAR ES SALAAM</v>
          </cell>
          <cell r="E79" t="str">
            <v>2026-01-04 00:21:52</v>
          </cell>
          <cell r="F79" t="str">
            <v>GALCO ICD MBOZI</v>
          </cell>
          <cell r="G79" t="str">
            <v>0:19:24</v>
          </cell>
          <cell r="H79">
            <v>5.7574069999999997</v>
          </cell>
        </row>
        <row r="80">
          <cell r="B80" t="str">
            <v>T331DHG</v>
          </cell>
          <cell r="C80" t="str">
            <v>2026-01-04 00:54:50</v>
          </cell>
          <cell r="D80" t="str">
            <v>KIOO</v>
          </cell>
          <cell r="E80" t="str">
            <v>2026-01-04 01:28:59</v>
          </cell>
          <cell r="F80" t="str">
            <v>MBAGALA YARD</v>
          </cell>
          <cell r="G80" t="str">
            <v>0:34:09</v>
          </cell>
          <cell r="H80">
            <v>10.590985999999999</v>
          </cell>
        </row>
        <row r="81">
          <cell r="B81" t="str">
            <v>T331EBX</v>
          </cell>
          <cell r="C81" t="str">
            <v>2026-01-04 18:55:35</v>
          </cell>
          <cell r="D81" t="str">
            <v>TUNDUMA BORDER TZ SIDE</v>
          </cell>
          <cell r="E81" t="str">
            <v>2026-01-04 21:13:35</v>
          </cell>
          <cell r="F81" t="str">
            <v>NAKONDE ZM SIDE</v>
          </cell>
          <cell r="G81" t="str">
            <v>0:35:40</v>
          </cell>
          <cell r="H81">
            <v>6.999142</v>
          </cell>
        </row>
        <row r="82">
          <cell r="B82" t="str">
            <v>T331EBX</v>
          </cell>
          <cell r="C82" t="str">
            <v>2026-01-04 18:55:35</v>
          </cell>
          <cell r="D82" t="str">
            <v>TUNDUMA BORDER TZ SIDE</v>
          </cell>
          <cell r="E82" t="str">
            <v>2026-01-04 18:57:53</v>
          </cell>
          <cell r="F82" t="str">
            <v>TUNDUMA BORDER TZ SIDE</v>
          </cell>
          <cell r="G82" t="str">
            <v>0:02:18</v>
          </cell>
          <cell r="H82">
            <v>0.110874</v>
          </cell>
        </row>
        <row r="83">
          <cell r="B83" t="str">
            <v>T331EBX</v>
          </cell>
          <cell r="C83" t="str">
            <v>2026-01-04 20:07:53</v>
          </cell>
          <cell r="D83" t="str">
            <v>TUNDUMA BORDER TZ SIDE</v>
          </cell>
          <cell r="E83" t="str">
            <v>2026-01-04 20:19:53</v>
          </cell>
          <cell r="F83" t="str">
            <v>TUNDUMA BORDER TZ SIDE</v>
          </cell>
          <cell r="G83" t="str">
            <v>0:12:00</v>
          </cell>
          <cell r="H83">
            <v>0.26083200000000001</v>
          </cell>
        </row>
        <row r="84">
          <cell r="B84" t="str">
            <v>T331EBX</v>
          </cell>
          <cell r="C84" t="str">
            <v>2026-01-04 20:52:13</v>
          </cell>
          <cell r="D84" t="str">
            <v>T1, Nakonde</v>
          </cell>
          <cell r="E84" t="str">
            <v>2026-01-04 21:13:35</v>
          </cell>
          <cell r="F84" t="str">
            <v>NAKONDE ZM SIDE</v>
          </cell>
          <cell r="G84" t="str">
            <v>0:21:22</v>
          </cell>
          <cell r="H84">
            <v>6.6274350000000002</v>
          </cell>
        </row>
        <row r="85">
          <cell r="B85" t="str">
            <v>T336DHG</v>
          </cell>
          <cell r="C85" t="str">
            <v>2026-01-04 02:28:35</v>
          </cell>
          <cell r="D85" t="str">
            <v>GALCO ICD MBOZI</v>
          </cell>
          <cell r="E85" t="str">
            <v>2026-01-04 21:35:43</v>
          </cell>
          <cell r="F85" t="str">
            <v>GL KURASINI YARD</v>
          </cell>
          <cell r="G85" t="str">
            <v>2:43:40</v>
          </cell>
          <cell r="H85">
            <v>34.558776000000002</v>
          </cell>
        </row>
        <row r="86">
          <cell r="B86" t="str">
            <v>T336DHG</v>
          </cell>
          <cell r="C86" t="str">
            <v>2026-01-04 02:28:35</v>
          </cell>
          <cell r="D86" t="str">
            <v>GALCO ICD MBOZI</v>
          </cell>
          <cell r="E86" t="str">
            <v>2026-01-04 02:49:20</v>
          </cell>
          <cell r="F86" t="str">
            <v>DAR ES SALAAM</v>
          </cell>
          <cell r="G86" t="str">
            <v>0:20:45</v>
          </cell>
          <cell r="H86">
            <v>5.3692019999999996</v>
          </cell>
        </row>
        <row r="87">
          <cell r="B87" t="str">
            <v>T336DHG</v>
          </cell>
          <cell r="C87" t="str">
            <v>2026-01-04 03:12:51</v>
          </cell>
          <cell r="D87" t="str">
            <v>DAR ES SALAAM</v>
          </cell>
          <cell r="E87" t="str">
            <v>2026-01-04 03:57:16</v>
          </cell>
          <cell r="F87" t="str">
            <v>MWENGE YARD</v>
          </cell>
          <cell r="G87" t="str">
            <v>0:44:25</v>
          </cell>
          <cell r="H87">
            <v>9.6483869999999996</v>
          </cell>
        </row>
        <row r="88">
          <cell r="B88" t="str">
            <v>T336DHG</v>
          </cell>
          <cell r="C88" t="str">
            <v>2026-01-04 18:51:21</v>
          </cell>
          <cell r="D88" t="str">
            <v>DAR ES SALAAM</v>
          </cell>
          <cell r="E88" t="str">
            <v>2026-01-04 19:15:07</v>
          </cell>
          <cell r="F88" t="str">
            <v>DAR ES SALAAM</v>
          </cell>
          <cell r="G88" t="str">
            <v>0:23:46</v>
          </cell>
          <cell r="H88">
            <v>0.235317</v>
          </cell>
        </row>
        <row r="89">
          <cell r="B89" t="str">
            <v>T336DHG</v>
          </cell>
          <cell r="C89" t="str">
            <v>2026-01-04 20:10:49</v>
          </cell>
          <cell r="D89" t="str">
            <v>DAR ES SALAAM</v>
          </cell>
          <cell r="E89" t="str">
            <v>2026-01-04 21:04:40</v>
          </cell>
          <cell r="F89" t="str">
            <v>DAR ES SALAAM</v>
          </cell>
          <cell r="G89" t="str">
            <v>0:53:51</v>
          </cell>
          <cell r="H89">
            <v>17.818276999999998</v>
          </cell>
        </row>
        <row r="90">
          <cell r="B90" t="str">
            <v>T336DHG</v>
          </cell>
          <cell r="C90" t="str">
            <v>2026-01-04 21:09:48</v>
          </cell>
          <cell r="D90" t="str">
            <v>DAR ES SALAAM</v>
          </cell>
          <cell r="E90" t="str">
            <v>2026-01-04 21:19:43</v>
          </cell>
          <cell r="F90" t="str">
            <v>GL KURASINI YARD</v>
          </cell>
          <cell r="G90" t="str">
            <v>0:09:55</v>
          </cell>
          <cell r="H90">
            <v>1.361974</v>
          </cell>
        </row>
        <row r="91">
          <cell r="B91" t="str">
            <v>T336DHG</v>
          </cell>
          <cell r="C91" t="str">
            <v>2026-01-04 21:24:45</v>
          </cell>
          <cell r="D91" t="str">
            <v>GL KURASINI YARD</v>
          </cell>
          <cell r="E91" t="str">
            <v>2026-01-04 21:35:43</v>
          </cell>
          <cell r="F91" t="str">
            <v>GL KURASINI YARD</v>
          </cell>
          <cell r="G91" t="str">
            <v>0:10:58</v>
          </cell>
          <cell r="H91">
            <v>0.12561900000000001</v>
          </cell>
        </row>
        <row r="92">
          <cell r="B92" t="str">
            <v>T336ECN</v>
          </cell>
          <cell r="C92" t="str">
            <v>2026-01-04 00:56:23</v>
          </cell>
          <cell r="D92" t="str">
            <v>TUNDUMA PARKING</v>
          </cell>
          <cell r="E92" t="str">
            <v>2026-01-04 04:10:33</v>
          </cell>
          <cell r="F92" t="str">
            <v>NAKONDE ZM SIDE</v>
          </cell>
          <cell r="G92" t="str">
            <v>1:38:08</v>
          </cell>
          <cell r="H92">
            <v>19.096502000000001</v>
          </cell>
        </row>
        <row r="93">
          <cell r="B93" t="str">
            <v>T336ECN</v>
          </cell>
          <cell r="C93" t="str">
            <v>2026-01-04 00:56:23</v>
          </cell>
          <cell r="D93" t="str">
            <v>TUNDUMA PARKING</v>
          </cell>
          <cell r="E93" t="str">
            <v>2026-01-04 01:10:09</v>
          </cell>
          <cell r="F93" t="str">
            <v>TUNDUMA BORDER TZ SIDE</v>
          </cell>
          <cell r="G93" t="str">
            <v>0:13:46</v>
          </cell>
          <cell r="H93">
            <v>5.8135070000000004</v>
          </cell>
        </row>
        <row r="94">
          <cell r="B94" t="str">
            <v>T336ECN</v>
          </cell>
          <cell r="C94" t="str">
            <v>2026-01-04 01:27:07</v>
          </cell>
          <cell r="D94" t="str">
            <v>TUNDUMA BORDER TZ SIDE</v>
          </cell>
          <cell r="E94" t="str">
            <v>2026-01-04 01:32:06</v>
          </cell>
          <cell r="F94" t="str">
            <v>TUNDUMA BORDER TZ SIDE</v>
          </cell>
          <cell r="G94" t="str">
            <v>0:04:59</v>
          </cell>
          <cell r="H94">
            <v>0.21596799999999999</v>
          </cell>
        </row>
        <row r="95">
          <cell r="B95" t="str">
            <v>T336ECN</v>
          </cell>
          <cell r="C95" t="str">
            <v>2026-01-04 01:37:13</v>
          </cell>
          <cell r="D95" t="str">
            <v>TUNDUMA BORDER TZ SIDE</v>
          </cell>
          <cell r="E95" t="str">
            <v>2026-01-04 01:41:28</v>
          </cell>
          <cell r="F95" t="str">
            <v>TUNDUMA BORDER TZ SIDE</v>
          </cell>
          <cell r="G95" t="str">
            <v>0:04:15</v>
          </cell>
          <cell r="H95">
            <v>0.350551</v>
          </cell>
        </row>
        <row r="96">
          <cell r="B96" t="str">
            <v>T336ECN</v>
          </cell>
          <cell r="C96" t="str">
            <v>2026-01-04 02:02:42</v>
          </cell>
          <cell r="D96" t="str">
            <v>TUNDUMA BORDER TZ SIDE</v>
          </cell>
          <cell r="E96" t="str">
            <v>2026-01-04 02:27:45</v>
          </cell>
          <cell r="F96" t="str">
            <v>TUNDUMA BORDER TZ SIDE</v>
          </cell>
          <cell r="G96" t="str">
            <v>0:25:03</v>
          </cell>
          <cell r="H96">
            <v>4.9979019999999998</v>
          </cell>
        </row>
        <row r="97">
          <cell r="B97" t="str">
            <v>T336ECN</v>
          </cell>
          <cell r="C97" t="str">
            <v>2026-01-04 02:40:16</v>
          </cell>
          <cell r="D97" t="str">
            <v>TUNDUMA BORDER TZ SIDE</v>
          </cell>
          <cell r="E97" t="str">
            <v>2026-01-04 03:01:13</v>
          </cell>
          <cell r="F97" t="str">
            <v>TUNDUMA BORDER TZ SIDE</v>
          </cell>
          <cell r="G97" t="str">
            <v>0:20:57</v>
          </cell>
          <cell r="H97">
            <v>0.56474999999999997</v>
          </cell>
        </row>
        <row r="98">
          <cell r="B98" t="str">
            <v>T336ECN</v>
          </cell>
          <cell r="C98" t="str">
            <v>2026-01-04 03:08:28</v>
          </cell>
          <cell r="D98" t="str">
            <v>TUNDUMA BORDER TZ SIDE</v>
          </cell>
          <cell r="E98" t="str">
            <v>2026-01-04 03:20:22</v>
          </cell>
          <cell r="F98" t="str">
            <v>TUNDUMA BORDER TZ SIDE</v>
          </cell>
          <cell r="G98" t="str">
            <v>0:11:54</v>
          </cell>
          <cell r="H98">
            <v>0.44875799999999999</v>
          </cell>
        </row>
        <row r="99">
          <cell r="B99" t="str">
            <v>T336ECN</v>
          </cell>
          <cell r="C99" t="str">
            <v>2026-01-04 03:39:38</v>
          </cell>
          <cell r="D99" t="str">
            <v>TUNDUMA BORDER TZ SIDE</v>
          </cell>
          <cell r="E99" t="str">
            <v>2026-01-04 03:41:34</v>
          </cell>
          <cell r="F99" t="str">
            <v>TUNDUMA BORDER TZ SIDE</v>
          </cell>
          <cell r="G99" t="str">
            <v>0:01:56</v>
          </cell>
          <cell r="H99">
            <v>0.162297</v>
          </cell>
        </row>
        <row r="100">
          <cell r="B100" t="str">
            <v>T336ECN</v>
          </cell>
          <cell r="C100" t="str">
            <v>2026-01-04 03:55:15</v>
          </cell>
          <cell r="D100" t="str">
            <v>Great North Road, Nakonde</v>
          </cell>
          <cell r="E100" t="str">
            <v>2026-01-04 04:10:33</v>
          </cell>
          <cell r="F100" t="str">
            <v>NAKONDE ZM SIDE</v>
          </cell>
          <cell r="G100" t="str">
            <v>0:15:18</v>
          </cell>
          <cell r="H100">
            <v>6.5427689999999998</v>
          </cell>
        </row>
        <row r="101">
          <cell r="B101" t="str">
            <v>T337EBX</v>
          </cell>
          <cell r="C101" t="str">
            <v>2026-01-04 04:32:11</v>
          </cell>
          <cell r="D101" t="str">
            <v>TUNDUMA PARKING</v>
          </cell>
          <cell r="E101" t="str">
            <v>2026-01-04 05:46:16</v>
          </cell>
          <cell r="F101" t="str">
            <v>NAKONDE ZM SIDE</v>
          </cell>
          <cell r="G101" t="str">
            <v>0:59:26</v>
          </cell>
          <cell r="H101">
            <v>15.608032</v>
          </cell>
        </row>
        <row r="102">
          <cell r="B102" t="str">
            <v>T337EBX</v>
          </cell>
          <cell r="C102" t="str">
            <v>2026-01-04 04:32:11</v>
          </cell>
          <cell r="D102" t="str">
            <v>TUNDUMA PARKING</v>
          </cell>
          <cell r="E102" t="str">
            <v>2026-01-04 04:56:33</v>
          </cell>
          <cell r="F102" t="str">
            <v>TUNDUMA BORDER TZ SIDE</v>
          </cell>
          <cell r="G102" t="str">
            <v>0:24:22</v>
          </cell>
          <cell r="H102">
            <v>8.8954419999999992</v>
          </cell>
        </row>
        <row r="103">
          <cell r="B103" t="str">
            <v>T337EBX</v>
          </cell>
          <cell r="C103" t="str">
            <v>2026-01-04 05:01:33</v>
          </cell>
          <cell r="D103" t="str">
            <v>TUNDUMA BORDER TZ SIDE</v>
          </cell>
          <cell r="E103" t="str">
            <v>2026-01-04 05:19:10</v>
          </cell>
          <cell r="F103" t="str">
            <v>TUNDUMA BORDER TZ SIDE</v>
          </cell>
          <cell r="G103" t="str">
            <v>0:17:37</v>
          </cell>
          <cell r="H103">
            <v>0.29317300000000002</v>
          </cell>
        </row>
        <row r="104">
          <cell r="B104" t="str">
            <v>T337EBX</v>
          </cell>
          <cell r="C104" t="str">
            <v>2026-01-04 05:28:49</v>
          </cell>
          <cell r="D104" t="str">
            <v>T1, Nakonde</v>
          </cell>
          <cell r="E104" t="str">
            <v>2026-01-04 05:46:16</v>
          </cell>
          <cell r="F104" t="str">
            <v>NAKONDE ZM SIDE</v>
          </cell>
          <cell r="G104" t="str">
            <v>0:17:27</v>
          </cell>
          <cell r="H104">
            <v>6.4194180000000003</v>
          </cell>
        </row>
        <row r="105">
          <cell r="B105" t="str">
            <v>T340EBX</v>
          </cell>
          <cell r="C105" t="str">
            <v>2026-01-04 00:13:39</v>
          </cell>
          <cell r="D105" t="str">
            <v>KIOO</v>
          </cell>
          <cell r="E105" t="str">
            <v>2026-01-04 06:18:56</v>
          </cell>
          <cell r="F105" t="str">
            <v>MBAGALA YARD</v>
          </cell>
          <cell r="G105" t="str">
            <v>1:14:49</v>
          </cell>
          <cell r="H105">
            <v>26.11328</v>
          </cell>
        </row>
        <row r="106">
          <cell r="B106" t="str">
            <v>T340EBX</v>
          </cell>
          <cell r="C106" t="str">
            <v>2026-01-04 00:13:39</v>
          </cell>
          <cell r="D106" t="str">
            <v>KIOO</v>
          </cell>
          <cell r="E106" t="str">
            <v>2026-01-04 00:15:59</v>
          </cell>
          <cell r="F106" t="str">
            <v>GALCO ICD MBOZI</v>
          </cell>
          <cell r="G106" t="str">
            <v>0:02:20</v>
          </cell>
          <cell r="H106">
            <v>0.117038</v>
          </cell>
        </row>
        <row r="107">
          <cell r="B107" t="str">
            <v>T340EBX</v>
          </cell>
          <cell r="C107" t="str">
            <v>2026-01-04 00:38:02</v>
          </cell>
          <cell r="D107" t="str">
            <v>GALCO ICD MBOZI</v>
          </cell>
          <cell r="E107" t="str">
            <v>2026-01-04 01:17:56</v>
          </cell>
          <cell r="F107" t="str">
            <v>DAR ES SALAAM</v>
          </cell>
          <cell r="G107" t="str">
            <v>0:39:54</v>
          </cell>
          <cell r="H107">
            <v>8.8809349999999991</v>
          </cell>
        </row>
        <row r="108">
          <cell r="B108" t="str">
            <v>T340EBX</v>
          </cell>
          <cell r="C108" t="str">
            <v>2026-01-04 05:46:21</v>
          </cell>
          <cell r="D108" t="str">
            <v>DAR ES SALAAM</v>
          </cell>
          <cell r="E108" t="str">
            <v>2026-01-04 06:18:56</v>
          </cell>
          <cell r="F108" t="str">
            <v>MBAGALA YARD</v>
          </cell>
          <cell r="G108" t="str">
            <v>0:32:35</v>
          </cell>
          <cell r="H108">
            <v>17.115307000000001</v>
          </cell>
        </row>
        <row r="109">
          <cell r="B109" t="str">
            <v>T341DHG</v>
          </cell>
          <cell r="C109" t="str">
            <v>2026-01-04 20:36:58</v>
          </cell>
          <cell r="D109" t="str">
            <v>TENKE FUNGURUME MINE DRC</v>
          </cell>
          <cell r="E109" t="str">
            <v>2026-01-04 20:53:08</v>
          </cell>
          <cell r="F109" t="str">
            <v>TENKE FUNGURUME MINE DRC</v>
          </cell>
          <cell r="G109" t="str">
            <v>0:16:10</v>
          </cell>
          <cell r="H109">
            <v>0.824403</v>
          </cell>
        </row>
        <row r="110">
          <cell r="B110" t="str">
            <v>T341DHG</v>
          </cell>
          <cell r="C110" t="str">
            <v>2026-01-04 20:36:58</v>
          </cell>
          <cell r="D110" t="str">
            <v>TENKE FUNGURUME MINE DRC</v>
          </cell>
          <cell r="E110" t="str">
            <v>2026-01-04 20:53:08</v>
          </cell>
          <cell r="F110" t="str">
            <v>TENKE FUNGURUME MINE DRC</v>
          </cell>
          <cell r="G110" t="str">
            <v>0:16:10</v>
          </cell>
          <cell r="H110">
            <v>0.824403</v>
          </cell>
        </row>
        <row r="111">
          <cell r="B111" t="str">
            <v>T343EBX</v>
          </cell>
          <cell r="C111" t="str">
            <v>2026-01-04 19:02:52</v>
          </cell>
          <cell r="D111" t="str">
            <v>VS CARGO ZM</v>
          </cell>
          <cell r="E111" t="str">
            <v>2026-01-04 19:06:15</v>
          </cell>
          <cell r="F111" t="str">
            <v>VS CARGO ZM</v>
          </cell>
          <cell r="G111" t="str">
            <v>0:03:23</v>
          </cell>
          <cell r="H111">
            <v>0.16594400000000001</v>
          </cell>
        </row>
        <row r="112">
          <cell r="B112" t="str">
            <v>T343EBX</v>
          </cell>
          <cell r="C112" t="str">
            <v>2026-01-04 19:02:52</v>
          </cell>
          <cell r="D112" t="str">
            <v>VS CARGO ZM</v>
          </cell>
          <cell r="E112" t="str">
            <v>2026-01-04 19:06:15</v>
          </cell>
          <cell r="F112" t="str">
            <v>VS CARGO ZM</v>
          </cell>
          <cell r="G112" t="str">
            <v>0:03:23</v>
          </cell>
          <cell r="H112">
            <v>0.16594400000000001</v>
          </cell>
        </row>
        <row r="113">
          <cell r="B113" t="str">
            <v>T346EBX</v>
          </cell>
          <cell r="C113" t="str">
            <v>2026-01-04 18:55:20</v>
          </cell>
          <cell r="D113" t="str">
            <v>TUNDUMA BORDER TZ SIDE</v>
          </cell>
          <cell r="E113" t="str">
            <v>2026-01-04 19:18:42</v>
          </cell>
          <cell r="F113" t="str">
            <v>TUNDUMA BORDER TZ SIDE</v>
          </cell>
          <cell r="G113" t="str">
            <v>0:23:22</v>
          </cell>
          <cell r="H113">
            <v>3.8962159999999999</v>
          </cell>
        </row>
        <row r="114">
          <cell r="B114" t="str">
            <v>T346EBX</v>
          </cell>
          <cell r="C114" t="str">
            <v>2026-01-04 18:55:20</v>
          </cell>
          <cell r="D114" t="str">
            <v>TUNDUMA BORDER TZ SIDE</v>
          </cell>
          <cell r="E114" t="str">
            <v>2026-01-04 19:18:42</v>
          </cell>
          <cell r="F114" t="str">
            <v>TUNDUMA BORDER TZ SIDE</v>
          </cell>
          <cell r="G114" t="str">
            <v>0:23:22</v>
          </cell>
          <cell r="H114">
            <v>3.8962159999999999</v>
          </cell>
        </row>
        <row r="115">
          <cell r="B115" t="str">
            <v>T360DHG</v>
          </cell>
          <cell r="C115" t="str">
            <v>2026-01-04 01:02:11</v>
          </cell>
          <cell r="D115" t="str">
            <v>TUNDUMA PARKING</v>
          </cell>
          <cell r="E115" t="str">
            <v>2026-01-04 05:25:59</v>
          </cell>
          <cell r="F115" t="str">
            <v>NAKONDE ZM SIDE</v>
          </cell>
          <cell r="G115" t="str">
            <v>2:14:14</v>
          </cell>
          <cell r="H115">
            <v>18.727146000000001</v>
          </cell>
        </row>
        <row r="116">
          <cell r="B116" t="str">
            <v>T360DHG</v>
          </cell>
          <cell r="C116" t="str">
            <v>2026-01-04 01:02:11</v>
          </cell>
          <cell r="D116" t="str">
            <v>TUNDUMA PARKING</v>
          </cell>
          <cell r="E116" t="str">
            <v>2026-01-04 01:20:28</v>
          </cell>
          <cell r="F116" t="str">
            <v>TUNDUMA BORDER TZ SIDE</v>
          </cell>
          <cell r="G116" t="str">
            <v>0:18:17</v>
          </cell>
          <cell r="H116">
            <v>5.430339</v>
          </cell>
        </row>
        <row r="117">
          <cell r="B117" t="str">
            <v>T360DHG</v>
          </cell>
          <cell r="C117" t="str">
            <v>2026-01-04 01:39:07</v>
          </cell>
          <cell r="D117" t="str">
            <v>TUNDUMA BORDER TZ SIDE</v>
          </cell>
          <cell r="E117" t="str">
            <v>2026-01-04 01:43:52</v>
          </cell>
          <cell r="F117" t="str">
            <v>TUNDUMA BORDER TZ SIDE</v>
          </cell>
          <cell r="G117" t="str">
            <v>0:04:45</v>
          </cell>
          <cell r="H117">
            <v>0.31228400000000001</v>
          </cell>
        </row>
        <row r="118">
          <cell r="B118" t="str">
            <v>T360DHG</v>
          </cell>
          <cell r="C118" t="str">
            <v>2026-01-04 01:53:21</v>
          </cell>
          <cell r="D118" t="str">
            <v>TUNDUMA BORDER TZ SIDE</v>
          </cell>
          <cell r="E118" t="str">
            <v>2026-01-04 02:01:22</v>
          </cell>
          <cell r="F118" t="str">
            <v>TUNDUMA BORDER TZ SIDE</v>
          </cell>
          <cell r="G118" t="str">
            <v>0:08:01</v>
          </cell>
          <cell r="H118">
            <v>0.242425</v>
          </cell>
        </row>
        <row r="119">
          <cell r="B119" t="str">
            <v>T360DHG</v>
          </cell>
          <cell r="C119" t="str">
            <v>2026-01-04 02:07:23</v>
          </cell>
          <cell r="D119" t="str">
            <v>TUNDUMA BORDER TZ SIDE</v>
          </cell>
          <cell r="E119" t="str">
            <v>2026-01-04 02:53:35</v>
          </cell>
          <cell r="F119" t="str">
            <v>TUNDUMA BORDER TZ SIDE</v>
          </cell>
          <cell r="G119" t="str">
            <v>0:46:12</v>
          </cell>
          <cell r="H119">
            <v>5.002332</v>
          </cell>
        </row>
        <row r="120">
          <cell r="B120" t="str">
            <v>T360DHG</v>
          </cell>
          <cell r="C120" t="str">
            <v>2026-01-04 03:00:40</v>
          </cell>
          <cell r="D120" t="str">
            <v>TUNDUMA BORDER TZ SIDE</v>
          </cell>
          <cell r="E120" t="str">
            <v>2026-01-04 03:02:42</v>
          </cell>
          <cell r="F120" t="str">
            <v>TUNDUMA BORDER TZ SIDE</v>
          </cell>
          <cell r="G120" t="str">
            <v>0:02:02</v>
          </cell>
          <cell r="H120">
            <v>0.12837200000000001</v>
          </cell>
        </row>
        <row r="121">
          <cell r="B121" t="str">
            <v>T360DHG</v>
          </cell>
          <cell r="C121" t="str">
            <v>2026-01-04 03:12:12</v>
          </cell>
          <cell r="D121" t="str">
            <v>TUNDUMA BORDER TZ SIDE</v>
          </cell>
          <cell r="E121" t="str">
            <v>2026-01-04 03:15:10</v>
          </cell>
          <cell r="F121" t="str">
            <v>TUNDUMA BORDER TZ SIDE</v>
          </cell>
          <cell r="G121" t="str">
            <v>0:02:58</v>
          </cell>
          <cell r="H121">
            <v>0.110194</v>
          </cell>
        </row>
        <row r="122">
          <cell r="B122" t="str">
            <v>T360DHG</v>
          </cell>
          <cell r="C122" t="str">
            <v>2026-01-04 03:47:58</v>
          </cell>
          <cell r="D122" t="str">
            <v>TUNDUMA BORDER TZ SIDE</v>
          </cell>
          <cell r="E122" t="str">
            <v>2026-01-04 04:09:37</v>
          </cell>
          <cell r="F122" t="str">
            <v>TUNDUMA BORDER TZ SIDE</v>
          </cell>
          <cell r="G122" t="str">
            <v>0:21:39</v>
          </cell>
          <cell r="H122">
            <v>0.53852500000000003</v>
          </cell>
        </row>
        <row r="123">
          <cell r="B123" t="str">
            <v>T360DHG</v>
          </cell>
          <cell r="C123" t="str">
            <v>2026-01-04 04:14:41</v>
          </cell>
          <cell r="D123" t="str">
            <v>TUNDUMA BORDER TZ SIDE</v>
          </cell>
          <cell r="E123" t="str">
            <v>2026-01-04 04:17:54</v>
          </cell>
          <cell r="F123" t="str">
            <v>TUNDUMA BORDER TZ SIDE</v>
          </cell>
          <cell r="G123" t="str">
            <v>0:03:13</v>
          </cell>
          <cell r="H123">
            <v>0.119218</v>
          </cell>
        </row>
        <row r="124">
          <cell r="B124" t="str">
            <v>T360DHG</v>
          </cell>
          <cell r="C124" t="str">
            <v>2026-01-04 04:31:53</v>
          </cell>
          <cell r="D124" t="str">
            <v>TUNDUMA BORDER TZ SIDE</v>
          </cell>
          <cell r="E124" t="str">
            <v>2026-01-04 04:36:10</v>
          </cell>
          <cell r="F124" t="str">
            <v>TUNDUMA BORDER TZ SIDE</v>
          </cell>
          <cell r="G124" t="str">
            <v>0:04:17</v>
          </cell>
          <cell r="H124">
            <v>0.28678100000000001</v>
          </cell>
        </row>
        <row r="125">
          <cell r="B125" t="str">
            <v>T360DHG</v>
          </cell>
          <cell r="C125" t="str">
            <v>2026-01-04 05:03:09</v>
          </cell>
          <cell r="D125" t="str">
            <v>T1, Nakonde</v>
          </cell>
          <cell r="E125" t="str">
            <v>2026-01-04 05:25:59</v>
          </cell>
          <cell r="F125" t="str">
            <v>NAKONDE ZM SIDE</v>
          </cell>
          <cell r="G125" t="str">
            <v>0:22:50</v>
          </cell>
          <cell r="H125">
            <v>6.5566760000000004</v>
          </cell>
        </row>
        <row r="126">
          <cell r="B126" t="str">
            <v>T376ECN</v>
          </cell>
          <cell r="C126" t="str">
            <v>2026-01-04 20:25:58</v>
          </cell>
          <cell r="D126" t="str">
            <v>TENKE FUNGURUME MINE DRC</v>
          </cell>
          <cell r="E126" t="str">
            <v>2026-01-04 20:56:57</v>
          </cell>
          <cell r="F126" t="str">
            <v>TENKE FUNGURUME MINE DRC</v>
          </cell>
          <cell r="G126" t="str">
            <v>0:13:03</v>
          </cell>
          <cell r="H126">
            <v>0.93644400000000005</v>
          </cell>
        </row>
        <row r="127">
          <cell r="B127" t="str">
            <v>T376ECN</v>
          </cell>
          <cell r="C127" t="str">
            <v>2026-01-04 20:25:58</v>
          </cell>
          <cell r="D127" t="str">
            <v>TENKE FUNGURUME MINE DRC</v>
          </cell>
          <cell r="E127" t="str">
            <v>2026-01-04 20:29:20</v>
          </cell>
          <cell r="F127" t="str">
            <v>TENKE FUNGURUME MINE DRC</v>
          </cell>
          <cell r="G127" t="str">
            <v>0:03:22</v>
          </cell>
          <cell r="H127">
            <v>0.26425399999999999</v>
          </cell>
        </row>
        <row r="128">
          <cell r="B128" t="str">
            <v>T376ECN</v>
          </cell>
          <cell r="C128" t="str">
            <v>2026-01-04 20:40:01</v>
          </cell>
          <cell r="D128" t="str">
            <v>TENKE FUNGURUME MINE DRC</v>
          </cell>
          <cell r="E128" t="str">
            <v>2026-01-04 20:45:41</v>
          </cell>
          <cell r="F128" t="str">
            <v>TENKE FUNGURUME MINE DRC</v>
          </cell>
          <cell r="G128" t="str">
            <v>0:05:40</v>
          </cell>
          <cell r="H128">
            <v>0.51676900000000003</v>
          </cell>
        </row>
        <row r="129">
          <cell r="B129" t="str">
            <v>T376ECN</v>
          </cell>
          <cell r="C129" t="str">
            <v>2026-01-04 20:52:56</v>
          </cell>
          <cell r="D129" t="str">
            <v>TENKE FUNGURUME MINE DRC</v>
          </cell>
          <cell r="E129" t="str">
            <v>2026-01-04 20:56:57</v>
          </cell>
          <cell r="F129" t="str">
            <v>TENKE FUNGURUME MINE DRC</v>
          </cell>
          <cell r="G129" t="str">
            <v>0:04:01</v>
          </cell>
          <cell r="H129">
            <v>0.15542</v>
          </cell>
        </row>
        <row r="130">
          <cell r="B130" t="str">
            <v>T379ECN</v>
          </cell>
          <cell r="C130" t="str">
            <v>2026-01-04 01:01:41</v>
          </cell>
          <cell r="D130" t="str">
            <v>TUNDUMA PARKING</v>
          </cell>
          <cell r="E130" t="str">
            <v>2026-01-04 04:50:35</v>
          </cell>
          <cell r="F130" t="str">
            <v>NAKONDE ZM SIDE</v>
          </cell>
          <cell r="G130" t="str">
            <v>2:11:48</v>
          </cell>
          <cell r="H130">
            <v>20.679099999999998</v>
          </cell>
        </row>
        <row r="131">
          <cell r="B131" t="str">
            <v>T379ECN</v>
          </cell>
          <cell r="C131" t="str">
            <v>2026-01-04 01:01:41</v>
          </cell>
          <cell r="D131" t="str">
            <v>TUNDUMA PARKING</v>
          </cell>
          <cell r="E131" t="str">
            <v>2026-01-04 01:18:18</v>
          </cell>
          <cell r="F131" t="str">
            <v>TUNDUMA BORDER TZ SIDE</v>
          </cell>
          <cell r="G131" t="str">
            <v>0:16:37</v>
          </cell>
          <cell r="H131">
            <v>5.5079279999999997</v>
          </cell>
        </row>
        <row r="132">
          <cell r="B132" t="str">
            <v>T379ECN</v>
          </cell>
          <cell r="C132" t="str">
            <v>2026-01-04 01:28:17</v>
          </cell>
          <cell r="D132" t="str">
            <v>TUNDUMA BORDER TZ SIDE</v>
          </cell>
          <cell r="E132" t="str">
            <v>2026-01-04 01:43:10</v>
          </cell>
          <cell r="F132" t="str">
            <v>TUNDUMA BORDER TZ SIDE</v>
          </cell>
          <cell r="G132" t="str">
            <v>0:14:53</v>
          </cell>
          <cell r="H132">
            <v>0.54304799999999998</v>
          </cell>
        </row>
        <row r="133">
          <cell r="B133" t="str">
            <v>T379ECN</v>
          </cell>
          <cell r="C133" t="str">
            <v>2026-01-04 01:53:54</v>
          </cell>
          <cell r="D133" t="str">
            <v>TUNDUMA BORDER TZ SIDE</v>
          </cell>
          <cell r="E133" t="str">
            <v>2026-01-04 01:59:37</v>
          </cell>
          <cell r="F133" t="str">
            <v>TUNDUMA BORDER TZ SIDE</v>
          </cell>
          <cell r="G133" t="str">
            <v>0:05:43</v>
          </cell>
          <cell r="H133">
            <v>0.24132000000000001</v>
          </cell>
        </row>
        <row r="134">
          <cell r="B134" t="str">
            <v>T379ECN</v>
          </cell>
          <cell r="C134" t="str">
            <v>2026-01-04 02:07:11</v>
          </cell>
          <cell r="D134" t="str">
            <v>TUNDUMA BORDER TZ SIDE</v>
          </cell>
          <cell r="E134" t="str">
            <v>2026-01-04 02:44:33</v>
          </cell>
          <cell r="F134" t="str">
            <v>TUNDUMA BORDER TZ SIDE</v>
          </cell>
          <cell r="G134" t="str">
            <v>0:37:22</v>
          </cell>
          <cell r="H134">
            <v>6.4833270000000001</v>
          </cell>
        </row>
        <row r="135">
          <cell r="B135" t="str">
            <v>T379ECN</v>
          </cell>
          <cell r="C135" t="str">
            <v>2026-01-04 02:49:47</v>
          </cell>
          <cell r="D135" t="str">
            <v>TUNDUMA BORDER TZ SIDE</v>
          </cell>
          <cell r="E135" t="str">
            <v>2026-01-04 03:02:55</v>
          </cell>
          <cell r="F135" t="str">
            <v>TUNDUMA BORDER TZ SIDE</v>
          </cell>
          <cell r="G135" t="str">
            <v>0:13:08</v>
          </cell>
          <cell r="H135">
            <v>0.25249100000000002</v>
          </cell>
        </row>
        <row r="136">
          <cell r="B136" t="str">
            <v>T379ECN</v>
          </cell>
          <cell r="C136" t="str">
            <v>2026-01-04 03:12:13</v>
          </cell>
          <cell r="D136" t="str">
            <v>TUNDUMA BORDER TZ SIDE</v>
          </cell>
          <cell r="E136" t="str">
            <v>2026-01-04 03:24:13</v>
          </cell>
          <cell r="F136" t="str">
            <v>TUNDUMA BORDER TZ SIDE</v>
          </cell>
          <cell r="G136" t="str">
            <v>0:12:00</v>
          </cell>
          <cell r="H136">
            <v>0.208871</v>
          </cell>
        </row>
        <row r="137">
          <cell r="B137" t="str">
            <v>T379ECN</v>
          </cell>
          <cell r="C137" t="str">
            <v>2026-01-04 03:41:11</v>
          </cell>
          <cell r="D137" t="str">
            <v>TUNDUMA BORDER TZ SIDE</v>
          </cell>
          <cell r="E137" t="str">
            <v>2026-01-04 03:48:42</v>
          </cell>
          <cell r="F137" t="str">
            <v>TUNDUMA BORDER TZ SIDE</v>
          </cell>
          <cell r="G137" t="str">
            <v>0:07:31</v>
          </cell>
          <cell r="H137">
            <v>0.146366</v>
          </cell>
        </row>
        <row r="138">
          <cell r="B138" t="str">
            <v>T379ECN</v>
          </cell>
          <cell r="C138" t="str">
            <v>2026-01-04 04:00:09</v>
          </cell>
          <cell r="D138" t="str">
            <v>TUNDUMA BORDER TZ SIDE</v>
          </cell>
          <cell r="E138" t="str">
            <v>2026-01-04 04:03:51</v>
          </cell>
          <cell r="F138" t="str">
            <v>TUNDUMA BORDER TZ SIDE</v>
          </cell>
          <cell r="G138" t="str">
            <v>0:03:42</v>
          </cell>
          <cell r="H138">
            <v>0.20600499999999999</v>
          </cell>
        </row>
        <row r="139">
          <cell r="B139" t="str">
            <v>T379ECN</v>
          </cell>
          <cell r="C139" t="str">
            <v>2026-01-04 04:12:43</v>
          </cell>
          <cell r="D139" t="str">
            <v>TUNDUMA BORDER TZ SIDE</v>
          </cell>
          <cell r="E139" t="str">
            <v>2026-01-04 04:18:51</v>
          </cell>
          <cell r="F139" t="str">
            <v>T1, Nakonde</v>
          </cell>
          <cell r="G139" t="str">
            <v>0:06:08</v>
          </cell>
          <cell r="H139">
            <v>0.321465</v>
          </cell>
        </row>
        <row r="140">
          <cell r="B140" t="str">
            <v>T379ECN</v>
          </cell>
          <cell r="C140" t="str">
            <v>2026-01-04 04:28:26</v>
          </cell>
          <cell r="D140" t="str">
            <v>Great North Road, Nakonde</v>
          </cell>
          <cell r="E140" t="str">
            <v>2026-01-04 04:41:40</v>
          </cell>
          <cell r="F140" t="str">
            <v>NAKONDE ZM SIDE</v>
          </cell>
          <cell r="G140" t="str">
            <v>0:13:14</v>
          </cell>
          <cell r="H140">
            <v>6.4458070000000003</v>
          </cell>
        </row>
        <row r="141">
          <cell r="B141" t="str">
            <v>T379ECN</v>
          </cell>
          <cell r="C141" t="str">
            <v>2026-01-04 04:49:05</v>
          </cell>
          <cell r="D141" t="str">
            <v>NAKONDE ZM SIDE</v>
          </cell>
          <cell r="E141" t="str">
            <v>2026-01-04 04:50:35</v>
          </cell>
          <cell r="F141" t="str">
            <v>NAKONDE ZM SIDE</v>
          </cell>
          <cell r="G141" t="str">
            <v>0:01:30</v>
          </cell>
          <cell r="H141">
            <v>0.32247199999999998</v>
          </cell>
        </row>
        <row r="142">
          <cell r="B142" t="str">
            <v>T382ECN</v>
          </cell>
          <cell r="C142" t="str">
            <v>2026-01-04 00:48:28</v>
          </cell>
          <cell r="D142" t="str">
            <v>TUNDUMA PARKING</v>
          </cell>
          <cell r="E142" t="str">
            <v>2026-01-04 05:16:52</v>
          </cell>
          <cell r="F142" t="str">
            <v>NAKONDE ZM SIDE</v>
          </cell>
          <cell r="G142" t="str">
            <v>2:01:20</v>
          </cell>
          <cell r="H142">
            <v>27.255203000000002</v>
          </cell>
        </row>
        <row r="143">
          <cell r="B143" t="str">
            <v>T382ECN</v>
          </cell>
          <cell r="C143" t="str">
            <v>2026-01-04 00:48:28</v>
          </cell>
          <cell r="D143" t="str">
            <v>TUNDUMA PARKING</v>
          </cell>
          <cell r="E143" t="str">
            <v>2026-01-04 01:10:22</v>
          </cell>
          <cell r="F143" t="str">
            <v>TUNDUMA BORDER TZ SIDE</v>
          </cell>
          <cell r="G143" t="str">
            <v>0:21:54</v>
          </cell>
          <cell r="H143">
            <v>5.941446</v>
          </cell>
        </row>
        <row r="144">
          <cell r="B144" t="str">
            <v>T382ECN</v>
          </cell>
          <cell r="C144" t="str">
            <v>2026-01-04 01:25:44</v>
          </cell>
          <cell r="D144" t="str">
            <v>TUNDUMA BORDER TZ SIDE</v>
          </cell>
          <cell r="E144" t="str">
            <v>2026-01-04 01:38:19</v>
          </cell>
          <cell r="F144" t="str">
            <v>TUNDUMA BORDER TZ SIDE</v>
          </cell>
          <cell r="G144" t="str">
            <v>0:12:35</v>
          </cell>
          <cell r="H144">
            <v>0.474352</v>
          </cell>
        </row>
        <row r="145">
          <cell r="B145" t="str">
            <v>T382ECN</v>
          </cell>
          <cell r="C145" t="str">
            <v>2026-01-04 02:01:15</v>
          </cell>
          <cell r="D145" t="str">
            <v>TUNDUMA BORDER TZ SIDE</v>
          </cell>
          <cell r="E145" t="str">
            <v>2026-01-04 02:49:01</v>
          </cell>
          <cell r="F145" t="str">
            <v>TUNDUMA BORDER TZ SIDE</v>
          </cell>
          <cell r="G145" t="str">
            <v>0:47:46</v>
          </cell>
          <cell r="H145">
            <v>13.482972</v>
          </cell>
        </row>
        <row r="146">
          <cell r="B146" t="str">
            <v>T382ECN</v>
          </cell>
          <cell r="C146" t="str">
            <v>2026-01-04 03:10:51</v>
          </cell>
          <cell r="D146" t="str">
            <v>TUNDUMA BORDER TZ SIDE</v>
          </cell>
          <cell r="E146" t="str">
            <v>2026-01-04 03:14:46</v>
          </cell>
          <cell r="F146" t="str">
            <v>TUNDUMA BORDER TZ SIDE</v>
          </cell>
          <cell r="G146" t="str">
            <v>0:03:55</v>
          </cell>
          <cell r="H146">
            <v>0.109884</v>
          </cell>
        </row>
        <row r="147">
          <cell r="B147" t="str">
            <v>T382ECN</v>
          </cell>
          <cell r="C147" t="str">
            <v>2026-01-04 03:46:43</v>
          </cell>
          <cell r="D147" t="str">
            <v>TUNDUMA BORDER TZ SIDE</v>
          </cell>
          <cell r="E147" t="str">
            <v>2026-01-04 04:04:01</v>
          </cell>
          <cell r="F147" t="str">
            <v>TUNDUMA BORDER TZ SIDE</v>
          </cell>
          <cell r="G147" t="str">
            <v>0:17:18</v>
          </cell>
          <cell r="H147">
            <v>0.54486500000000004</v>
          </cell>
        </row>
        <row r="148">
          <cell r="B148" t="str">
            <v>T382ECN</v>
          </cell>
          <cell r="C148" t="str">
            <v>2026-01-04 04:12:47</v>
          </cell>
          <cell r="D148" t="str">
            <v>TUNDUMA BORDER TZ SIDE</v>
          </cell>
          <cell r="E148" t="str">
            <v>2026-01-04 04:16:47</v>
          </cell>
          <cell r="F148" t="str">
            <v>TUNDUMA BORDER TZ SIDE</v>
          </cell>
          <cell r="G148" t="str">
            <v>0:04:00</v>
          </cell>
          <cell r="H148">
            <v>0.11577900000000001</v>
          </cell>
        </row>
        <row r="149">
          <cell r="B149" t="str">
            <v>T382ECN</v>
          </cell>
          <cell r="C149" t="str">
            <v>2026-01-04 04:30:19</v>
          </cell>
          <cell r="D149" t="str">
            <v>TUNDUMA BORDER TZ SIDE</v>
          </cell>
          <cell r="E149" t="str">
            <v>2026-01-04 04:33:02</v>
          </cell>
          <cell r="F149" t="str">
            <v>TUNDUMA BORDER TZ SIDE</v>
          </cell>
          <cell r="G149" t="str">
            <v>0:02:43</v>
          </cell>
          <cell r="H149">
            <v>0.234293</v>
          </cell>
        </row>
        <row r="150">
          <cell r="B150" t="str">
            <v>T382ECN</v>
          </cell>
          <cell r="C150" t="str">
            <v>2026-01-04 05:05:43</v>
          </cell>
          <cell r="D150" t="str">
            <v>Great North Road, Nakonde</v>
          </cell>
          <cell r="E150" t="str">
            <v>2026-01-04 05:16:52</v>
          </cell>
          <cell r="F150" t="str">
            <v>NAKONDE ZM SIDE</v>
          </cell>
          <cell r="G150" t="str">
            <v>0:11:09</v>
          </cell>
          <cell r="H150">
            <v>6.3516120000000003</v>
          </cell>
        </row>
        <row r="151">
          <cell r="B151" t="str">
            <v>T383ECN</v>
          </cell>
          <cell r="C151" t="str">
            <v>2026-01-04 00:26:12</v>
          </cell>
          <cell r="D151" t="str">
            <v>DAR ES SALAAM</v>
          </cell>
          <cell r="E151" t="str">
            <v>2026-01-04 02:30:14</v>
          </cell>
          <cell r="F151" t="str">
            <v>DAR ES SALAAM</v>
          </cell>
          <cell r="G151" t="str">
            <v>1:12:42</v>
          </cell>
          <cell r="H151">
            <v>18.396674000000001</v>
          </cell>
        </row>
        <row r="152">
          <cell r="B152" t="str">
            <v>T383ECN</v>
          </cell>
          <cell r="C152" t="str">
            <v>2026-01-04 00:26:12</v>
          </cell>
          <cell r="D152" t="str">
            <v>DAR ES SALAAM</v>
          </cell>
          <cell r="E152" t="str">
            <v>2026-01-04 00:38:47</v>
          </cell>
          <cell r="F152" t="str">
            <v>DAR ES SALAAM</v>
          </cell>
          <cell r="G152" t="str">
            <v>0:12:35</v>
          </cell>
          <cell r="H152">
            <v>3.307099</v>
          </cell>
        </row>
        <row r="153">
          <cell r="B153" t="str">
            <v>T383ECN</v>
          </cell>
          <cell r="C153" t="str">
            <v>2026-01-04 01:09:17</v>
          </cell>
          <cell r="D153" t="str">
            <v>DAR ES SALAAM</v>
          </cell>
          <cell r="E153" t="str">
            <v>2026-01-04 02:04:15</v>
          </cell>
          <cell r="F153" t="str">
            <v>DAR ES SALAAM</v>
          </cell>
          <cell r="G153" t="str">
            <v>0:54:58</v>
          </cell>
          <cell r="H153">
            <v>13.658797</v>
          </cell>
        </row>
        <row r="154">
          <cell r="B154" t="str">
            <v>T383ECN</v>
          </cell>
          <cell r="C154" t="str">
            <v>2026-01-04 02:25:05</v>
          </cell>
          <cell r="D154" t="str">
            <v>DAR ES SALAAM</v>
          </cell>
          <cell r="E154" t="str">
            <v>2026-01-04 02:30:14</v>
          </cell>
          <cell r="F154" t="str">
            <v>DAR ES SALAAM</v>
          </cell>
          <cell r="G154" t="str">
            <v>0:05:09</v>
          </cell>
          <cell r="H154">
            <v>1.4307780000000001</v>
          </cell>
        </row>
        <row r="155">
          <cell r="B155" t="str">
            <v>T385ECN</v>
          </cell>
          <cell r="C155" t="str">
            <v>2026-01-04 18:36:09</v>
          </cell>
          <cell r="D155" t="str">
            <v>Rn39, 5.37 km from Kisenda</v>
          </cell>
          <cell r="E155" t="str">
            <v>2026-01-04 19:08:21</v>
          </cell>
          <cell r="F155" t="str">
            <v>CONNEX AFRICA - DRC</v>
          </cell>
          <cell r="G155" t="str">
            <v>0:32:12</v>
          </cell>
          <cell r="H155">
            <v>13.640752000000001</v>
          </cell>
        </row>
        <row r="156">
          <cell r="B156" t="str">
            <v>T385ECN</v>
          </cell>
          <cell r="C156" t="str">
            <v>2026-01-04 18:36:09</v>
          </cell>
          <cell r="D156" t="str">
            <v>Rn39, 5.37 km from Kisenda</v>
          </cell>
          <cell r="E156" t="str">
            <v>2026-01-04 19:08:21</v>
          </cell>
          <cell r="F156" t="str">
            <v>CONNEX AFRICA - DRC</v>
          </cell>
          <cell r="G156" t="str">
            <v>0:32:12</v>
          </cell>
          <cell r="H156">
            <v>13.640752000000001</v>
          </cell>
        </row>
        <row r="157">
          <cell r="B157" t="str">
            <v>T392ECN</v>
          </cell>
          <cell r="C157" t="str">
            <v>2026-01-04 00:56:14</v>
          </cell>
          <cell r="D157" t="str">
            <v>TUNDUMA PARKING</v>
          </cell>
          <cell r="E157" t="str">
            <v>2026-01-04 02:57:02</v>
          </cell>
          <cell r="F157" t="str">
            <v>NAKONDE ZM SIDE</v>
          </cell>
          <cell r="G157" t="str">
            <v>1:22:13</v>
          </cell>
          <cell r="H157">
            <v>15.670788</v>
          </cell>
        </row>
        <row r="158">
          <cell r="B158" t="str">
            <v>T392ECN</v>
          </cell>
          <cell r="C158" t="str">
            <v>2026-01-04 00:56:14</v>
          </cell>
          <cell r="D158" t="str">
            <v>TUNDUMA PARKING</v>
          </cell>
          <cell r="E158" t="str">
            <v>2026-01-04 01:11:03</v>
          </cell>
          <cell r="F158" t="str">
            <v>TUNDUMA BORDER TZ SIDE</v>
          </cell>
          <cell r="G158" t="str">
            <v>0:14:49</v>
          </cell>
          <cell r="H158">
            <v>5.8355730000000001</v>
          </cell>
        </row>
        <row r="159">
          <cell r="B159" t="str">
            <v>T392ECN</v>
          </cell>
          <cell r="C159" t="str">
            <v>2026-01-04 01:27:17</v>
          </cell>
          <cell r="D159" t="str">
            <v>TUNDUMA BORDER TZ SIDE</v>
          </cell>
          <cell r="E159" t="str">
            <v>2026-01-04 01:40:47</v>
          </cell>
          <cell r="F159" t="str">
            <v>TUNDUMA BORDER TZ SIDE</v>
          </cell>
          <cell r="G159" t="str">
            <v>0:13:30</v>
          </cell>
          <cell r="H159">
            <v>0.56721999999999995</v>
          </cell>
        </row>
        <row r="160">
          <cell r="B160" t="str">
            <v>T392ECN</v>
          </cell>
          <cell r="C160" t="str">
            <v>2026-01-04 01:51:29</v>
          </cell>
          <cell r="D160" t="str">
            <v>TUNDUMA BORDER TZ SIDE</v>
          </cell>
          <cell r="E160" t="str">
            <v>2026-01-04 01:57:01</v>
          </cell>
          <cell r="F160" t="str">
            <v>TUNDUMA BORDER TZ SIDE</v>
          </cell>
          <cell r="G160" t="str">
            <v>0:05:32</v>
          </cell>
          <cell r="H160">
            <v>0.190472</v>
          </cell>
        </row>
        <row r="161">
          <cell r="B161" t="str">
            <v>T392ECN</v>
          </cell>
          <cell r="C161" t="str">
            <v>2026-01-04 02:03:28</v>
          </cell>
          <cell r="D161" t="str">
            <v>TUNDUMA BORDER TZ SIDE</v>
          </cell>
          <cell r="E161" t="str">
            <v>2026-01-04 02:38:24</v>
          </cell>
          <cell r="F161" t="str">
            <v>T1, Nakonde</v>
          </cell>
          <cell r="G161" t="str">
            <v>0:34:56</v>
          </cell>
          <cell r="H161">
            <v>2.5385040000000001</v>
          </cell>
        </row>
        <row r="162">
          <cell r="B162" t="str">
            <v>T392ECN</v>
          </cell>
          <cell r="C162" t="str">
            <v>2026-01-04 02:43:36</v>
          </cell>
          <cell r="D162" t="str">
            <v>Great North Road, Nakonde</v>
          </cell>
          <cell r="E162" t="str">
            <v>2026-01-04 02:57:02</v>
          </cell>
          <cell r="F162" t="str">
            <v>NAKONDE ZM SIDE</v>
          </cell>
          <cell r="G162" t="str">
            <v>0:13:26</v>
          </cell>
          <cell r="H162">
            <v>6.5390199999999998</v>
          </cell>
        </row>
        <row r="163">
          <cell r="B163" t="str">
            <v>T402ECN</v>
          </cell>
          <cell r="C163" t="str">
            <v>2026-01-04 18:30:27</v>
          </cell>
          <cell r="D163" t="str">
            <v>T1, 2.25 km from Iyai</v>
          </cell>
          <cell r="E163" t="str">
            <v>2026-01-04 19:04:48</v>
          </cell>
          <cell r="F163" t="str">
            <v>IGAWA T JUNCTION</v>
          </cell>
          <cell r="G163" t="str">
            <v>0:34:21</v>
          </cell>
          <cell r="H163">
            <v>20.945862000000002</v>
          </cell>
        </row>
        <row r="164">
          <cell r="B164" t="str">
            <v>T402ECN</v>
          </cell>
          <cell r="C164" t="str">
            <v>2026-01-04 18:30:27</v>
          </cell>
          <cell r="D164" t="str">
            <v>T1, 2.25 km from Iyai</v>
          </cell>
          <cell r="E164" t="str">
            <v>2026-01-04 19:04:48</v>
          </cell>
          <cell r="F164" t="str">
            <v>IGAWA T JUNCTION</v>
          </cell>
          <cell r="G164" t="str">
            <v>0:34:21</v>
          </cell>
          <cell r="H164">
            <v>20.945862000000002</v>
          </cell>
        </row>
        <row r="165">
          <cell r="B165" t="str">
            <v>T404ECN</v>
          </cell>
          <cell r="C165" t="str">
            <v>2026-01-04 00:12:54</v>
          </cell>
          <cell r="D165" t="str">
            <v>DAR ES SALAAM</v>
          </cell>
          <cell r="E165" t="str">
            <v>2026-01-04 01:35:19</v>
          </cell>
          <cell r="F165" t="str">
            <v>MBAGALA YARD</v>
          </cell>
          <cell r="G165" t="str">
            <v>0:38:13</v>
          </cell>
          <cell r="H165">
            <v>14.621978</v>
          </cell>
        </row>
        <row r="166">
          <cell r="B166" t="str">
            <v>T404ECN</v>
          </cell>
          <cell r="C166" t="str">
            <v>2026-01-04 00:12:54</v>
          </cell>
          <cell r="D166" t="str">
            <v>DAR ES SALAAM</v>
          </cell>
          <cell r="E166" t="str">
            <v>2026-01-04 00:47:16</v>
          </cell>
          <cell r="F166" t="str">
            <v>MBAGALA YARD</v>
          </cell>
          <cell r="G166" t="str">
            <v>0:34:22</v>
          </cell>
          <cell r="H166">
            <v>14.407303000000001</v>
          </cell>
        </row>
        <row r="167">
          <cell r="B167" t="str">
            <v>T404ECN</v>
          </cell>
          <cell r="C167" t="str">
            <v>2026-01-04 01:31:28</v>
          </cell>
          <cell r="D167" t="str">
            <v>MBAGALA YARD</v>
          </cell>
          <cell r="E167" t="str">
            <v>2026-01-04 01:35:19</v>
          </cell>
          <cell r="F167" t="str">
            <v>MBAGALA YARD</v>
          </cell>
          <cell r="G167" t="str">
            <v>0:03:51</v>
          </cell>
          <cell r="H167">
            <v>0.214675</v>
          </cell>
        </row>
        <row r="168">
          <cell r="B168" t="str">
            <v>T406DHG</v>
          </cell>
          <cell r="C168" t="str">
            <v>2026-01-04 00:54:59</v>
          </cell>
          <cell r="D168" t="str">
            <v>TUNDUMA PARKING</v>
          </cell>
          <cell r="E168" t="str">
            <v>2026-01-04 04:33:53</v>
          </cell>
          <cell r="F168" t="str">
            <v>NAKONDE ZM SIDE</v>
          </cell>
          <cell r="G168" t="str">
            <v>1:39:34</v>
          </cell>
          <cell r="H168">
            <v>18.908726000000001</v>
          </cell>
        </row>
        <row r="169">
          <cell r="B169" t="str">
            <v>T406DHG</v>
          </cell>
          <cell r="C169" t="str">
            <v>2026-01-04 00:54:59</v>
          </cell>
          <cell r="D169" t="str">
            <v>TUNDUMA PARKING</v>
          </cell>
          <cell r="E169" t="str">
            <v>2026-01-04 01:10:23</v>
          </cell>
          <cell r="F169" t="str">
            <v>TUNDUMA BORDER TZ SIDE</v>
          </cell>
          <cell r="G169" t="str">
            <v>0:15:24</v>
          </cell>
          <cell r="H169">
            <v>5.9035909999999996</v>
          </cell>
        </row>
        <row r="170">
          <cell r="B170" t="str">
            <v>T406DHG</v>
          </cell>
          <cell r="C170" t="str">
            <v>2026-01-04 01:26:45</v>
          </cell>
          <cell r="D170" t="str">
            <v>TUNDUMA BORDER TZ SIDE</v>
          </cell>
          <cell r="E170" t="str">
            <v>2026-01-04 01:39:48</v>
          </cell>
          <cell r="F170" t="str">
            <v>TUNDUMA BORDER TZ SIDE</v>
          </cell>
          <cell r="G170" t="str">
            <v>0:13:03</v>
          </cell>
          <cell r="H170">
            <v>0.50246999999999997</v>
          </cell>
        </row>
        <row r="171">
          <cell r="B171" t="str">
            <v>T406DHG</v>
          </cell>
          <cell r="C171" t="str">
            <v>2026-01-04 02:03:18</v>
          </cell>
          <cell r="D171" t="str">
            <v>TUNDUMA BORDER TZ SIDE</v>
          </cell>
          <cell r="E171" t="str">
            <v>2026-01-04 02:26:10</v>
          </cell>
          <cell r="F171" t="str">
            <v>TUNDUMA BORDER TZ SIDE</v>
          </cell>
          <cell r="G171" t="str">
            <v>0:22:52</v>
          </cell>
          <cell r="H171">
            <v>4.8317730000000001</v>
          </cell>
        </row>
        <row r="172">
          <cell r="B172" t="str">
            <v>T406DHG</v>
          </cell>
          <cell r="C172" t="str">
            <v>2026-01-04 02:49:08</v>
          </cell>
          <cell r="D172" t="str">
            <v>TUNDUMA BORDER TZ SIDE</v>
          </cell>
          <cell r="E172" t="str">
            <v>2026-01-04 02:58:16</v>
          </cell>
          <cell r="F172" t="str">
            <v>TUNDUMA BORDER TZ SIDE</v>
          </cell>
          <cell r="G172" t="str">
            <v>0:09:08</v>
          </cell>
          <cell r="H172">
            <v>0.32108300000000001</v>
          </cell>
        </row>
        <row r="173">
          <cell r="B173" t="str">
            <v>T406DHG</v>
          </cell>
          <cell r="C173" t="str">
            <v>2026-01-04 03:07:47</v>
          </cell>
          <cell r="D173" t="str">
            <v>TUNDUMA BORDER TZ SIDE</v>
          </cell>
          <cell r="E173" t="str">
            <v>2026-01-04 03:20:47</v>
          </cell>
          <cell r="F173" t="str">
            <v>TUNDUMA BORDER TZ SIDE</v>
          </cell>
          <cell r="G173" t="str">
            <v>0:13:00</v>
          </cell>
          <cell r="H173">
            <v>0.436087</v>
          </cell>
        </row>
        <row r="174">
          <cell r="B174" t="str">
            <v>T406DHG</v>
          </cell>
          <cell r="C174" t="str">
            <v>2026-01-04 03:55:44</v>
          </cell>
          <cell r="D174" t="str">
            <v>Great North Road, Nakonde</v>
          </cell>
          <cell r="E174" t="str">
            <v>2026-01-04 04:01:12</v>
          </cell>
          <cell r="F174" t="str">
            <v>TUNDUMA BORDER TZ SIDE</v>
          </cell>
          <cell r="G174" t="str">
            <v>0:05:28</v>
          </cell>
          <cell r="H174">
            <v>0.34991499999999998</v>
          </cell>
        </row>
        <row r="175">
          <cell r="B175" t="str">
            <v>T406DHG</v>
          </cell>
          <cell r="C175" t="str">
            <v>2026-01-04 04:13:14</v>
          </cell>
          <cell r="D175" t="str">
            <v>T1, Nakonde</v>
          </cell>
          <cell r="E175" t="str">
            <v>2026-01-04 04:33:53</v>
          </cell>
          <cell r="F175" t="str">
            <v>NAKONDE ZM SIDE</v>
          </cell>
          <cell r="G175" t="str">
            <v>0:20:39</v>
          </cell>
          <cell r="H175">
            <v>6.5638069999999997</v>
          </cell>
        </row>
        <row r="176">
          <cell r="B176" t="str">
            <v>T416DHG</v>
          </cell>
          <cell r="C176" t="str">
            <v>2026-01-04 00:14:17</v>
          </cell>
          <cell r="D176" t="str">
            <v>KIOO</v>
          </cell>
          <cell r="E176" t="str">
            <v>2026-01-04 04:01:04</v>
          </cell>
          <cell r="F176" t="str">
            <v>GL KURASINI YARD</v>
          </cell>
          <cell r="G176" t="str">
            <v>1:42:49</v>
          </cell>
          <cell r="H176">
            <v>27.424804999999999</v>
          </cell>
        </row>
        <row r="177">
          <cell r="B177" t="str">
            <v>T416DHG</v>
          </cell>
          <cell r="C177" t="str">
            <v>2026-01-04 00:14:17</v>
          </cell>
          <cell r="D177" t="str">
            <v>KIOO</v>
          </cell>
          <cell r="E177" t="str">
            <v>2026-01-04 00:47:01</v>
          </cell>
          <cell r="F177" t="str">
            <v>DAR ES SALAAM</v>
          </cell>
          <cell r="G177" t="str">
            <v>0:32:44</v>
          </cell>
          <cell r="H177">
            <v>8.8633919999999993</v>
          </cell>
        </row>
        <row r="178">
          <cell r="B178" t="str">
            <v>T416DHG</v>
          </cell>
          <cell r="C178" t="str">
            <v>2026-01-04 00:57:07</v>
          </cell>
          <cell r="D178" t="str">
            <v>DAR ES SALAAM</v>
          </cell>
          <cell r="E178" t="str">
            <v>2026-01-04 00:59:18</v>
          </cell>
          <cell r="F178" t="str">
            <v>DAR ES SALAAM</v>
          </cell>
          <cell r="G178" t="str">
            <v>0:02:11</v>
          </cell>
          <cell r="H178">
            <v>0.16644900000000001</v>
          </cell>
        </row>
        <row r="179">
          <cell r="B179" t="str">
            <v>T416DHG</v>
          </cell>
          <cell r="C179" t="str">
            <v>2026-01-04 02:47:00</v>
          </cell>
          <cell r="D179" t="str">
            <v>DAR ES SALAAM</v>
          </cell>
          <cell r="E179" t="str">
            <v>2026-01-04 03:11:11</v>
          </cell>
          <cell r="F179" t="str">
            <v>DAR ES SALAAM</v>
          </cell>
          <cell r="G179" t="str">
            <v>0:24:11</v>
          </cell>
          <cell r="H179">
            <v>3.430018</v>
          </cell>
        </row>
        <row r="180">
          <cell r="B180" t="str">
            <v>T416DHG</v>
          </cell>
          <cell r="C180" t="str">
            <v>2026-01-04 03:17:21</v>
          </cell>
          <cell r="D180" t="str">
            <v>DAR ES SALAAM</v>
          </cell>
          <cell r="E180" t="str">
            <v>2026-01-04 04:01:04</v>
          </cell>
          <cell r="F180" t="str">
            <v>GL KURASINI YARD</v>
          </cell>
          <cell r="G180" t="str">
            <v>0:43:43</v>
          </cell>
          <cell r="H180">
            <v>14.964945999999999</v>
          </cell>
        </row>
        <row r="181">
          <cell r="B181" t="str">
            <v>T417DHE</v>
          </cell>
          <cell r="C181" t="str">
            <v>2026-01-04 18:54:39</v>
          </cell>
          <cell r="D181" t="str">
            <v>TUNDUMA BORDER TZ SIDE</v>
          </cell>
          <cell r="E181" t="str">
            <v>2026-01-04 19:18:38</v>
          </cell>
          <cell r="F181" t="str">
            <v>TUNDUMA BORDER TZ SIDE</v>
          </cell>
          <cell r="G181" t="str">
            <v>0:23:59</v>
          </cell>
          <cell r="H181">
            <v>3.8502209999999999</v>
          </cell>
        </row>
        <row r="182">
          <cell r="B182" t="str">
            <v>T417DHE</v>
          </cell>
          <cell r="C182" t="str">
            <v>2026-01-04 18:54:39</v>
          </cell>
          <cell r="D182" t="str">
            <v>TUNDUMA BORDER TZ SIDE</v>
          </cell>
          <cell r="E182" t="str">
            <v>2026-01-04 19:18:38</v>
          </cell>
          <cell r="F182" t="str">
            <v>TUNDUMA BORDER TZ SIDE</v>
          </cell>
          <cell r="G182" t="str">
            <v>0:23:59</v>
          </cell>
          <cell r="H182">
            <v>3.8502209999999999</v>
          </cell>
        </row>
        <row r="183">
          <cell r="B183" t="str">
            <v>T444DHG</v>
          </cell>
          <cell r="C183" t="str">
            <v>2026-01-04 18:40:02</v>
          </cell>
          <cell r="D183" t="str">
            <v>TUNDUMA BORDER TZ SIDE</v>
          </cell>
          <cell r="E183" t="str">
            <v>2026-01-04 18:54:21</v>
          </cell>
          <cell r="F183" t="str">
            <v>TUNDUMA BORDER TZ SIDE</v>
          </cell>
          <cell r="G183" t="str">
            <v>0:14:19</v>
          </cell>
          <cell r="H183">
            <v>4.1631280000000004</v>
          </cell>
        </row>
        <row r="184">
          <cell r="B184" t="str">
            <v>T444DHG</v>
          </cell>
          <cell r="C184" t="str">
            <v>2026-01-04 18:40:02</v>
          </cell>
          <cell r="D184" t="str">
            <v>TUNDUMA BORDER TZ SIDE</v>
          </cell>
          <cell r="E184" t="str">
            <v>2026-01-04 18:54:21</v>
          </cell>
          <cell r="F184" t="str">
            <v>TUNDUMA BORDER TZ SIDE</v>
          </cell>
          <cell r="G184" t="str">
            <v>0:14:19</v>
          </cell>
          <cell r="H184">
            <v>4.1631280000000004</v>
          </cell>
        </row>
        <row r="185">
          <cell r="B185" t="str">
            <v>T482DYR</v>
          </cell>
          <cell r="C185" t="str">
            <v>2026-01-04 18:58:26</v>
          </cell>
          <cell r="D185" t="str">
            <v>TUNDUMA BORDER TZ SIDE</v>
          </cell>
          <cell r="E185" t="str">
            <v>2026-01-04 19:08:28</v>
          </cell>
          <cell r="F185" t="str">
            <v>TUNDUMA PARKING</v>
          </cell>
          <cell r="G185" t="str">
            <v>0:10:02</v>
          </cell>
          <cell r="H185">
            <v>1.9657150000000001</v>
          </cell>
        </row>
        <row r="186">
          <cell r="B186" t="str">
            <v>T482DYR</v>
          </cell>
          <cell r="C186" t="str">
            <v>2026-01-04 18:58:26</v>
          </cell>
          <cell r="D186" t="str">
            <v>TUNDUMA BORDER TZ SIDE</v>
          </cell>
          <cell r="E186" t="str">
            <v>2026-01-04 19:08:28</v>
          </cell>
          <cell r="F186" t="str">
            <v>TUNDUMA PARKING</v>
          </cell>
          <cell r="G186" t="str">
            <v>0:10:02</v>
          </cell>
          <cell r="H186">
            <v>1.9657150000000001</v>
          </cell>
        </row>
        <row r="187">
          <cell r="B187" t="str">
            <v>T491DYR</v>
          </cell>
          <cell r="C187" t="str">
            <v>2026-01-04 20:33:59</v>
          </cell>
          <cell r="D187" t="str">
            <v>TUNDUMA BORDER TZ SIDE</v>
          </cell>
          <cell r="E187" t="str">
            <v>2026-01-04 23:11:34</v>
          </cell>
          <cell r="F187" t="str">
            <v>NAKONDE ZM SIDE</v>
          </cell>
          <cell r="G187" t="str">
            <v>1:00:14</v>
          </cell>
          <cell r="H187">
            <v>9.9537800000000001</v>
          </cell>
        </row>
        <row r="188">
          <cell r="B188" t="str">
            <v>T491DYR</v>
          </cell>
          <cell r="C188" t="str">
            <v>2026-01-04 20:33:59</v>
          </cell>
          <cell r="D188" t="str">
            <v>TUNDUMA BORDER TZ SIDE</v>
          </cell>
          <cell r="E188" t="str">
            <v>2026-01-04 20:43:30</v>
          </cell>
          <cell r="F188" t="str">
            <v>TUNDUMA BORDER TZ SIDE</v>
          </cell>
          <cell r="G188" t="str">
            <v>0:09:31</v>
          </cell>
          <cell r="H188">
            <v>2.3710499999999999</v>
          </cell>
        </row>
        <row r="189">
          <cell r="B189" t="str">
            <v>T491DYR</v>
          </cell>
          <cell r="C189" t="str">
            <v>2026-01-04 21:07:38</v>
          </cell>
          <cell r="D189" t="str">
            <v>TUNDUMA BORDER TZ SIDE</v>
          </cell>
          <cell r="E189" t="str">
            <v>2026-01-04 21:11:45</v>
          </cell>
          <cell r="F189" t="str">
            <v>TUNDUMA BORDER TZ SIDE</v>
          </cell>
          <cell r="G189" t="str">
            <v>0:04:07</v>
          </cell>
          <cell r="H189">
            <v>0.181619</v>
          </cell>
        </row>
        <row r="190">
          <cell r="B190" t="str">
            <v>T491DYR</v>
          </cell>
          <cell r="C190" t="str">
            <v>2026-01-04 21:23:57</v>
          </cell>
          <cell r="D190" t="str">
            <v>TUNDUMA BORDER TZ SIDE</v>
          </cell>
          <cell r="E190" t="str">
            <v>2026-01-04 21:27:46</v>
          </cell>
          <cell r="F190" t="str">
            <v>TUNDUMA BORDER TZ SIDE</v>
          </cell>
          <cell r="G190" t="str">
            <v>0:03:49</v>
          </cell>
          <cell r="H190">
            <v>0.187668</v>
          </cell>
        </row>
        <row r="191">
          <cell r="B191" t="str">
            <v>T491DYR</v>
          </cell>
          <cell r="C191" t="str">
            <v>2026-01-04 21:40:20</v>
          </cell>
          <cell r="D191" t="str">
            <v>TUNDUMA BORDER TZ SIDE</v>
          </cell>
          <cell r="E191" t="str">
            <v>2026-01-04 21:42:55</v>
          </cell>
          <cell r="F191" t="str">
            <v>TUNDUMA BORDER TZ SIDE</v>
          </cell>
          <cell r="G191" t="str">
            <v>0:02:35</v>
          </cell>
          <cell r="H191">
            <v>0.103773</v>
          </cell>
        </row>
        <row r="192">
          <cell r="B192" t="str">
            <v>T491DYR</v>
          </cell>
          <cell r="C192" t="str">
            <v>2026-01-04 22:07:27</v>
          </cell>
          <cell r="D192" t="str">
            <v>TUNDUMA BORDER TZ SIDE</v>
          </cell>
          <cell r="E192" t="str">
            <v>2026-01-04 22:18:08</v>
          </cell>
          <cell r="F192" t="str">
            <v>TUNDUMA BORDER TZ SIDE</v>
          </cell>
          <cell r="G192" t="str">
            <v>0:10:41</v>
          </cell>
          <cell r="H192">
            <v>0.243372</v>
          </cell>
        </row>
        <row r="193">
          <cell r="B193" t="str">
            <v>T491DYR</v>
          </cell>
          <cell r="C193" t="str">
            <v>2026-01-04 22:24:37</v>
          </cell>
          <cell r="D193" t="str">
            <v>TUNDUMA BORDER TZ SIDE</v>
          </cell>
          <cell r="E193" t="str">
            <v>2026-01-04 22:27:36</v>
          </cell>
          <cell r="F193" t="str">
            <v>TUNDUMA BORDER TZ SIDE</v>
          </cell>
          <cell r="G193" t="str">
            <v>0:02:59</v>
          </cell>
          <cell r="H193">
            <v>0.16233600000000001</v>
          </cell>
        </row>
        <row r="194">
          <cell r="B194" t="str">
            <v>T491DYR</v>
          </cell>
          <cell r="C194" t="str">
            <v>2026-01-04 22:45:02</v>
          </cell>
          <cell r="D194" t="str">
            <v>TUNDUMA BORDER TZ SIDE</v>
          </cell>
          <cell r="E194" t="str">
            <v>2026-01-04 23:11:34</v>
          </cell>
          <cell r="F194" t="str">
            <v>NAKONDE ZM SIDE</v>
          </cell>
          <cell r="G194" t="str">
            <v>0:26:32</v>
          </cell>
          <cell r="H194">
            <v>6.7039629999999999</v>
          </cell>
        </row>
        <row r="195">
          <cell r="B195" t="str">
            <v>T498DYR</v>
          </cell>
          <cell r="C195" t="str">
            <v>2026-01-04 00:12:24</v>
          </cell>
          <cell r="D195" t="str">
            <v>KIOO</v>
          </cell>
          <cell r="E195" t="str">
            <v>2026-01-04 06:16:23</v>
          </cell>
          <cell r="F195" t="str">
            <v>MBAGALA YARD</v>
          </cell>
          <cell r="G195" t="str">
            <v>1:05:40</v>
          </cell>
          <cell r="H195">
            <v>26.066419</v>
          </cell>
        </row>
        <row r="196">
          <cell r="B196" t="str">
            <v>T498DYR</v>
          </cell>
          <cell r="C196" t="str">
            <v>2026-01-04 00:12:24</v>
          </cell>
          <cell r="D196" t="str">
            <v>KIOO</v>
          </cell>
          <cell r="E196" t="str">
            <v>2026-01-04 00:39:45</v>
          </cell>
          <cell r="F196" t="str">
            <v>DAR ES SALAAM</v>
          </cell>
          <cell r="G196" t="str">
            <v>0:27:21</v>
          </cell>
          <cell r="H196">
            <v>8.8505500000000001</v>
          </cell>
        </row>
        <row r="197">
          <cell r="B197" t="str">
            <v>T498DYR</v>
          </cell>
          <cell r="C197" t="str">
            <v>2026-01-04 05:38:04</v>
          </cell>
          <cell r="D197" t="str">
            <v>DAR ES SALAAM</v>
          </cell>
          <cell r="E197" t="str">
            <v>2026-01-04 06:16:23</v>
          </cell>
          <cell r="F197" t="str">
            <v>MBAGALA YARD</v>
          </cell>
          <cell r="G197" t="str">
            <v>0:38:19</v>
          </cell>
          <cell r="H197">
            <v>17.215869000000001</v>
          </cell>
        </row>
        <row r="198">
          <cell r="B198" t="str">
            <v>T510EBY</v>
          </cell>
          <cell r="C198" t="str">
            <v>2026-01-04 22:17:46</v>
          </cell>
          <cell r="D198" t="str">
            <v>TUNDUMA BORDER TZ SIDE</v>
          </cell>
          <cell r="E198" t="str">
            <v>2026-01-04 23:28:22</v>
          </cell>
          <cell r="F198" t="str">
            <v>NAKONDE ZM SIDE</v>
          </cell>
          <cell r="G198" t="str">
            <v>0:27:18</v>
          </cell>
          <cell r="H198">
            <v>7.2693399999999997</v>
          </cell>
        </row>
        <row r="199">
          <cell r="B199" t="str">
            <v>T510EBY</v>
          </cell>
          <cell r="C199" t="str">
            <v>2026-01-04 22:17:46</v>
          </cell>
          <cell r="D199" t="str">
            <v>TUNDUMA BORDER TZ SIDE</v>
          </cell>
          <cell r="E199" t="str">
            <v>2026-01-04 22:24:34</v>
          </cell>
          <cell r="F199" t="str">
            <v>TUNDUMA BORDER TZ SIDE</v>
          </cell>
          <cell r="G199" t="str">
            <v>0:06:48</v>
          </cell>
          <cell r="H199">
            <v>0.59456600000000004</v>
          </cell>
        </row>
        <row r="200">
          <cell r="B200" t="str">
            <v>T510EBY</v>
          </cell>
          <cell r="C200" t="str">
            <v>2026-01-04 22:39:25</v>
          </cell>
          <cell r="D200" t="str">
            <v>TUNDUMA BORDER TZ SIDE</v>
          </cell>
          <cell r="E200" t="str">
            <v>2026-01-04 22:42:08</v>
          </cell>
          <cell r="F200" t="str">
            <v>TUNDUMA BORDER TZ SIDE</v>
          </cell>
          <cell r="G200" t="str">
            <v>0:02:43</v>
          </cell>
          <cell r="H200">
            <v>0.15287000000000001</v>
          </cell>
        </row>
        <row r="201">
          <cell r="B201" t="str">
            <v>T510EBY</v>
          </cell>
          <cell r="C201" t="str">
            <v>2026-01-04 23:10:35</v>
          </cell>
          <cell r="D201" t="str">
            <v>Great North Road, Nakonde</v>
          </cell>
          <cell r="E201" t="str">
            <v>2026-01-04 23:28:22</v>
          </cell>
          <cell r="F201" t="str">
            <v>NAKONDE ZM SIDE</v>
          </cell>
          <cell r="G201" t="str">
            <v>0:17:47</v>
          </cell>
          <cell r="H201">
            <v>6.5219050000000003</v>
          </cell>
        </row>
        <row r="202">
          <cell r="B202" t="str">
            <v>T514EBY</v>
          </cell>
          <cell r="C202" t="str">
            <v>2026-01-04 01:01:38</v>
          </cell>
          <cell r="D202" t="str">
            <v>TUNDUMA PARKING</v>
          </cell>
          <cell r="E202" t="str">
            <v>2026-01-04 04:30:48</v>
          </cell>
          <cell r="F202" t="str">
            <v>NAKONDE ZM SIDE</v>
          </cell>
          <cell r="G202" t="str">
            <v>1:53:08</v>
          </cell>
          <cell r="H202">
            <v>18.442371999999999</v>
          </cell>
        </row>
        <row r="203">
          <cell r="B203" t="str">
            <v>T514EBY</v>
          </cell>
          <cell r="C203" t="str">
            <v>2026-01-04 01:01:38</v>
          </cell>
          <cell r="D203" t="str">
            <v>TUNDUMA PARKING</v>
          </cell>
          <cell r="E203" t="str">
            <v>2026-01-04 01:19:34</v>
          </cell>
          <cell r="F203" t="str">
            <v>TUNDUMA BORDER TZ SIDE</v>
          </cell>
          <cell r="G203" t="str">
            <v>0:17:56</v>
          </cell>
          <cell r="H203">
            <v>5.4959210000000001</v>
          </cell>
        </row>
        <row r="204">
          <cell r="B204" t="str">
            <v>T514EBY</v>
          </cell>
          <cell r="C204" t="str">
            <v>2026-01-04 01:29:42</v>
          </cell>
          <cell r="D204" t="str">
            <v>TUNDUMA BORDER TZ SIDE</v>
          </cell>
          <cell r="E204" t="str">
            <v>2026-01-04 01:34:32</v>
          </cell>
          <cell r="F204" t="str">
            <v>TUNDUMA BORDER TZ SIDE</v>
          </cell>
          <cell r="G204" t="str">
            <v>0:04:50</v>
          </cell>
          <cell r="H204">
            <v>0.24934600000000001</v>
          </cell>
        </row>
        <row r="205">
          <cell r="B205" t="str">
            <v>T514EBY</v>
          </cell>
          <cell r="C205" t="str">
            <v>2026-01-04 01:41:26</v>
          </cell>
          <cell r="D205" t="str">
            <v>TUNDUMA BORDER TZ SIDE</v>
          </cell>
          <cell r="E205" t="str">
            <v>2026-01-04 01:43:49</v>
          </cell>
          <cell r="F205" t="str">
            <v>TUNDUMA BORDER TZ SIDE</v>
          </cell>
          <cell r="G205" t="str">
            <v>0:02:23</v>
          </cell>
          <cell r="H205">
            <v>0.156418</v>
          </cell>
        </row>
        <row r="206">
          <cell r="B206" t="str">
            <v>T514EBY</v>
          </cell>
          <cell r="C206" t="str">
            <v>2026-01-04 02:07:15</v>
          </cell>
          <cell r="D206" t="str">
            <v>TUNDUMA BORDER TZ SIDE</v>
          </cell>
          <cell r="E206" t="str">
            <v>2026-01-04 02:31:53</v>
          </cell>
          <cell r="F206" t="str">
            <v>TUNDUMA BORDER TZ SIDE</v>
          </cell>
          <cell r="G206" t="str">
            <v>0:24:38</v>
          </cell>
          <cell r="H206">
            <v>4.7515210000000003</v>
          </cell>
        </row>
        <row r="207">
          <cell r="B207" t="str">
            <v>T514EBY</v>
          </cell>
          <cell r="C207" t="str">
            <v>2026-01-04 02:42:39</v>
          </cell>
          <cell r="D207" t="str">
            <v>TUNDUMA BORDER TZ SIDE</v>
          </cell>
          <cell r="E207" t="str">
            <v>2026-01-04 03:00:08</v>
          </cell>
          <cell r="F207" t="str">
            <v>TUNDUMA BORDER TZ SIDE</v>
          </cell>
          <cell r="G207" t="str">
            <v>0:17:29</v>
          </cell>
          <cell r="H207">
            <v>0.44667800000000002</v>
          </cell>
        </row>
        <row r="208">
          <cell r="B208" t="str">
            <v>T514EBY</v>
          </cell>
          <cell r="C208" t="str">
            <v>2026-01-04 03:10:30</v>
          </cell>
          <cell r="D208" t="str">
            <v>TUNDUMA BORDER TZ SIDE</v>
          </cell>
          <cell r="E208" t="str">
            <v>2026-01-04 03:22:54</v>
          </cell>
          <cell r="F208" t="str">
            <v>TUNDUMA BORDER TZ SIDE</v>
          </cell>
          <cell r="G208" t="str">
            <v>0:12:24</v>
          </cell>
          <cell r="H208">
            <v>0.28917599999999999</v>
          </cell>
        </row>
        <row r="209">
          <cell r="B209" t="str">
            <v>T514EBY</v>
          </cell>
          <cell r="C209" t="str">
            <v>2026-01-04 03:50:55</v>
          </cell>
          <cell r="D209" t="str">
            <v>TUNDUMA BORDER TZ SIDE</v>
          </cell>
          <cell r="E209" t="str">
            <v>2026-01-04 04:04:09</v>
          </cell>
          <cell r="F209" t="str">
            <v>TUNDUMA BORDER TZ SIDE</v>
          </cell>
          <cell r="G209" t="str">
            <v>0:13:14</v>
          </cell>
          <cell r="H209">
            <v>0.41422100000000001</v>
          </cell>
        </row>
        <row r="210">
          <cell r="B210" t="str">
            <v>T514EBY</v>
          </cell>
          <cell r="C210" t="str">
            <v>2026-01-04 04:10:34</v>
          </cell>
          <cell r="D210" t="str">
            <v>TUNDUMA BORDER TZ SIDE</v>
          </cell>
          <cell r="E210" t="str">
            <v>2026-01-04 04:30:48</v>
          </cell>
          <cell r="F210" t="str">
            <v>NAKONDE ZM SIDE</v>
          </cell>
          <cell r="G210" t="str">
            <v>0:20:14</v>
          </cell>
          <cell r="H210">
            <v>6.6390919999999998</v>
          </cell>
        </row>
        <row r="211">
          <cell r="B211" t="str">
            <v>T524EBY</v>
          </cell>
          <cell r="C211" t="str">
            <v>2026-01-04 01:30:01</v>
          </cell>
          <cell r="D211" t="str">
            <v>DAR ES SALAAM</v>
          </cell>
          <cell r="E211" t="str">
            <v>2026-01-04 02:17:52</v>
          </cell>
          <cell r="F211" t="str">
            <v>MBAGALA YARD</v>
          </cell>
          <cell r="G211" t="str">
            <v>0:35:17</v>
          </cell>
          <cell r="H211">
            <v>17.36966</v>
          </cell>
        </row>
        <row r="212">
          <cell r="B212" t="str">
            <v>T524EBY</v>
          </cell>
          <cell r="C212" t="str">
            <v>2026-01-04 01:30:01</v>
          </cell>
          <cell r="D212" t="str">
            <v>DAR ES SALAAM</v>
          </cell>
          <cell r="E212" t="str">
            <v>2026-01-04 01:39:01</v>
          </cell>
          <cell r="F212" t="str">
            <v>DAR ES SALAAM</v>
          </cell>
          <cell r="G212" t="str">
            <v>0:09:00</v>
          </cell>
          <cell r="H212">
            <v>3.2967909999999998</v>
          </cell>
        </row>
        <row r="213">
          <cell r="B213" t="str">
            <v>T524EBY</v>
          </cell>
          <cell r="C213" t="str">
            <v>2026-01-04 01:51:35</v>
          </cell>
          <cell r="D213" t="str">
            <v>DAR ES SALAAM</v>
          </cell>
          <cell r="E213" t="str">
            <v>2026-01-04 02:17:52</v>
          </cell>
          <cell r="F213" t="str">
            <v>MBAGALA YARD</v>
          </cell>
          <cell r="G213" t="str">
            <v>0:26:17</v>
          </cell>
          <cell r="H213">
            <v>14.07287</v>
          </cell>
        </row>
        <row r="214">
          <cell r="B214" t="str">
            <v>T525EBY</v>
          </cell>
          <cell r="C214" t="str">
            <v>2026-01-04 18:55:16</v>
          </cell>
          <cell r="D214" t="str">
            <v>KAMOA MINE DRC</v>
          </cell>
          <cell r="E214" t="str">
            <v>2026-01-04 19:02:33</v>
          </cell>
          <cell r="F214" t="str">
            <v>KAMOA MINE DRC</v>
          </cell>
          <cell r="G214" t="str">
            <v>0:07:17</v>
          </cell>
          <cell r="H214">
            <v>0.50826700000000002</v>
          </cell>
        </row>
        <row r="215">
          <cell r="B215" t="str">
            <v>T525EBY</v>
          </cell>
          <cell r="C215" t="str">
            <v>2026-01-04 18:55:16</v>
          </cell>
          <cell r="D215" t="str">
            <v>KAMOA MINE DRC</v>
          </cell>
          <cell r="E215" t="str">
            <v>2026-01-04 19:02:33</v>
          </cell>
          <cell r="F215" t="str">
            <v>KAMOA MINE DRC</v>
          </cell>
          <cell r="G215" t="str">
            <v>0:07:17</v>
          </cell>
          <cell r="H215">
            <v>0.50826700000000002</v>
          </cell>
        </row>
        <row r="216">
          <cell r="B216" t="str">
            <v>T568DYR</v>
          </cell>
          <cell r="C216" t="str">
            <v>2026-01-04 01:30:30</v>
          </cell>
          <cell r="D216" t="str">
            <v>DAR ES SALAAM</v>
          </cell>
          <cell r="E216" t="str">
            <v>2026-01-04 05:03:52</v>
          </cell>
          <cell r="F216" t="str">
            <v>GL KURASINI YARD</v>
          </cell>
          <cell r="G216" t="str">
            <v>0:55:10</v>
          </cell>
          <cell r="H216">
            <v>14.426646</v>
          </cell>
        </row>
        <row r="217">
          <cell r="B217" t="str">
            <v>T568DYR</v>
          </cell>
          <cell r="C217" t="str">
            <v>2026-01-04 01:30:30</v>
          </cell>
          <cell r="D217" t="str">
            <v>DAR ES SALAAM</v>
          </cell>
          <cell r="E217" t="str">
            <v>2026-01-04 01:45:16</v>
          </cell>
          <cell r="F217" t="str">
            <v>DAR ES SALAAM</v>
          </cell>
          <cell r="G217" t="str">
            <v>0:14:46</v>
          </cell>
          <cell r="H217">
            <v>0.35275899999999999</v>
          </cell>
        </row>
        <row r="218">
          <cell r="B218" t="str">
            <v>T568DYR</v>
          </cell>
          <cell r="C218" t="str">
            <v>2026-01-04 04:23:28</v>
          </cell>
          <cell r="D218" t="str">
            <v>DAR ES SALAAM</v>
          </cell>
          <cell r="E218" t="str">
            <v>2026-01-04 05:03:52</v>
          </cell>
          <cell r="F218" t="str">
            <v>GL KURASINI YARD</v>
          </cell>
          <cell r="G218" t="str">
            <v>0:40:24</v>
          </cell>
          <cell r="H218">
            <v>14.073886999999999</v>
          </cell>
        </row>
        <row r="219">
          <cell r="B219" t="str">
            <v>T578DTQ</v>
          </cell>
          <cell r="C219" t="str">
            <v>2026-01-04 20:07:09</v>
          </cell>
          <cell r="D219" t="str">
            <v>KASUMBALESA 114 PARKING</v>
          </cell>
          <cell r="E219" t="str">
            <v>2026-01-04 20:11:46</v>
          </cell>
          <cell r="F219" t="str">
            <v>KASUMBALESA 114 PARKING</v>
          </cell>
          <cell r="G219" t="str">
            <v>0:04:37</v>
          </cell>
          <cell r="H219">
            <v>0.40559099999999998</v>
          </cell>
        </row>
        <row r="220">
          <cell r="B220" t="str">
            <v>T578DTQ</v>
          </cell>
          <cell r="C220" t="str">
            <v>2026-01-04 20:07:09</v>
          </cell>
          <cell r="D220" t="str">
            <v>KASUMBALESA 114 PARKING</v>
          </cell>
          <cell r="E220" t="str">
            <v>2026-01-04 20:11:46</v>
          </cell>
          <cell r="F220" t="str">
            <v>KASUMBALESA 114 PARKING</v>
          </cell>
          <cell r="G220" t="str">
            <v>0:04:37</v>
          </cell>
          <cell r="H220">
            <v>0.40559099999999998</v>
          </cell>
        </row>
        <row r="221">
          <cell r="B221" t="str">
            <v>T578DYR</v>
          </cell>
          <cell r="C221" t="str">
            <v>2026-01-04 02:30:53</v>
          </cell>
          <cell r="D221" t="str">
            <v>DAR ES SALAAM</v>
          </cell>
          <cell r="E221" t="str">
            <v>2026-01-04 03:10:01</v>
          </cell>
          <cell r="F221" t="str">
            <v>MBAGALA YARD</v>
          </cell>
          <cell r="G221" t="str">
            <v>0:39:08</v>
          </cell>
          <cell r="H221">
            <v>17.369012000000001</v>
          </cell>
        </row>
        <row r="222">
          <cell r="B222" t="str">
            <v>T578DYR</v>
          </cell>
          <cell r="C222" t="str">
            <v>2026-01-04 02:30:53</v>
          </cell>
          <cell r="D222" t="str">
            <v>DAR ES SALAAM</v>
          </cell>
          <cell r="E222" t="str">
            <v>2026-01-04 03:10:01</v>
          </cell>
          <cell r="F222" t="str">
            <v>MBAGALA YARD</v>
          </cell>
          <cell r="G222" t="str">
            <v>0:39:08</v>
          </cell>
          <cell r="H222">
            <v>17.369012000000001</v>
          </cell>
        </row>
        <row r="223">
          <cell r="B223" t="str">
            <v>T581DTQ</v>
          </cell>
          <cell r="C223" t="str">
            <v>2026-01-04 00:07:23</v>
          </cell>
          <cell r="D223" t="str">
            <v>KIOO</v>
          </cell>
          <cell r="E223" t="str">
            <v>2026-01-04 05:40:58</v>
          </cell>
          <cell r="F223" t="str">
            <v>MBAGALA YARD</v>
          </cell>
          <cell r="G223" t="str">
            <v>1:29:50</v>
          </cell>
          <cell r="H223">
            <v>29.015076000000001</v>
          </cell>
        </row>
        <row r="224">
          <cell r="B224" t="str">
            <v>T581DTQ</v>
          </cell>
          <cell r="C224" t="str">
            <v>2026-01-04 00:07:23</v>
          </cell>
          <cell r="D224" t="str">
            <v>KIOO</v>
          </cell>
          <cell r="E224" t="str">
            <v>2026-01-04 00:43:27</v>
          </cell>
          <cell r="F224" t="str">
            <v>DAR ES SALAAM</v>
          </cell>
          <cell r="G224" t="str">
            <v>0:36:04</v>
          </cell>
          <cell r="H224">
            <v>11.60758</v>
          </cell>
        </row>
        <row r="225">
          <cell r="B225" t="str">
            <v>T581DTQ</v>
          </cell>
          <cell r="C225" t="str">
            <v>2026-01-04 04:34:09</v>
          </cell>
          <cell r="D225" t="str">
            <v>DAR ES SALAAM</v>
          </cell>
          <cell r="E225" t="str">
            <v>2026-01-04 04:54:22</v>
          </cell>
          <cell r="F225" t="str">
            <v>DAR ES SALAAM</v>
          </cell>
          <cell r="G225" t="str">
            <v>0:20:13</v>
          </cell>
          <cell r="H225">
            <v>3.304897</v>
          </cell>
        </row>
        <row r="226">
          <cell r="B226" t="str">
            <v>T581DTQ</v>
          </cell>
          <cell r="C226" t="str">
            <v>2026-01-04 05:07:25</v>
          </cell>
          <cell r="D226" t="str">
            <v>DAR ES SALAAM</v>
          </cell>
          <cell r="E226" t="str">
            <v>2026-01-04 05:40:58</v>
          </cell>
          <cell r="F226" t="str">
            <v>MBAGALA YARD</v>
          </cell>
          <cell r="G226" t="str">
            <v>0:33:33</v>
          </cell>
          <cell r="H226">
            <v>14.102600000000001</v>
          </cell>
        </row>
        <row r="227">
          <cell r="B227" t="str">
            <v>T587DTQ</v>
          </cell>
          <cell r="C227" t="str">
            <v>2026-01-04 01:37:28</v>
          </cell>
          <cell r="D227" t="str">
            <v>DAR ES SALAAM</v>
          </cell>
          <cell r="E227" t="str">
            <v>2026-01-04 02:30:53</v>
          </cell>
          <cell r="F227" t="str">
            <v>MBAGALA YARD</v>
          </cell>
          <cell r="G227" t="str">
            <v>0:40:48</v>
          </cell>
          <cell r="H227">
            <v>17.364063999999999</v>
          </cell>
        </row>
        <row r="228">
          <cell r="B228" t="str">
            <v>T587DTQ</v>
          </cell>
          <cell r="C228" t="str">
            <v>2026-01-04 01:37:28</v>
          </cell>
          <cell r="D228" t="str">
            <v>DAR ES SALAAM</v>
          </cell>
          <cell r="E228" t="str">
            <v>2026-01-04 01:48:24</v>
          </cell>
          <cell r="F228" t="str">
            <v>DAR ES SALAAM</v>
          </cell>
          <cell r="G228" t="str">
            <v>0:10:56</v>
          </cell>
          <cell r="H228">
            <v>0.28887600000000002</v>
          </cell>
        </row>
        <row r="229">
          <cell r="B229" t="str">
            <v>T587DTQ</v>
          </cell>
          <cell r="C229" t="str">
            <v>2026-01-04 02:01:01</v>
          </cell>
          <cell r="D229" t="str">
            <v>DAR ES SALAAM</v>
          </cell>
          <cell r="E229" t="str">
            <v>2026-01-04 02:30:53</v>
          </cell>
          <cell r="F229" t="str">
            <v>MBAGALA YARD</v>
          </cell>
          <cell r="G229" t="str">
            <v>0:29:52</v>
          </cell>
          <cell r="H229">
            <v>17.075188000000001</v>
          </cell>
        </row>
        <row r="230">
          <cell r="B230" t="str">
            <v>T588DTQ</v>
          </cell>
          <cell r="C230" t="str">
            <v>2026-01-04 18:54:31</v>
          </cell>
          <cell r="D230" t="str">
            <v>Dar Es Salaam, Morogoro Road</v>
          </cell>
          <cell r="E230" t="str">
            <v>2026-01-04 20:37:58</v>
          </cell>
          <cell r="F230" t="str">
            <v>UBUNGO ACCESS WORLD</v>
          </cell>
          <cell r="G230" t="str">
            <v>0:48:02</v>
          </cell>
          <cell r="H230">
            <v>16.563058999999999</v>
          </cell>
        </row>
        <row r="231">
          <cell r="B231" t="str">
            <v>T588DTQ</v>
          </cell>
          <cell r="C231" t="str">
            <v>2026-01-04 18:54:31</v>
          </cell>
          <cell r="D231" t="str">
            <v>Dar Es Salaam, Morogoro Road</v>
          </cell>
          <cell r="E231" t="str">
            <v>2026-01-04 19:35:55</v>
          </cell>
          <cell r="F231" t="str">
            <v>DAR ES SALAAM</v>
          </cell>
          <cell r="G231" t="str">
            <v>0:41:24</v>
          </cell>
          <cell r="H231">
            <v>16.245547999999999</v>
          </cell>
        </row>
        <row r="232">
          <cell r="B232" t="str">
            <v>T588DTQ</v>
          </cell>
          <cell r="C232" t="str">
            <v>2026-01-04 20:31:20</v>
          </cell>
          <cell r="D232" t="str">
            <v>DAR ES SALAAM</v>
          </cell>
          <cell r="E232" t="str">
            <v>2026-01-04 20:37:58</v>
          </cell>
          <cell r="F232" t="str">
            <v>UBUNGO ACCESS WORLD</v>
          </cell>
          <cell r="G232" t="str">
            <v>0:06:38</v>
          </cell>
          <cell r="H232">
            <v>0.31751099999999999</v>
          </cell>
        </row>
        <row r="233">
          <cell r="B233" t="str">
            <v>T589DYR</v>
          </cell>
          <cell r="C233" t="str">
            <v>2026-01-04 01:54:41</v>
          </cell>
          <cell r="D233" t="str">
            <v>DAR ES SALAAM</v>
          </cell>
          <cell r="E233" t="str">
            <v>2026-01-04 02:45:35</v>
          </cell>
          <cell r="F233" t="str">
            <v>MBAGALA YARD</v>
          </cell>
          <cell r="G233" t="str">
            <v>0:50:54</v>
          </cell>
          <cell r="H233">
            <v>17.445454999999999</v>
          </cell>
        </row>
        <row r="234">
          <cell r="B234" t="str">
            <v>T589DYR</v>
          </cell>
          <cell r="C234" t="str">
            <v>2026-01-04 01:54:41</v>
          </cell>
          <cell r="D234" t="str">
            <v>DAR ES SALAAM</v>
          </cell>
          <cell r="E234" t="str">
            <v>2026-01-04 02:45:35</v>
          </cell>
          <cell r="F234" t="str">
            <v>MBAGALA YARD</v>
          </cell>
          <cell r="G234" t="str">
            <v>0:50:54</v>
          </cell>
          <cell r="H234">
            <v>17.445454999999999</v>
          </cell>
        </row>
        <row r="235">
          <cell r="B235" t="str">
            <v>T601DTQ</v>
          </cell>
          <cell r="C235" t="str">
            <v>2026-01-04 00:00:07</v>
          </cell>
          <cell r="D235" t="str">
            <v>DAR ES SALAAM</v>
          </cell>
          <cell r="E235" t="str">
            <v>2026-01-04 02:26:25</v>
          </cell>
          <cell r="F235" t="str">
            <v>MBAGALA YARD</v>
          </cell>
          <cell r="G235" t="str">
            <v>0:58:39</v>
          </cell>
          <cell r="H235">
            <v>19.370260999999999</v>
          </cell>
        </row>
        <row r="236">
          <cell r="B236" t="str">
            <v>T601DTQ</v>
          </cell>
          <cell r="C236" t="str">
            <v>2026-01-04 00:00:07</v>
          </cell>
          <cell r="D236" t="str">
            <v>DAR ES SALAAM</v>
          </cell>
          <cell r="E236" t="str">
            <v>2026-01-04 00:05:51</v>
          </cell>
          <cell r="F236" t="str">
            <v>DAR ES SALAAM</v>
          </cell>
          <cell r="G236" t="str">
            <v>0:05:44</v>
          </cell>
          <cell r="H236">
            <v>3.0961180000000001</v>
          </cell>
        </row>
        <row r="237">
          <cell r="B237" t="str">
            <v>T601DTQ</v>
          </cell>
          <cell r="C237" t="str">
            <v>2026-01-04 00:14:41</v>
          </cell>
          <cell r="D237" t="str">
            <v>DAR ES SALAAM</v>
          </cell>
          <cell r="E237" t="str">
            <v>2026-01-04 00:36:05</v>
          </cell>
          <cell r="F237" t="str">
            <v>GALCO ICD MBOZI</v>
          </cell>
          <cell r="G237" t="str">
            <v>0:21:24</v>
          </cell>
          <cell r="H237">
            <v>5.6517099999999996</v>
          </cell>
        </row>
        <row r="238">
          <cell r="B238" t="str">
            <v>T601DTQ</v>
          </cell>
          <cell r="C238" t="str">
            <v>2026-01-04 00:47:20</v>
          </cell>
          <cell r="D238" t="str">
            <v>GALCO ICD MBOZI</v>
          </cell>
          <cell r="E238" t="str">
            <v>2026-01-04 01:16:36</v>
          </cell>
          <cell r="F238" t="str">
            <v>MBAGALA YARD</v>
          </cell>
          <cell r="G238" t="str">
            <v>0:29:16</v>
          </cell>
          <cell r="H238">
            <v>10.325953999999999</v>
          </cell>
        </row>
        <row r="239">
          <cell r="B239" t="str">
            <v>T601DTQ</v>
          </cell>
          <cell r="C239" t="str">
            <v>2026-01-04 02:24:10</v>
          </cell>
          <cell r="D239" t="str">
            <v>MBAGALA YARD</v>
          </cell>
          <cell r="E239" t="str">
            <v>2026-01-04 02:26:25</v>
          </cell>
          <cell r="F239" t="str">
            <v>MBAGALA YARD</v>
          </cell>
          <cell r="G239" t="str">
            <v>0:02:15</v>
          </cell>
          <cell r="H239">
            <v>0.29647899999999999</v>
          </cell>
        </row>
        <row r="240">
          <cell r="B240" t="str">
            <v>T602DTQ</v>
          </cell>
          <cell r="C240" t="str">
            <v>2026-01-04 00:32:44</v>
          </cell>
          <cell r="D240" t="str">
            <v>KIOO</v>
          </cell>
          <cell r="E240" t="str">
            <v>2026-01-04 06:06:58</v>
          </cell>
          <cell r="F240" t="str">
            <v>DAR ES SALAAM</v>
          </cell>
          <cell r="G240" t="str">
            <v>1:06:57</v>
          </cell>
          <cell r="H240">
            <v>20.854994000000001</v>
          </cell>
        </row>
        <row r="241">
          <cell r="B241" t="str">
            <v>T602DTQ</v>
          </cell>
          <cell r="C241" t="str">
            <v>2026-01-04 00:32:44</v>
          </cell>
          <cell r="D241" t="str">
            <v>KIOO</v>
          </cell>
          <cell r="E241" t="str">
            <v>2026-01-04 00:50:18</v>
          </cell>
          <cell r="F241" t="str">
            <v>DAR ES SALAAM</v>
          </cell>
          <cell r="G241" t="str">
            <v>0:17:34</v>
          </cell>
          <cell r="H241">
            <v>5.5709600000000004</v>
          </cell>
        </row>
        <row r="242">
          <cell r="B242" t="str">
            <v>T602DTQ</v>
          </cell>
          <cell r="C242" t="str">
            <v>2026-01-04 01:01:44</v>
          </cell>
          <cell r="D242" t="str">
            <v>DAR ES SALAAM</v>
          </cell>
          <cell r="E242" t="str">
            <v>2026-01-04 01:19:41</v>
          </cell>
          <cell r="F242" t="str">
            <v>DAR ES SALAAM</v>
          </cell>
          <cell r="G242" t="str">
            <v>0:17:57</v>
          </cell>
          <cell r="H242">
            <v>3.1867529999999999</v>
          </cell>
        </row>
        <row r="243">
          <cell r="B243" t="str">
            <v>T602DTQ</v>
          </cell>
          <cell r="C243" t="str">
            <v>2026-01-04 04:43:51</v>
          </cell>
          <cell r="D243" t="str">
            <v>DAR ES SALAAM</v>
          </cell>
          <cell r="E243" t="str">
            <v>2026-01-04 04:59:03</v>
          </cell>
          <cell r="F243" t="str">
            <v>DAR ES SALAAM</v>
          </cell>
          <cell r="G243" t="str">
            <v>0:15:12</v>
          </cell>
          <cell r="H243">
            <v>3.307823</v>
          </cell>
        </row>
        <row r="244">
          <cell r="B244" t="str">
            <v>T602DTQ</v>
          </cell>
          <cell r="C244" t="str">
            <v>2026-01-04 05:50:44</v>
          </cell>
          <cell r="D244" t="str">
            <v>DAR ES SALAAM</v>
          </cell>
          <cell r="E244" t="str">
            <v>2026-01-04 06:06:58</v>
          </cell>
          <cell r="F244" t="str">
            <v>DAR ES SALAAM</v>
          </cell>
          <cell r="G244" t="str">
            <v>0:16:14</v>
          </cell>
          <cell r="H244">
            <v>8.7894579999999998</v>
          </cell>
        </row>
        <row r="245">
          <cell r="B245" t="str">
            <v>T603DTQ</v>
          </cell>
          <cell r="C245" t="str">
            <v>2026-01-04 20:40:46</v>
          </cell>
          <cell r="D245" t="str">
            <v>TENKE FUNGURUME MINE DRC</v>
          </cell>
          <cell r="E245" t="str">
            <v>2026-01-04 20:54:59</v>
          </cell>
          <cell r="F245" t="str">
            <v>TENKE FUNGURUME MINE DRC</v>
          </cell>
          <cell r="G245" t="str">
            <v>0:14:13</v>
          </cell>
          <cell r="H245">
            <v>1.175983</v>
          </cell>
        </row>
        <row r="246">
          <cell r="B246" t="str">
            <v>T603DTQ</v>
          </cell>
          <cell r="C246" t="str">
            <v>2026-01-04 20:40:46</v>
          </cell>
          <cell r="D246" t="str">
            <v>TENKE FUNGURUME MINE DRC</v>
          </cell>
          <cell r="E246" t="str">
            <v>2026-01-04 20:54:59</v>
          </cell>
          <cell r="F246" t="str">
            <v>TENKE FUNGURUME MINE DRC</v>
          </cell>
          <cell r="G246" t="str">
            <v>0:14:13</v>
          </cell>
          <cell r="H246">
            <v>1.175983</v>
          </cell>
        </row>
        <row r="247">
          <cell r="B247" t="str">
            <v>T697DEB</v>
          </cell>
          <cell r="C247" t="str">
            <v>2026-01-04 20:27:42</v>
          </cell>
          <cell r="D247" t="str">
            <v>NDOLA</v>
          </cell>
          <cell r="E247" t="str">
            <v>2026-01-04 20:51:53</v>
          </cell>
          <cell r="F247" t="str">
            <v>CRAFTER YARD NDOLA</v>
          </cell>
          <cell r="G247" t="str">
            <v>0:24:11</v>
          </cell>
          <cell r="H247">
            <v>5.8804040000000004</v>
          </cell>
        </row>
        <row r="248">
          <cell r="B248" t="str">
            <v>T697DEB</v>
          </cell>
          <cell r="C248" t="str">
            <v>2026-01-04 20:27:42</v>
          </cell>
          <cell r="D248" t="str">
            <v>NDOLA</v>
          </cell>
          <cell r="E248" t="str">
            <v>2026-01-04 20:51:53</v>
          </cell>
          <cell r="F248" t="str">
            <v>CRAFTER YARD NDOLA</v>
          </cell>
          <cell r="G248" t="str">
            <v>0:24:11</v>
          </cell>
          <cell r="H248">
            <v>5.8804040000000004</v>
          </cell>
        </row>
        <row r="249">
          <cell r="B249" t="str">
            <v>T699EBX</v>
          </cell>
          <cell r="C249" t="str">
            <v>2026-01-04 00:18:51</v>
          </cell>
          <cell r="D249" t="str">
            <v>DAR ES SALAAM</v>
          </cell>
          <cell r="E249" t="str">
            <v>2026-01-04 06:06:06</v>
          </cell>
          <cell r="F249" t="str">
            <v>MBAGALA YARD</v>
          </cell>
          <cell r="G249" t="str">
            <v>0:56:28</v>
          </cell>
          <cell r="H249">
            <v>25.643567000000001</v>
          </cell>
        </row>
        <row r="250">
          <cell r="B250" t="str">
            <v>T699EBX</v>
          </cell>
          <cell r="C250" t="str">
            <v>2026-01-04 00:18:51</v>
          </cell>
          <cell r="D250" t="str">
            <v>DAR ES SALAAM</v>
          </cell>
          <cell r="E250" t="str">
            <v>2026-01-04 00:37:51</v>
          </cell>
          <cell r="F250" t="str">
            <v>DAR ES SALAAM</v>
          </cell>
          <cell r="G250" t="str">
            <v>0:19:00</v>
          </cell>
          <cell r="H250">
            <v>8.4882229999999996</v>
          </cell>
        </row>
        <row r="251">
          <cell r="B251" t="str">
            <v>T699EBX</v>
          </cell>
          <cell r="C251" t="str">
            <v>2026-01-04 05:28:38</v>
          </cell>
          <cell r="D251" t="str">
            <v>DAR ES SALAAM</v>
          </cell>
          <cell r="E251" t="str">
            <v>2026-01-04 06:06:06</v>
          </cell>
          <cell r="F251" t="str">
            <v>MBAGALA YARD</v>
          </cell>
          <cell r="G251" t="str">
            <v>0:37:28</v>
          </cell>
          <cell r="H251">
            <v>17.155343999999999</v>
          </cell>
        </row>
        <row r="252">
          <cell r="B252" t="str">
            <v>T703DYR</v>
          </cell>
          <cell r="C252" t="str">
            <v>2026-01-04 00:00:15</v>
          </cell>
          <cell r="D252" t="str">
            <v>DAR ES SALAAM</v>
          </cell>
          <cell r="E252" t="str">
            <v>2026-01-04 04:22:36</v>
          </cell>
          <cell r="F252" t="str">
            <v>MBAGALA YARD</v>
          </cell>
          <cell r="G252" t="str">
            <v>0:57:37</v>
          </cell>
          <cell r="H252">
            <v>24.550898</v>
          </cell>
        </row>
        <row r="253">
          <cell r="B253" t="str">
            <v>T703DYR</v>
          </cell>
          <cell r="C253" t="str">
            <v>2026-01-04 00:00:15</v>
          </cell>
          <cell r="D253" t="str">
            <v>DAR ES SALAAM</v>
          </cell>
          <cell r="E253" t="str">
            <v>2026-01-04 00:18:02</v>
          </cell>
          <cell r="F253" t="str">
            <v>DAR ES SALAAM</v>
          </cell>
          <cell r="G253" t="str">
            <v>0:17:47</v>
          </cell>
          <cell r="H253">
            <v>7.3624830000000001</v>
          </cell>
        </row>
        <row r="254">
          <cell r="B254" t="str">
            <v>T703DYR</v>
          </cell>
          <cell r="C254" t="str">
            <v>2026-01-04 03:33:07</v>
          </cell>
          <cell r="D254" t="str">
            <v>DAR ES SALAAM</v>
          </cell>
          <cell r="E254" t="str">
            <v>2026-01-04 03:42:49</v>
          </cell>
          <cell r="F254" t="str">
            <v>DAR ES SALAAM</v>
          </cell>
          <cell r="G254" t="str">
            <v>0:09:42</v>
          </cell>
          <cell r="H254">
            <v>0.162552</v>
          </cell>
        </row>
        <row r="255">
          <cell r="B255" t="str">
            <v>T703DYR</v>
          </cell>
          <cell r="C255" t="str">
            <v>2026-01-04 03:52:28</v>
          </cell>
          <cell r="D255" t="str">
            <v>DAR ES SALAAM</v>
          </cell>
          <cell r="E255" t="str">
            <v>2026-01-04 04:22:36</v>
          </cell>
          <cell r="F255" t="str">
            <v>MBAGALA YARD</v>
          </cell>
          <cell r="G255" t="str">
            <v>0:30:08</v>
          </cell>
          <cell r="H255">
            <v>17.025863999999999</v>
          </cell>
        </row>
        <row r="256">
          <cell r="B256" t="str">
            <v>T704DYR</v>
          </cell>
          <cell r="C256" t="str">
            <v>2026-01-04 19:11:16</v>
          </cell>
          <cell r="D256" t="str">
            <v>GENERAL PARKING - LUBUMBASHI</v>
          </cell>
          <cell r="E256" t="str">
            <v>2026-01-04 20:53:57</v>
          </cell>
          <cell r="F256" t="str">
            <v>LUBUMBASHI</v>
          </cell>
          <cell r="G256" t="str">
            <v>1:42:41</v>
          </cell>
          <cell r="H256">
            <v>43.948517000000002</v>
          </cell>
        </row>
        <row r="257">
          <cell r="B257" t="str">
            <v>T704DYR</v>
          </cell>
          <cell r="C257" t="str">
            <v>2026-01-04 19:11:16</v>
          </cell>
          <cell r="D257" t="str">
            <v>GENERAL PARKING - LUBUMBASHI</v>
          </cell>
          <cell r="E257" t="str">
            <v>2026-01-04 20:53:57</v>
          </cell>
          <cell r="F257" t="str">
            <v>LUBUMBASHI</v>
          </cell>
          <cell r="G257" t="str">
            <v>1:42:41</v>
          </cell>
          <cell r="H257">
            <v>43.948517000000002</v>
          </cell>
        </row>
        <row r="258">
          <cell r="B258" t="str">
            <v>T708EBX</v>
          </cell>
          <cell r="C258" t="str">
            <v>2026-01-04 20:21:19</v>
          </cell>
          <cell r="D258" t="str">
            <v>TENKE FUNGURUME MINE DRC</v>
          </cell>
          <cell r="E258" t="str">
            <v>2026-01-04 20:55:51</v>
          </cell>
          <cell r="F258" t="str">
            <v>TENKE FUNGURUME MINE DRC</v>
          </cell>
          <cell r="G258" t="str">
            <v>0:11:56</v>
          </cell>
          <cell r="H258">
            <v>0.92339000000000004</v>
          </cell>
        </row>
        <row r="259">
          <cell r="B259" t="str">
            <v>T708EBX</v>
          </cell>
          <cell r="C259" t="str">
            <v>2026-01-04 20:21:19</v>
          </cell>
          <cell r="D259" t="str">
            <v>TENKE FUNGURUME MINE DRC</v>
          </cell>
          <cell r="E259" t="str">
            <v>2026-01-04 20:25:16</v>
          </cell>
          <cell r="F259" t="str">
            <v>TENKE FUNGURUME MINE DRC</v>
          </cell>
          <cell r="G259" t="str">
            <v>0:03:57</v>
          </cell>
          <cell r="H259">
            <v>0.26813799999999999</v>
          </cell>
        </row>
        <row r="260">
          <cell r="B260" t="str">
            <v>T708EBX</v>
          </cell>
          <cell r="C260" t="str">
            <v>2026-01-04 20:47:52</v>
          </cell>
          <cell r="D260" t="str">
            <v>TENKE FUNGURUME MINE DRC</v>
          </cell>
          <cell r="E260" t="str">
            <v>2026-01-04 20:55:51</v>
          </cell>
          <cell r="F260" t="str">
            <v>TENKE FUNGURUME MINE DRC</v>
          </cell>
          <cell r="G260" t="str">
            <v>0:07:59</v>
          </cell>
          <cell r="H260">
            <v>0.65525199999999995</v>
          </cell>
        </row>
        <row r="261">
          <cell r="B261" t="str">
            <v>T713DYR</v>
          </cell>
          <cell r="C261" t="str">
            <v>2026-01-04 19:08:46</v>
          </cell>
          <cell r="D261" t="str">
            <v>GENERAL PARKING - LUBUMBASHI</v>
          </cell>
          <cell r="E261" t="str">
            <v>2026-01-04 20:57:36</v>
          </cell>
          <cell r="F261" t="str">
            <v>LUBUMBASHI</v>
          </cell>
          <cell r="G261" t="str">
            <v>1:43:15</v>
          </cell>
          <cell r="H261">
            <v>43.928642000000004</v>
          </cell>
        </row>
        <row r="262">
          <cell r="B262" t="str">
            <v>T713DYR</v>
          </cell>
          <cell r="C262" t="str">
            <v>2026-01-04 19:08:46</v>
          </cell>
          <cell r="D262" t="str">
            <v>GENERAL PARKING - LUBUMBASHI</v>
          </cell>
          <cell r="E262" t="str">
            <v>2026-01-04 19:14:24</v>
          </cell>
          <cell r="F262" t="str">
            <v>GENERAL PARKING - LUBUMBASHI</v>
          </cell>
          <cell r="G262" t="str">
            <v>0:05:38</v>
          </cell>
          <cell r="H262">
            <v>0.27123999999999998</v>
          </cell>
        </row>
        <row r="263">
          <cell r="B263" t="str">
            <v>T713DYR</v>
          </cell>
          <cell r="C263" t="str">
            <v>2026-01-04 19:19:59</v>
          </cell>
          <cell r="D263" t="str">
            <v>GENERAL PARKING - LUBUMBASHI</v>
          </cell>
          <cell r="E263" t="str">
            <v>2026-01-04 20:57:36</v>
          </cell>
          <cell r="F263" t="str">
            <v>LUBUMBASHI</v>
          </cell>
          <cell r="G263" t="str">
            <v>1:37:37</v>
          </cell>
          <cell r="H263">
            <v>43.657401999999998</v>
          </cell>
        </row>
        <row r="264">
          <cell r="B264" t="str">
            <v>T719EBX</v>
          </cell>
          <cell r="C264" t="str">
            <v>2026-01-04 00:10:57</v>
          </cell>
          <cell r="D264" t="str">
            <v>KIOO</v>
          </cell>
          <cell r="E264" t="str">
            <v>2026-01-04 04:04:49</v>
          </cell>
          <cell r="F264" t="str">
            <v>MBAGALA YARD</v>
          </cell>
          <cell r="G264" t="str">
            <v>1:03:03</v>
          </cell>
          <cell r="H264">
            <v>25.760031999999999</v>
          </cell>
        </row>
        <row r="265">
          <cell r="B265" t="str">
            <v>T719EBX</v>
          </cell>
          <cell r="C265" t="str">
            <v>2026-01-04 00:10:57</v>
          </cell>
          <cell r="D265" t="str">
            <v>KIOO</v>
          </cell>
          <cell r="E265" t="str">
            <v>2026-01-04 00:34:50</v>
          </cell>
          <cell r="F265" t="str">
            <v>DAR ES SALAAM</v>
          </cell>
          <cell r="G265" t="str">
            <v>0:23:53</v>
          </cell>
          <cell r="H265">
            <v>5.3843690000000004</v>
          </cell>
        </row>
        <row r="266">
          <cell r="B266" t="str">
            <v>T719EBX</v>
          </cell>
          <cell r="C266" t="str">
            <v>2026-01-04 00:45:39</v>
          </cell>
          <cell r="D266" t="str">
            <v>DAR ES SALAAM</v>
          </cell>
          <cell r="E266" t="str">
            <v>2026-01-04 00:48:50</v>
          </cell>
          <cell r="F266" t="str">
            <v>DAR ES SALAAM</v>
          </cell>
          <cell r="G266" t="str">
            <v>0:03:11</v>
          </cell>
          <cell r="H266">
            <v>1.1187720000000001</v>
          </cell>
        </row>
        <row r="267">
          <cell r="B267" t="str">
            <v>T719EBX</v>
          </cell>
          <cell r="C267" t="str">
            <v>2026-01-04 01:07:04</v>
          </cell>
          <cell r="D267" t="str">
            <v>DAR ES SALAAM</v>
          </cell>
          <cell r="E267" t="str">
            <v>2026-01-04 01:12:28</v>
          </cell>
          <cell r="F267" t="str">
            <v>DAR ES SALAAM</v>
          </cell>
          <cell r="G267" t="str">
            <v>0:05:24</v>
          </cell>
          <cell r="H267">
            <v>2.0439159999999998</v>
          </cell>
        </row>
        <row r="268">
          <cell r="B268" t="str">
            <v>T719EBX</v>
          </cell>
          <cell r="C268" t="str">
            <v>2026-01-04 03:25:14</v>
          </cell>
          <cell r="D268" t="str">
            <v>DAR ES SALAAM</v>
          </cell>
          <cell r="E268" t="str">
            <v>2026-01-04 03:30:01</v>
          </cell>
          <cell r="F268" t="str">
            <v>DAR ES SALAAM</v>
          </cell>
          <cell r="G268" t="str">
            <v>0:04:47</v>
          </cell>
          <cell r="H268">
            <v>1.7478720000000001</v>
          </cell>
        </row>
        <row r="269">
          <cell r="B269" t="str">
            <v>T719EBX</v>
          </cell>
          <cell r="C269" t="str">
            <v>2026-01-04 03:39:01</v>
          </cell>
          <cell r="D269" t="str">
            <v>DAR ES SALAAM</v>
          </cell>
          <cell r="E269" t="str">
            <v>2026-01-04 04:04:49</v>
          </cell>
          <cell r="F269" t="str">
            <v>MBAGALA YARD</v>
          </cell>
          <cell r="G269" t="str">
            <v>0:25:48</v>
          </cell>
          <cell r="H269">
            <v>15.465102999999999</v>
          </cell>
        </row>
        <row r="270">
          <cell r="B270" t="str">
            <v>T720DYR</v>
          </cell>
          <cell r="C270" t="str">
            <v>2026-01-04 21:23:57</v>
          </cell>
          <cell r="D270" t="str">
            <v>TUNDUMA BORDER TZ SIDE</v>
          </cell>
          <cell r="E270" t="str">
            <v>2026-01-04 23:23:45</v>
          </cell>
          <cell r="F270" t="str">
            <v>TUNDUMA BORDER TZ SIDE</v>
          </cell>
          <cell r="G270" t="str">
            <v>0:08:47</v>
          </cell>
          <cell r="H270">
            <v>0.46871800000000002</v>
          </cell>
        </row>
        <row r="271">
          <cell r="B271" t="str">
            <v>T720DYR</v>
          </cell>
          <cell r="C271" t="str">
            <v>2026-01-04 21:23:57</v>
          </cell>
          <cell r="D271" t="str">
            <v>TUNDUMA BORDER TZ SIDE</v>
          </cell>
          <cell r="E271" t="str">
            <v>2026-01-04 21:27:54</v>
          </cell>
          <cell r="F271" t="str">
            <v>TUNDUMA BORDER TZ SIDE</v>
          </cell>
          <cell r="G271" t="str">
            <v>0:03:57</v>
          </cell>
          <cell r="H271">
            <v>0.32753900000000002</v>
          </cell>
        </row>
        <row r="272">
          <cell r="B272" t="str">
            <v>T720DYR</v>
          </cell>
          <cell r="C272" t="str">
            <v>2026-01-04 23:18:55</v>
          </cell>
          <cell r="D272" t="str">
            <v>TUNDUMA BORDER TZ SIDE</v>
          </cell>
          <cell r="E272" t="str">
            <v>2026-01-04 23:23:45</v>
          </cell>
          <cell r="F272" t="str">
            <v>TUNDUMA BORDER TZ SIDE</v>
          </cell>
          <cell r="G272" t="str">
            <v>0:04:50</v>
          </cell>
          <cell r="H272">
            <v>0.14118</v>
          </cell>
        </row>
        <row r="273">
          <cell r="B273" t="str">
            <v>T723DYR</v>
          </cell>
          <cell r="C273" t="str">
            <v>2026-01-04 01:10:02</v>
          </cell>
          <cell r="D273" t="str">
            <v>DAR ES SALAAM</v>
          </cell>
          <cell r="E273" t="str">
            <v>2026-01-04 02:18:16</v>
          </cell>
          <cell r="F273" t="str">
            <v>MBAGALA YARD</v>
          </cell>
          <cell r="G273" t="str">
            <v>0:47:31</v>
          </cell>
          <cell r="H273">
            <v>17.522368</v>
          </cell>
        </row>
        <row r="274">
          <cell r="B274" t="str">
            <v>T723DYR</v>
          </cell>
          <cell r="C274" t="str">
            <v>2026-01-04 01:10:02</v>
          </cell>
          <cell r="D274" t="str">
            <v>DAR ES SALAAM</v>
          </cell>
          <cell r="E274" t="str">
            <v>2026-01-04 01:21:16</v>
          </cell>
          <cell r="F274" t="str">
            <v>DAR ES SALAAM</v>
          </cell>
          <cell r="G274" t="str">
            <v>0:11:14</v>
          </cell>
          <cell r="H274">
            <v>0.23690800000000001</v>
          </cell>
        </row>
        <row r="275">
          <cell r="B275" t="str">
            <v>T723DYR</v>
          </cell>
          <cell r="C275" t="str">
            <v>2026-01-04 01:29:08</v>
          </cell>
          <cell r="D275" t="str">
            <v>DAR ES SALAAM</v>
          </cell>
          <cell r="E275" t="str">
            <v>2026-01-04 01:38:28</v>
          </cell>
          <cell r="F275" t="str">
            <v>DAR ES SALAAM</v>
          </cell>
          <cell r="G275" t="str">
            <v>0:09:20</v>
          </cell>
          <cell r="H275">
            <v>3.198655</v>
          </cell>
        </row>
        <row r="276">
          <cell r="B276" t="str">
            <v>T723DYR</v>
          </cell>
          <cell r="C276" t="str">
            <v>2026-01-04 01:51:19</v>
          </cell>
          <cell r="D276" t="str">
            <v>DAR ES SALAAM</v>
          </cell>
          <cell r="E276" t="str">
            <v>2026-01-04 02:18:16</v>
          </cell>
          <cell r="F276" t="str">
            <v>MBAGALA YARD</v>
          </cell>
          <cell r="G276" t="str">
            <v>0:26:57</v>
          </cell>
          <cell r="H276">
            <v>14.086804000000001</v>
          </cell>
        </row>
        <row r="277">
          <cell r="B277" t="str">
            <v>T727DYR</v>
          </cell>
          <cell r="C277" t="str">
            <v>2026-01-04 00:16:42</v>
          </cell>
          <cell r="D277" t="str">
            <v>GALCO ICD MBOZI</v>
          </cell>
          <cell r="E277" t="str">
            <v>2026-01-04 01:11:13</v>
          </cell>
          <cell r="F277" t="str">
            <v>MBAGALA YARD</v>
          </cell>
          <cell r="G277" t="str">
            <v>0:54:31</v>
          </cell>
          <cell r="H277">
            <v>12.043098000000001</v>
          </cell>
        </row>
        <row r="278">
          <cell r="B278" t="str">
            <v>T727DYR</v>
          </cell>
          <cell r="C278" t="str">
            <v>2026-01-04 00:16:42</v>
          </cell>
          <cell r="D278" t="str">
            <v>GALCO ICD MBOZI</v>
          </cell>
          <cell r="E278" t="str">
            <v>2026-01-04 01:11:13</v>
          </cell>
          <cell r="F278" t="str">
            <v>MBAGALA YARD</v>
          </cell>
          <cell r="G278" t="str">
            <v>0:54:31</v>
          </cell>
          <cell r="H278">
            <v>12.043098000000001</v>
          </cell>
        </row>
        <row r="279">
          <cell r="B279" t="str">
            <v>T728DYR</v>
          </cell>
          <cell r="C279" t="str">
            <v>2026-01-04 18:55:18</v>
          </cell>
          <cell r="D279" t="str">
            <v>TUNDUMA BORDER TZ SIDE</v>
          </cell>
          <cell r="E279" t="str">
            <v>2026-01-04 22:23:28</v>
          </cell>
          <cell r="F279" t="str">
            <v>NAKONDE ZM SIDE</v>
          </cell>
          <cell r="G279" t="str">
            <v>0:54:49</v>
          </cell>
          <cell r="H279">
            <v>7.8827619999999996</v>
          </cell>
        </row>
        <row r="280">
          <cell r="B280" t="str">
            <v>T728DYR</v>
          </cell>
          <cell r="C280" t="str">
            <v>2026-01-04 18:55:18</v>
          </cell>
          <cell r="D280" t="str">
            <v>TUNDUMA BORDER TZ SIDE</v>
          </cell>
          <cell r="E280" t="str">
            <v>2026-01-04 18:57:40</v>
          </cell>
          <cell r="F280" t="str">
            <v>TUNDUMA BORDER TZ SIDE</v>
          </cell>
          <cell r="G280" t="str">
            <v>0:02:22</v>
          </cell>
          <cell r="H280">
            <v>0.116952</v>
          </cell>
        </row>
        <row r="281">
          <cell r="B281" t="str">
            <v>T728DYR</v>
          </cell>
          <cell r="C281" t="str">
            <v>2026-01-04 19:57:49</v>
          </cell>
          <cell r="D281" t="str">
            <v>TUNDUMA BORDER TZ SIDE</v>
          </cell>
          <cell r="E281" t="str">
            <v>2026-01-04 19:59:46</v>
          </cell>
          <cell r="F281" t="str">
            <v>TUNDUMA BORDER TZ SIDE</v>
          </cell>
          <cell r="G281" t="str">
            <v>0:01:57</v>
          </cell>
          <cell r="H281">
            <v>0.15210699999999999</v>
          </cell>
        </row>
        <row r="282">
          <cell r="B282" t="str">
            <v>T728DYR</v>
          </cell>
          <cell r="C282" t="str">
            <v>2026-01-04 20:08:00</v>
          </cell>
          <cell r="D282" t="str">
            <v>TUNDUMA BORDER TZ SIDE</v>
          </cell>
          <cell r="E282" t="str">
            <v>2026-01-04 20:28:45</v>
          </cell>
          <cell r="F282" t="str">
            <v>TUNDUMA BORDER TZ SIDE</v>
          </cell>
          <cell r="G282" t="str">
            <v>0:20:45</v>
          </cell>
          <cell r="H282">
            <v>0.39858199999999999</v>
          </cell>
        </row>
        <row r="283">
          <cell r="B283" t="str">
            <v>T728DYR</v>
          </cell>
          <cell r="C283" t="str">
            <v>2026-01-04 20:37:33</v>
          </cell>
          <cell r="D283" t="str">
            <v>TUNDUMA BORDER TZ SIDE</v>
          </cell>
          <cell r="E283" t="str">
            <v>2026-01-04 20:43:58</v>
          </cell>
          <cell r="F283" t="str">
            <v>T1, Nakonde</v>
          </cell>
          <cell r="G283" t="str">
            <v>0:06:25</v>
          </cell>
          <cell r="H283">
            <v>0.152809</v>
          </cell>
        </row>
        <row r="284">
          <cell r="B284" t="str">
            <v>T728DYR</v>
          </cell>
          <cell r="C284" t="str">
            <v>2026-01-04 20:50:13</v>
          </cell>
          <cell r="D284" t="str">
            <v>Great North Road, Nakonde</v>
          </cell>
          <cell r="E284" t="str">
            <v>2026-01-04 21:12:28</v>
          </cell>
          <cell r="F284" t="str">
            <v>NAKONDE ZM SIDE</v>
          </cell>
          <cell r="G284" t="str">
            <v>0:22:15</v>
          </cell>
          <cell r="H284">
            <v>6.8452739999999999</v>
          </cell>
        </row>
        <row r="285">
          <cell r="B285" t="str">
            <v>T728DYR</v>
          </cell>
          <cell r="C285" t="str">
            <v>2026-01-04 22:22:23</v>
          </cell>
          <cell r="D285" t="str">
            <v>NAKONDE ZM SIDE</v>
          </cell>
          <cell r="E285" t="str">
            <v>2026-01-04 22:23:28</v>
          </cell>
          <cell r="F285" t="str">
            <v>NAKONDE ZM SIDE</v>
          </cell>
          <cell r="G285" t="str">
            <v>0:01:05</v>
          </cell>
          <cell r="H285">
            <v>0.21703800000000001</v>
          </cell>
        </row>
        <row r="286">
          <cell r="B286" t="str">
            <v>T732DEB</v>
          </cell>
          <cell r="C286" t="str">
            <v>2026-01-04 00:20:12</v>
          </cell>
          <cell r="D286" t="str">
            <v>TUNDUMA BORDER TZ SIDE</v>
          </cell>
          <cell r="E286" t="str">
            <v>2026-01-04 00:54:03</v>
          </cell>
          <cell r="F286" t="str">
            <v>TUNDUMA PARKING</v>
          </cell>
          <cell r="G286" t="str">
            <v>0:33:51</v>
          </cell>
          <cell r="H286">
            <v>8.8438809999999997</v>
          </cell>
        </row>
        <row r="287">
          <cell r="B287" t="str">
            <v>T732DEB</v>
          </cell>
          <cell r="C287" t="str">
            <v>2026-01-04 00:20:12</v>
          </cell>
          <cell r="D287" t="str">
            <v>TUNDUMA BORDER TZ SIDE</v>
          </cell>
          <cell r="E287" t="str">
            <v>2026-01-04 00:54:03</v>
          </cell>
          <cell r="F287" t="str">
            <v>TUNDUMA PARKING</v>
          </cell>
          <cell r="G287" t="str">
            <v>0:33:51</v>
          </cell>
          <cell r="H287">
            <v>8.8438809999999997</v>
          </cell>
        </row>
        <row r="288">
          <cell r="B288" t="str">
            <v>T732EBX</v>
          </cell>
          <cell r="C288" t="str">
            <v>2026-01-04 00:48:11</v>
          </cell>
          <cell r="D288" t="str">
            <v>TUNDUMA PARKING</v>
          </cell>
          <cell r="E288" t="str">
            <v>2026-01-04 05:15:37</v>
          </cell>
          <cell r="F288" t="str">
            <v>NAKONDE ZM SIDE</v>
          </cell>
          <cell r="G288" t="str">
            <v>2:10:46</v>
          </cell>
          <cell r="H288">
            <v>27.519217999999999</v>
          </cell>
        </row>
        <row r="289">
          <cell r="B289" t="str">
            <v>T732EBX</v>
          </cell>
          <cell r="C289" t="str">
            <v>2026-01-04 00:48:11</v>
          </cell>
          <cell r="D289" t="str">
            <v>TUNDUMA PARKING</v>
          </cell>
          <cell r="E289" t="str">
            <v>2026-01-04 01:10:41</v>
          </cell>
          <cell r="F289" t="str">
            <v>TUNDUMA BORDER TZ SIDE</v>
          </cell>
          <cell r="G289" t="str">
            <v>0:22:30</v>
          </cell>
          <cell r="H289">
            <v>5.968915</v>
          </cell>
        </row>
        <row r="290">
          <cell r="B290" t="str">
            <v>T732EBX</v>
          </cell>
          <cell r="C290" t="str">
            <v>2026-01-04 01:25:42</v>
          </cell>
          <cell r="D290" t="str">
            <v>TUNDUMA BORDER TZ SIDE</v>
          </cell>
          <cell r="E290" t="str">
            <v>2026-01-04 01:38:09</v>
          </cell>
          <cell r="F290" t="str">
            <v>TUNDUMA BORDER TZ SIDE</v>
          </cell>
          <cell r="G290" t="str">
            <v>0:12:27</v>
          </cell>
          <cell r="H290">
            <v>0.467389</v>
          </cell>
        </row>
        <row r="291">
          <cell r="B291" t="str">
            <v>T732EBX</v>
          </cell>
          <cell r="C291" t="str">
            <v>2026-01-04 02:00:57</v>
          </cell>
          <cell r="D291" t="str">
            <v>TUNDUMA BORDER TZ SIDE</v>
          </cell>
          <cell r="E291" t="str">
            <v>2026-01-04 02:37:34</v>
          </cell>
          <cell r="F291" t="str">
            <v>TUNDUMA BORDER TZ SIDE</v>
          </cell>
          <cell r="G291" t="str">
            <v>0:36:37</v>
          </cell>
          <cell r="H291">
            <v>13.313596</v>
          </cell>
        </row>
        <row r="292">
          <cell r="B292" t="str">
            <v>T732EBX</v>
          </cell>
          <cell r="C292" t="str">
            <v>2026-01-04 02:43:22</v>
          </cell>
          <cell r="D292" t="str">
            <v>TUNDUMA BORDER TZ SIDE</v>
          </cell>
          <cell r="E292" t="str">
            <v>2026-01-04 02:50:26</v>
          </cell>
          <cell r="F292" t="str">
            <v>TUNDUMA BORDER TZ SIDE</v>
          </cell>
          <cell r="G292" t="str">
            <v>0:07:04</v>
          </cell>
          <cell r="H292">
            <v>0.17979100000000001</v>
          </cell>
        </row>
        <row r="293">
          <cell r="B293" t="str">
            <v>T732EBX</v>
          </cell>
          <cell r="C293" t="str">
            <v>2026-01-04 02:58:31</v>
          </cell>
          <cell r="D293" t="str">
            <v>TUNDUMA BORDER TZ SIDE</v>
          </cell>
          <cell r="E293" t="str">
            <v>2026-01-04 03:03:59</v>
          </cell>
          <cell r="F293" t="str">
            <v>TUNDUMA BORDER TZ SIDE</v>
          </cell>
          <cell r="G293" t="str">
            <v>0:05:28</v>
          </cell>
          <cell r="H293">
            <v>0.16051699999999999</v>
          </cell>
        </row>
        <row r="294">
          <cell r="B294" t="str">
            <v>T732EBX</v>
          </cell>
          <cell r="C294" t="str">
            <v>2026-01-04 03:12:12</v>
          </cell>
          <cell r="D294" t="str">
            <v>TUNDUMA BORDER TZ SIDE</v>
          </cell>
          <cell r="E294" t="str">
            <v>2026-01-04 03:19:11</v>
          </cell>
          <cell r="F294" t="str">
            <v>TUNDUMA BORDER TZ SIDE</v>
          </cell>
          <cell r="G294" t="str">
            <v>0:06:59</v>
          </cell>
          <cell r="H294">
            <v>0.15087900000000001</v>
          </cell>
        </row>
        <row r="295">
          <cell r="B295" t="str">
            <v>T732EBX</v>
          </cell>
          <cell r="C295" t="str">
            <v>2026-01-04 03:46:41</v>
          </cell>
          <cell r="D295" t="str">
            <v>TUNDUMA BORDER TZ SIDE</v>
          </cell>
          <cell r="E295" t="str">
            <v>2026-01-04 04:06:50</v>
          </cell>
          <cell r="F295" t="str">
            <v>TUNDUMA BORDER TZ SIDE</v>
          </cell>
          <cell r="G295" t="str">
            <v>0:20:09</v>
          </cell>
          <cell r="H295">
            <v>0.54918999999999996</v>
          </cell>
        </row>
        <row r="296">
          <cell r="B296" t="str">
            <v>T732EBX</v>
          </cell>
          <cell r="C296" t="str">
            <v>2026-01-04 04:12:48</v>
          </cell>
          <cell r="D296" t="str">
            <v>TUNDUMA BORDER TZ SIDE</v>
          </cell>
          <cell r="E296" t="str">
            <v>2026-01-04 04:17:28</v>
          </cell>
          <cell r="F296" t="str">
            <v>TUNDUMA BORDER TZ SIDE</v>
          </cell>
          <cell r="G296" t="str">
            <v>0:04:40</v>
          </cell>
          <cell r="H296">
            <v>0.15221100000000001</v>
          </cell>
        </row>
        <row r="297">
          <cell r="B297" t="str">
            <v>T732EBX</v>
          </cell>
          <cell r="C297" t="str">
            <v>2026-01-04 04:28:32</v>
          </cell>
          <cell r="D297" t="str">
            <v>TUNDUMA BORDER TZ SIDE</v>
          </cell>
          <cell r="E297" t="str">
            <v>2026-01-04 04:33:01</v>
          </cell>
          <cell r="F297" t="str">
            <v>TUNDUMA BORDER TZ SIDE</v>
          </cell>
          <cell r="G297" t="str">
            <v>0:04:29</v>
          </cell>
          <cell r="H297">
            <v>0.22015999999999999</v>
          </cell>
        </row>
        <row r="298">
          <cell r="B298" t="str">
            <v>T732EBX</v>
          </cell>
          <cell r="C298" t="str">
            <v>2026-01-04 05:05:14</v>
          </cell>
          <cell r="D298" t="str">
            <v>Great North Road, Nakonde</v>
          </cell>
          <cell r="E298" t="str">
            <v>2026-01-04 05:15:37</v>
          </cell>
          <cell r="F298" t="str">
            <v>NAKONDE ZM SIDE</v>
          </cell>
          <cell r="G298" t="str">
            <v>0:10:23</v>
          </cell>
          <cell r="H298">
            <v>6.3565699999999996</v>
          </cell>
        </row>
        <row r="299">
          <cell r="B299" t="str">
            <v>T733EBX</v>
          </cell>
          <cell r="C299" t="str">
            <v>2026-01-04 18:46:06</v>
          </cell>
          <cell r="D299" t="str">
            <v>T3, 6.72 km from Bancroft</v>
          </cell>
          <cell r="E299" t="str">
            <v>2026-01-04 21:37:55</v>
          </cell>
          <cell r="F299" t="str">
            <v>T3, 5.08 km from Bancroft</v>
          </cell>
          <cell r="G299" t="str">
            <v>0:11:10</v>
          </cell>
          <cell r="H299">
            <v>1.6628210000000001</v>
          </cell>
        </row>
        <row r="300">
          <cell r="B300" t="str">
            <v>T733EBX</v>
          </cell>
          <cell r="C300" t="str">
            <v>2026-01-04 18:46:06</v>
          </cell>
          <cell r="D300" t="str">
            <v>T3, 6.72 km from Bancroft</v>
          </cell>
          <cell r="E300" t="str">
            <v>2026-01-04 18:48:08</v>
          </cell>
          <cell r="F300" t="str">
            <v>T3, 6.25 km from Bancroft</v>
          </cell>
          <cell r="G300" t="str">
            <v>0:02:02</v>
          </cell>
          <cell r="H300">
            <v>0.479495</v>
          </cell>
        </row>
        <row r="301">
          <cell r="B301" t="str">
            <v>T733EBX</v>
          </cell>
          <cell r="C301" t="str">
            <v>2026-01-04 21:28:47</v>
          </cell>
          <cell r="D301" t="str">
            <v>T3, 6.25 km from Bancroft</v>
          </cell>
          <cell r="E301" t="str">
            <v>2026-01-04 21:37:55</v>
          </cell>
          <cell r="F301" t="str">
            <v>T3, 5.08 km from Bancroft</v>
          </cell>
          <cell r="G301" t="str">
            <v>0:09:08</v>
          </cell>
          <cell r="H301">
            <v>1.183327</v>
          </cell>
        </row>
        <row r="302">
          <cell r="B302" t="str">
            <v>T735DYR</v>
          </cell>
          <cell r="C302" t="str">
            <v>2026-01-04 19:40:17</v>
          </cell>
          <cell r="D302" t="str">
            <v>KASUMBALESA 114 PARKING</v>
          </cell>
          <cell r="E302" t="str">
            <v>2026-01-04 19:43:35</v>
          </cell>
          <cell r="F302" t="str">
            <v>KASUMBALESA 114 PARKING</v>
          </cell>
          <cell r="G302" t="str">
            <v>0:03:18</v>
          </cell>
          <cell r="H302">
            <v>0.18309500000000001</v>
          </cell>
        </row>
        <row r="303">
          <cell r="B303" t="str">
            <v>T735DYR</v>
          </cell>
          <cell r="C303" t="str">
            <v>2026-01-04 19:40:17</v>
          </cell>
          <cell r="D303" t="str">
            <v>KASUMBALESA 114 PARKING</v>
          </cell>
          <cell r="E303" t="str">
            <v>2026-01-04 19:43:35</v>
          </cell>
          <cell r="F303" t="str">
            <v>KASUMBALESA 114 PARKING</v>
          </cell>
          <cell r="G303" t="str">
            <v>0:03:18</v>
          </cell>
          <cell r="H303">
            <v>0.18309500000000001</v>
          </cell>
        </row>
        <row r="304">
          <cell r="B304" t="str">
            <v>T754EBX</v>
          </cell>
          <cell r="C304" t="str">
            <v>2026-01-04 18:36:30</v>
          </cell>
          <cell r="D304" t="str">
            <v>Rn39, 5.63 km from Kisenda</v>
          </cell>
          <cell r="E304" t="str">
            <v>2026-01-04 19:01:10</v>
          </cell>
          <cell r="F304" t="str">
            <v>CONNEX AFRICA - DRC</v>
          </cell>
          <cell r="G304" t="str">
            <v>0:24:40</v>
          </cell>
          <cell r="H304">
            <v>13.419805999999999</v>
          </cell>
        </row>
        <row r="305">
          <cell r="B305" t="str">
            <v>T754EBX</v>
          </cell>
          <cell r="C305" t="str">
            <v>2026-01-04 18:36:30</v>
          </cell>
          <cell r="D305" t="str">
            <v>Rn39, 5.63 km from Kisenda</v>
          </cell>
          <cell r="E305" t="str">
            <v>2026-01-04 19:01:10</v>
          </cell>
          <cell r="F305" t="str">
            <v>CONNEX AFRICA - DRC</v>
          </cell>
          <cell r="G305" t="str">
            <v>0:24:40</v>
          </cell>
          <cell r="H305">
            <v>13.419805999999999</v>
          </cell>
        </row>
        <row r="306">
          <cell r="B306" t="str">
            <v>T757EBX</v>
          </cell>
          <cell r="C306" t="str">
            <v>2026-01-04 00:13:37</v>
          </cell>
          <cell r="D306" t="str">
            <v>KIOO</v>
          </cell>
          <cell r="E306" t="str">
            <v>2026-01-04 05:52:52</v>
          </cell>
          <cell r="F306" t="str">
            <v>DAR ES SALAAM</v>
          </cell>
          <cell r="G306" t="str">
            <v>0:41:50</v>
          </cell>
          <cell r="H306">
            <v>8.9172960000000003</v>
          </cell>
        </row>
        <row r="307">
          <cell r="B307" t="str">
            <v>T757EBX</v>
          </cell>
          <cell r="C307" t="str">
            <v>2026-01-04 00:13:37</v>
          </cell>
          <cell r="D307" t="str">
            <v>KIOO</v>
          </cell>
          <cell r="E307" t="str">
            <v>2026-01-04 00:17:02</v>
          </cell>
          <cell r="F307" t="str">
            <v>KIOO</v>
          </cell>
          <cell r="G307" t="str">
            <v>0:03:25</v>
          </cell>
          <cell r="H307">
            <v>0.13267999999999999</v>
          </cell>
        </row>
        <row r="308">
          <cell r="B308" t="str">
            <v>T757EBX</v>
          </cell>
          <cell r="C308" t="str">
            <v>2026-01-04 00:52:53</v>
          </cell>
          <cell r="D308" t="str">
            <v>KIOO</v>
          </cell>
          <cell r="E308" t="str">
            <v>2026-01-04 01:20:13</v>
          </cell>
          <cell r="F308" t="str">
            <v>DAR ES SALAAM</v>
          </cell>
          <cell r="G308" t="str">
            <v>0:27:20</v>
          </cell>
          <cell r="H308">
            <v>6.3911569999999998</v>
          </cell>
        </row>
        <row r="309">
          <cell r="B309" t="str">
            <v>T757EBX</v>
          </cell>
          <cell r="C309" t="str">
            <v>2026-01-04 02:15:24</v>
          </cell>
          <cell r="D309" t="str">
            <v>DAR ES SALAAM</v>
          </cell>
          <cell r="E309" t="str">
            <v>2026-01-04 02:20:45</v>
          </cell>
          <cell r="F309" t="str">
            <v>DAR ES SALAAM</v>
          </cell>
          <cell r="G309" t="str">
            <v>0:05:21</v>
          </cell>
          <cell r="H309">
            <v>2.225584</v>
          </cell>
        </row>
        <row r="310">
          <cell r="B310" t="str">
            <v>T757EBX</v>
          </cell>
          <cell r="C310" t="str">
            <v>2026-01-04 05:47:08</v>
          </cell>
          <cell r="D310" t="str">
            <v>DAR ES SALAAM</v>
          </cell>
          <cell r="E310" t="str">
            <v>2026-01-04 05:52:52</v>
          </cell>
          <cell r="F310" t="str">
            <v>DAR ES SALAAM</v>
          </cell>
          <cell r="G310" t="str">
            <v>0:05:44</v>
          </cell>
          <cell r="H310">
            <v>0.167876</v>
          </cell>
        </row>
        <row r="311">
          <cell r="B311" t="str">
            <v>T763EBW</v>
          </cell>
          <cell r="C311" t="str">
            <v>2026-01-04 00:56:04</v>
          </cell>
          <cell r="D311" t="str">
            <v>DAR ES SALAAM</v>
          </cell>
          <cell r="E311" t="str">
            <v>2026-01-04 02:45:26</v>
          </cell>
          <cell r="F311" t="str">
            <v>MBAGALA YARD</v>
          </cell>
          <cell r="G311" t="str">
            <v>1:28:26</v>
          </cell>
          <cell r="H311">
            <v>23.594231000000001</v>
          </cell>
        </row>
        <row r="312">
          <cell r="B312" t="str">
            <v>T763EBW</v>
          </cell>
          <cell r="C312" t="str">
            <v>2026-01-04 00:56:04</v>
          </cell>
          <cell r="D312" t="str">
            <v>DAR ES SALAAM</v>
          </cell>
          <cell r="E312" t="str">
            <v>2026-01-04 01:17:57</v>
          </cell>
          <cell r="F312" t="str">
            <v>DAR ES SALAAM</v>
          </cell>
          <cell r="G312" t="str">
            <v>0:21:53</v>
          </cell>
          <cell r="H312">
            <v>7.0965610000000003</v>
          </cell>
        </row>
        <row r="313">
          <cell r="B313" t="str">
            <v>T763EBW</v>
          </cell>
          <cell r="C313" t="str">
            <v>2026-01-04 01:27:33</v>
          </cell>
          <cell r="D313" t="str">
            <v>DAR ES SALAAM</v>
          </cell>
          <cell r="E313" t="str">
            <v>2026-01-04 02:04:28</v>
          </cell>
          <cell r="F313" t="str">
            <v>DAR ES SALAAM</v>
          </cell>
          <cell r="G313" t="str">
            <v>0:36:55</v>
          </cell>
          <cell r="H313">
            <v>7.3214329999999999</v>
          </cell>
        </row>
        <row r="314">
          <cell r="B314" t="str">
            <v>T763EBW</v>
          </cell>
          <cell r="C314" t="str">
            <v>2026-01-04 02:15:48</v>
          </cell>
          <cell r="D314" t="str">
            <v>DAR ES SALAAM</v>
          </cell>
          <cell r="E314" t="str">
            <v>2026-01-04 02:45:26</v>
          </cell>
          <cell r="F314" t="str">
            <v>MBAGALA YARD</v>
          </cell>
          <cell r="G314" t="str">
            <v>0:29:38</v>
          </cell>
          <cell r="H314">
            <v>9.1762379999999997</v>
          </cell>
        </row>
        <row r="315">
          <cell r="B315" t="str">
            <v>T764EBW</v>
          </cell>
          <cell r="C315" t="str">
            <v>2026-01-04 00:01:14</v>
          </cell>
          <cell r="D315" t="str">
            <v>KIOO</v>
          </cell>
          <cell r="E315" t="str">
            <v>2026-01-04 04:55:41</v>
          </cell>
          <cell r="F315" t="str">
            <v>MBAGALA YARD</v>
          </cell>
          <cell r="G315" t="str">
            <v>1:02:07</v>
          </cell>
          <cell r="H315">
            <v>26.942882999999998</v>
          </cell>
        </row>
        <row r="316">
          <cell r="B316" t="str">
            <v>T764EBW</v>
          </cell>
          <cell r="C316" t="str">
            <v>2026-01-04 00:01:14</v>
          </cell>
          <cell r="D316" t="str">
            <v>KIOO</v>
          </cell>
          <cell r="E316" t="str">
            <v>2026-01-04 00:02:34</v>
          </cell>
          <cell r="F316" t="str">
            <v>GALCO ICD MBOZI</v>
          </cell>
          <cell r="G316" t="str">
            <v>0:01:20</v>
          </cell>
          <cell r="H316">
            <v>0.15476500000000001</v>
          </cell>
        </row>
        <row r="317">
          <cell r="B317" t="str">
            <v>T764EBW</v>
          </cell>
          <cell r="C317" t="str">
            <v>2026-01-04 00:24:52</v>
          </cell>
          <cell r="D317" t="str">
            <v>GALCO ICD MBOZI</v>
          </cell>
          <cell r="E317" t="str">
            <v>2026-01-04 00:56:58</v>
          </cell>
          <cell r="F317" t="str">
            <v>DAR ES SALAAM</v>
          </cell>
          <cell r="G317" t="str">
            <v>0:32:06</v>
          </cell>
          <cell r="H317">
            <v>9.4935080000000003</v>
          </cell>
        </row>
        <row r="318">
          <cell r="B318" t="str">
            <v>T764EBW</v>
          </cell>
          <cell r="C318" t="str">
            <v>2026-01-04 04:27:00</v>
          </cell>
          <cell r="D318" t="str">
            <v>DAR ES SALAAM</v>
          </cell>
          <cell r="E318" t="str">
            <v>2026-01-04 04:55:41</v>
          </cell>
          <cell r="F318" t="str">
            <v>MBAGALA YARD</v>
          </cell>
          <cell r="G318" t="str">
            <v>0:28:41</v>
          </cell>
          <cell r="H318">
            <v>17.294609999999999</v>
          </cell>
        </row>
        <row r="319">
          <cell r="B319" t="str">
            <v>T766EBW</v>
          </cell>
          <cell r="C319" t="str">
            <v>2026-01-04 01:34:56</v>
          </cell>
          <cell r="D319" t="str">
            <v>DAR ES SALAAM</v>
          </cell>
          <cell r="E319" t="str">
            <v>2026-01-04 02:27:47</v>
          </cell>
          <cell r="F319" t="str">
            <v>MBAGALA YARD</v>
          </cell>
          <cell r="G319" t="str">
            <v>0:52:51</v>
          </cell>
          <cell r="H319">
            <v>21.038601</v>
          </cell>
        </row>
        <row r="320">
          <cell r="B320" t="str">
            <v>T766EBW</v>
          </cell>
          <cell r="C320" t="str">
            <v>2026-01-04 01:34:56</v>
          </cell>
          <cell r="D320" t="str">
            <v>DAR ES SALAAM</v>
          </cell>
          <cell r="E320" t="str">
            <v>2026-01-04 02:27:47</v>
          </cell>
          <cell r="F320" t="str">
            <v>MBAGALA YARD</v>
          </cell>
          <cell r="G320" t="str">
            <v>0:52:51</v>
          </cell>
          <cell r="H320">
            <v>21.038601</v>
          </cell>
        </row>
        <row r="321">
          <cell r="B321" t="str">
            <v>T768DYR</v>
          </cell>
          <cell r="C321" t="str">
            <v>2026-01-04 00:18:26</v>
          </cell>
          <cell r="D321" t="str">
            <v>DAR ES SALAAM</v>
          </cell>
          <cell r="E321" t="str">
            <v>2026-01-04 04:01:25</v>
          </cell>
          <cell r="F321" t="str">
            <v>GL KURASINI YARD</v>
          </cell>
          <cell r="G321" t="str">
            <v>0:54:58</v>
          </cell>
          <cell r="H321">
            <v>12.814420999999999</v>
          </cell>
        </row>
        <row r="322">
          <cell r="B322" t="str">
            <v>T768DYR</v>
          </cell>
          <cell r="C322" t="str">
            <v>2026-01-04 00:18:26</v>
          </cell>
          <cell r="D322" t="str">
            <v>DAR ES SALAAM</v>
          </cell>
          <cell r="E322" t="str">
            <v>2026-01-04 00:31:02</v>
          </cell>
          <cell r="F322" t="str">
            <v>DAR ES SALAAM</v>
          </cell>
          <cell r="G322" t="str">
            <v>0:12:36</v>
          </cell>
          <cell r="H322">
            <v>3.2966839999999999</v>
          </cell>
        </row>
        <row r="323">
          <cell r="B323" t="str">
            <v>T768DYR</v>
          </cell>
          <cell r="C323" t="str">
            <v>2026-01-04 00:53:56</v>
          </cell>
          <cell r="D323" t="str">
            <v>DAR ES SALAAM</v>
          </cell>
          <cell r="E323" t="str">
            <v>2026-01-04 01:17:56</v>
          </cell>
          <cell r="F323" t="str">
            <v>DAR ES SALAAM</v>
          </cell>
          <cell r="G323" t="str">
            <v>0:24:00</v>
          </cell>
          <cell r="H323">
            <v>8.2726249999999997</v>
          </cell>
        </row>
        <row r="324">
          <cell r="B324" t="str">
            <v>T768DYR</v>
          </cell>
          <cell r="C324" t="str">
            <v>2026-01-04 01:25:59</v>
          </cell>
          <cell r="D324" t="str">
            <v>DAR ES SALAAM</v>
          </cell>
          <cell r="E324" t="str">
            <v>2026-01-04 01:28:49</v>
          </cell>
          <cell r="F324" t="str">
            <v>DAR ES SALAAM</v>
          </cell>
          <cell r="G324" t="str">
            <v>0:02:50</v>
          </cell>
          <cell r="H324">
            <v>0.22031400000000001</v>
          </cell>
        </row>
        <row r="325">
          <cell r="B325" t="str">
            <v>T768DYR</v>
          </cell>
          <cell r="C325" t="str">
            <v>2026-01-04 02:48:32</v>
          </cell>
          <cell r="D325" t="str">
            <v>DAR ES SALAAM</v>
          </cell>
          <cell r="E325" t="str">
            <v>2026-01-04 02:51:35</v>
          </cell>
          <cell r="F325" t="str">
            <v>DAR ES SALAAM</v>
          </cell>
          <cell r="G325" t="str">
            <v>0:03:03</v>
          </cell>
          <cell r="H325">
            <v>0.184755</v>
          </cell>
        </row>
        <row r="326">
          <cell r="B326" t="str">
            <v>T768DYR</v>
          </cell>
          <cell r="C326" t="str">
            <v>2026-01-04 03:48:56</v>
          </cell>
          <cell r="D326" t="str">
            <v>DAR ES SALAAM</v>
          </cell>
          <cell r="E326" t="str">
            <v>2026-01-04 04:01:25</v>
          </cell>
          <cell r="F326" t="str">
            <v>GL KURASINI YARD</v>
          </cell>
          <cell r="G326" t="str">
            <v>0:12:29</v>
          </cell>
          <cell r="H326">
            <v>0.84004299999999998</v>
          </cell>
        </row>
        <row r="327">
          <cell r="B327" t="str">
            <v>T770DYR</v>
          </cell>
          <cell r="C327" t="str">
            <v>2026-01-04 00:54:01</v>
          </cell>
          <cell r="D327" t="str">
            <v>TUNDUMA PARKING</v>
          </cell>
          <cell r="E327" t="str">
            <v>2026-01-04 04:15:20</v>
          </cell>
          <cell r="F327" t="str">
            <v>NAKONDE ZM SIDE</v>
          </cell>
          <cell r="G327" t="str">
            <v>1:58:47</v>
          </cell>
          <cell r="H327">
            <v>19.430402999999998</v>
          </cell>
        </row>
        <row r="328">
          <cell r="B328" t="str">
            <v>T770DYR</v>
          </cell>
          <cell r="C328" t="str">
            <v>2026-01-04 00:54:01</v>
          </cell>
          <cell r="D328" t="str">
            <v>TUNDUMA PARKING</v>
          </cell>
          <cell r="E328" t="str">
            <v>2026-01-04 01:08:55</v>
          </cell>
          <cell r="F328" t="str">
            <v>TUNDUMA BORDER TZ SIDE</v>
          </cell>
          <cell r="G328" t="str">
            <v>0:14:54</v>
          </cell>
          <cell r="H328">
            <v>5.9243079999999999</v>
          </cell>
        </row>
        <row r="329">
          <cell r="B329" t="str">
            <v>T770DYR</v>
          </cell>
          <cell r="C329" t="str">
            <v>2026-01-04 01:24:39</v>
          </cell>
          <cell r="D329" t="str">
            <v>TUNDUMA BORDER TZ SIDE</v>
          </cell>
          <cell r="E329" t="str">
            <v>2026-01-04 01:40:40</v>
          </cell>
          <cell r="F329" t="str">
            <v>TUNDUMA BORDER TZ SIDE</v>
          </cell>
          <cell r="G329" t="str">
            <v>0:16:01</v>
          </cell>
          <cell r="H329">
            <v>0.52161100000000005</v>
          </cell>
        </row>
        <row r="330">
          <cell r="B330" t="str">
            <v>T770DYR</v>
          </cell>
          <cell r="C330" t="str">
            <v>2026-01-04 01:45:56</v>
          </cell>
          <cell r="D330" t="str">
            <v>TUNDUMA BORDER TZ SIDE</v>
          </cell>
          <cell r="E330" t="str">
            <v>2026-01-04 01:51:56</v>
          </cell>
          <cell r="F330" t="str">
            <v>TUNDUMA BORDER TZ SIDE</v>
          </cell>
          <cell r="G330" t="str">
            <v>0:06:00</v>
          </cell>
          <cell r="H330">
            <v>0.16836999999999999</v>
          </cell>
        </row>
        <row r="331">
          <cell r="B331" t="str">
            <v>T770DYR</v>
          </cell>
          <cell r="C331" t="str">
            <v>2026-01-04 01:59:10</v>
          </cell>
          <cell r="D331" t="str">
            <v>TUNDUMA BORDER TZ SIDE</v>
          </cell>
          <cell r="E331" t="str">
            <v>2026-01-04 02:30:09</v>
          </cell>
          <cell r="F331" t="str">
            <v>TUNDUMA BORDER TZ SIDE</v>
          </cell>
          <cell r="G331" t="str">
            <v>0:30:59</v>
          </cell>
          <cell r="H331">
            <v>5.0277520000000004</v>
          </cell>
        </row>
        <row r="332">
          <cell r="B332" t="str">
            <v>T770DYR</v>
          </cell>
          <cell r="C332" t="str">
            <v>2026-01-04 02:38:26</v>
          </cell>
          <cell r="D332" t="str">
            <v>TUNDUMA BORDER TZ SIDE</v>
          </cell>
          <cell r="E332" t="str">
            <v>2026-01-04 02:49:32</v>
          </cell>
          <cell r="F332" t="str">
            <v>TUNDUMA BORDER TZ SIDE</v>
          </cell>
          <cell r="G332" t="str">
            <v>0:11:06</v>
          </cell>
          <cell r="H332">
            <v>0.26859699999999997</v>
          </cell>
        </row>
        <row r="333">
          <cell r="B333" t="str">
            <v>T770DYR</v>
          </cell>
          <cell r="C333" t="str">
            <v>2026-01-04 02:55:37</v>
          </cell>
          <cell r="D333" t="str">
            <v>TUNDUMA BORDER TZ SIDE</v>
          </cell>
          <cell r="E333" t="str">
            <v>2026-01-04 02:59:20</v>
          </cell>
          <cell r="F333" t="str">
            <v>TUNDUMA BORDER TZ SIDE</v>
          </cell>
          <cell r="G333" t="str">
            <v>0:03:43</v>
          </cell>
          <cell r="H333">
            <v>0.16625899999999999</v>
          </cell>
        </row>
        <row r="334">
          <cell r="B334" t="str">
            <v>T770DYR</v>
          </cell>
          <cell r="C334" t="str">
            <v>2026-01-04 03:04:36</v>
          </cell>
          <cell r="D334" t="str">
            <v>TUNDUMA BORDER TZ SIDE</v>
          </cell>
          <cell r="E334" t="str">
            <v>2026-01-04 03:19:37</v>
          </cell>
          <cell r="F334" t="str">
            <v>TUNDUMA BORDER TZ SIDE</v>
          </cell>
          <cell r="G334" t="str">
            <v>0:15:01</v>
          </cell>
          <cell r="H334">
            <v>0.44570700000000002</v>
          </cell>
        </row>
        <row r="335">
          <cell r="B335" t="str">
            <v>T770DYR</v>
          </cell>
          <cell r="C335" t="str">
            <v>2026-01-04 03:32:46</v>
          </cell>
          <cell r="D335" t="str">
            <v>TUNDUMA BORDER TZ SIDE</v>
          </cell>
          <cell r="E335" t="str">
            <v>2026-01-04 03:38:32</v>
          </cell>
          <cell r="F335" t="str">
            <v>TUNDUMA BORDER TZ SIDE</v>
          </cell>
          <cell r="G335" t="str">
            <v>0:05:46</v>
          </cell>
          <cell r="H335">
            <v>0.18482799999999999</v>
          </cell>
        </row>
        <row r="336">
          <cell r="B336" t="str">
            <v>T770DYR</v>
          </cell>
          <cell r="C336" t="str">
            <v>2026-01-04 04:00:03</v>
          </cell>
          <cell r="D336" t="str">
            <v>Great North Road, Nakonde</v>
          </cell>
          <cell r="E336" t="str">
            <v>2026-01-04 04:15:20</v>
          </cell>
          <cell r="F336" t="str">
            <v>NAKONDE ZM SIDE</v>
          </cell>
          <cell r="G336" t="str">
            <v>0:15:17</v>
          </cell>
          <cell r="H336">
            <v>6.7229710000000003</v>
          </cell>
        </row>
        <row r="337">
          <cell r="B337" t="str">
            <v>T773EBW</v>
          </cell>
          <cell r="C337" t="str">
            <v>2026-01-04 00:12:57</v>
          </cell>
          <cell r="D337" t="str">
            <v>DAR ES SALAAM</v>
          </cell>
          <cell r="E337" t="str">
            <v>2026-01-04 01:36:24</v>
          </cell>
          <cell r="F337" t="str">
            <v>MBAGALA YARD</v>
          </cell>
          <cell r="G337" t="str">
            <v>1:08:15</v>
          </cell>
          <cell r="H337">
            <v>19.305389000000002</v>
          </cell>
        </row>
        <row r="338">
          <cell r="B338" t="str">
            <v>T773EBW</v>
          </cell>
          <cell r="C338" t="str">
            <v>2026-01-04 00:12:57</v>
          </cell>
          <cell r="D338" t="str">
            <v>DAR ES SALAAM</v>
          </cell>
          <cell r="E338" t="str">
            <v>2026-01-04 00:46:36</v>
          </cell>
          <cell r="F338" t="str">
            <v>KIOO</v>
          </cell>
          <cell r="G338" t="str">
            <v>0:33:39</v>
          </cell>
          <cell r="H338">
            <v>8.8186079999999993</v>
          </cell>
        </row>
        <row r="339">
          <cell r="B339" t="str">
            <v>T773EBW</v>
          </cell>
          <cell r="C339" t="str">
            <v>2026-01-04 00:55:33</v>
          </cell>
          <cell r="D339" t="str">
            <v>KIOO</v>
          </cell>
          <cell r="E339" t="str">
            <v>2026-01-04 01:01:15</v>
          </cell>
          <cell r="F339" t="str">
            <v>DAR ES SALAAM</v>
          </cell>
          <cell r="G339" t="str">
            <v>0:05:42</v>
          </cell>
          <cell r="H339">
            <v>0.58934399999999998</v>
          </cell>
        </row>
        <row r="340">
          <cell r="B340" t="str">
            <v>T773EBW</v>
          </cell>
          <cell r="C340" t="str">
            <v>2026-01-04 01:07:30</v>
          </cell>
          <cell r="D340" t="str">
            <v>DAR ES SALAAM</v>
          </cell>
          <cell r="E340" t="str">
            <v>2026-01-04 01:36:24</v>
          </cell>
          <cell r="F340" t="str">
            <v>MBAGALA YARD</v>
          </cell>
          <cell r="G340" t="str">
            <v>0:28:54</v>
          </cell>
          <cell r="H340">
            <v>9.8974360000000008</v>
          </cell>
        </row>
        <row r="341">
          <cell r="B341" t="str">
            <v>T778DYR</v>
          </cell>
          <cell r="C341" t="str">
            <v>2026-01-04 19:03:45</v>
          </cell>
          <cell r="D341" t="str">
            <v>Tanzam Road, 1.65 km from Soweto Street - Mbeya</v>
          </cell>
          <cell r="E341" t="str">
            <v>2026-01-04 19:48:26</v>
          </cell>
          <cell r="F341" t="str">
            <v>Tanzam Road, 2.35 km from Mbeya</v>
          </cell>
          <cell r="G341" t="str">
            <v>0:38:55</v>
          </cell>
          <cell r="H341">
            <v>3.9052150000000001</v>
          </cell>
        </row>
        <row r="342">
          <cell r="B342" t="str">
            <v>T778DYR</v>
          </cell>
          <cell r="C342" t="str">
            <v>2026-01-04 19:03:45</v>
          </cell>
          <cell r="D342" t="str">
            <v>Tanzam Road, 1.65 km from Soweto Street - Mbeya</v>
          </cell>
          <cell r="E342" t="str">
            <v>2026-01-04 19:13:34</v>
          </cell>
          <cell r="F342" t="str">
            <v>Tanzam Road, Soweto Street - Mbeya</v>
          </cell>
          <cell r="G342" t="str">
            <v>0:09:49</v>
          </cell>
          <cell r="H342">
            <v>0.63485100000000005</v>
          </cell>
        </row>
        <row r="343">
          <cell r="B343" t="str">
            <v>T778DYR</v>
          </cell>
          <cell r="C343" t="str">
            <v>2026-01-04 19:19:20</v>
          </cell>
          <cell r="D343" t="str">
            <v>Tanzam Road, Soweto Street - Mbeya</v>
          </cell>
          <cell r="E343" t="str">
            <v>2026-01-04 19:48:26</v>
          </cell>
          <cell r="F343" t="str">
            <v>Tanzam Road, 2.35 km from Mbeya</v>
          </cell>
          <cell r="G343" t="str">
            <v>0:29:06</v>
          </cell>
          <cell r="H343">
            <v>3.2703639999999998</v>
          </cell>
        </row>
        <row r="344">
          <cell r="B344" t="str">
            <v>T785EBW</v>
          </cell>
          <cell r="C344" t="str">
            <v>2026-01-04 05:54:30</v>
          </cell>
          <cell r="D344" t="str">
            <v>ILULA SOKONI</v>
          </cell>
          <cell r="E344" t="str">
            <v>2026-01-04 07:49:44</v>
          </cell>
          <cell r="F344" t="str">
            <v>Tanzania To Zambia Road, Wenda</v>
          </cell>
          <cell r="G344" t="str">
            <v>1:55:14</v>
          </cell>
          <cell r="H344">
            <v>62.012670999999997</v>
          </cell>
        </row>
        <row r="345">
          <cell r="B345" t="str">
            <v>T785EBW</v>
          </cell>
          <cell r="C345" t="str">
            <v>2026-01-04 05:54:30</v>
          </cell>
          <cell r="D345" t="str">
            <v>ILULA SOKONI</v>
          </cell>
          <cell r="E345" t="str">
            <v>2026-01-04 07:49:44</v>
          </cell>
          <cell r="F345" t="str">
            <v>Tanzania To Zambia Road, Wenda</v>
          </cell>
          <cell r="G345" t="str">
            <v>1:55:14</v>
          </cell>
          <cell r="H345">
            <v>62.012670999999997</v>
          </cell>
        </row>
        <row r="346">
          <cell r="B346" t="str">
            <v>T793EBW</v>
          </cell>
          <cell r="C346" t="str">
            <v>2026-01-04 00:11:04</v>
          </cell>
          <cell r="D346" t="str">
            <v>DAR ES SALAAM</v>
          </cell>
          <cell r="E346" t="str">
            <v>2026-01-04 00:41:58</v>
          </cell>
          <cell r="F346" t="str">
            <v>MBAGALA YARD</v>
          </cell>
          <cell r="G346" t="str">
            <v>0:30:54</v>
          </cell>
          <cell r="H346">
            <v>13.889404000000001</v>
          </cell>
        </row>
        <row r="347">
          <cell r="B347" t="str">
            <v>T793EBW</v>
          </cell>
          <cell r="C347" t="str">
            <v>2026-01-04 00:11:04</v>
          </cell>
          <cell r="D347" t="str">
            <v>DAR ES SALAAM</v>
          </cell>
          <cell r="E347" t="str">
            <v>2026-01-04 00:41:58</v>
          </cell>
          <cell r="F347" t="str">
            <v>MBAGALA YARD</v>
          </cell>
          <cell r="G347" t="str">
            <v>0:30:54</v>
          </cell>
          <cell r="H347">
            <v>13.889404000000001</v>
          </cell>
        </row>
        <row r="348">
          <cell r="B348" t="str">
            <v>T795DYR</v>
          </cell>
          <cell r="C348" t="str">
            <v>2026-01-04 01:05:53</v>
          </cell>
          <cell r="D348" t="str">
            <v>KIOO</v>
          </cell>
          <cell r="E348" t="str">
            <v>2026-01-04 06:18:39</v>
          </cell>
          <cell r="F348" t="str">
            <v>DAR ES SALAAM</v>
          </cell>
          <cell r="G348" t="str">
            <v>1:39:28</v>
          </cell>
          <cell r="H348">
            <v>20.334866999999999</v>
          </cell>
        </row>
        <row r="349">
          <cell r="B349" t="str">
            <v>T795DYR</v>
          </cell>
          <cell r="C349" t="str">
            <v>2026-01-04 01:05:53</v>
          </cell>
          <cell r="D349" t="str">
            <v>KIOO</v>
          </cell>
          <cell r="E349" t="str">
            <v>2026-01-04 01:48:52</v>
          </cell>
          <cell r="F349" t="str">
            <v>DAR ES SALAAM</v>
          </cell>
          <cell r="G349" t="str">
            <v>0:42:59</v>
          </cell>
          <cell r="H349">
            <v>5.7933659999999998</v>
          </cell>
        </row>
        <row r="350">
          <cell r="B350" t="str">
            <v>T795DYR</v>
          </cell>
          <cell r="C350" t="str">
            <v>2026-01-04 02:08:30</v>
          </cell>
          <cell r="D350" t="str">
            <v>DAR ES SALAAM</v>
          </cell>
          <cell r="E350" t="str">
            <v>2026-01-04 02:12:30</v>
          </cell>
          <cell r="F350" t="str">
            <v>DAR ES SALAAM</v>
          </cell>
          <cell r="G350" t="str">
            <v>0:04:00</v>
          </cell>
          <cell r="H350">
            <v>0.126058</v>
          </cell>
        </row>
        <row r="351">
          <cell r="B351" t="str">
            <v>T795DYR</v>
          </cell>
          <cell r="C351" t="str">
            <v>2026-01-04 02:22:02</v>
          </cell>
          <cell r="D351" t="str">
            <v>DAR ES SALAAM</v>
          </cell>
          <cell r="E351" t="str">
            <v>2026-01-04 02:45:15</v>
          </cell>
          <cell r="F351" t="str">
            <v>DAR ES SALAAM</v>
          </cell>
          <cell r="G351" t="str">
            <v>0:23:13</v>
          </cell>
          <cell r="H351">
            <v>2.2444519999999999</v>
          </cell>
        </row>
        <row r="352">
          <cell r="B352" t="str">
            <v>T795DYR</v>
          </cell>
          <cell r="C352" t="str">
            <v>2026-01-04 02:53:00</v>
          </cell>
          <cell r="D352" t="str">
            <v>DAR ES SALAAM</v>
          </cell>
          <cell r="E352" t="str">
            <v>2026-01-04 02:55:53</v>
          </cell>
          <cell r="F352" t="str">
            <v>DAR ES SALAAM</v>
          </cell>
          <cell r="G352" t="str">
            <v>0:02:53</v>
          </cell>
          <cell r="H352">
            <v>0.290634</v>
          </cell>
        </row>
        <row r="353">
          <cell r="B353" t="str">
            <v>T795DYR</v>
          </cell>
          <cell r="C353" t="str">
            <v>2026-01-04 05:43:14</v>
          </cell>
          <cell r="D353" t="str">
            <v>DAR ES SALAAM</v>
          </cell>
          <cell r="E353" t="str">
            <v>2026-01-04 05:50:15</v>
          </cell>
          <cell r="F353" t="str">
            <v>DAR ES SALAAM</v>
          </cell>
          <cell r="G353" t="str">
            <v>0:07:01</v>
          </cell>
          <cell r="H353">
            <v>0.12399499999999999</v>
          </cell>
        </row>
        <row r="354">
          <cell r="B354" t="str">
            <v>T795DYR</v>
          </cell>
          <cell r="C354" t="str">
            <v>2026-01-04 05:59:17</v>
          </cell>
          <cell r="D354" t="str">
            <v>DAR ES SALAAM</v>
          </cell>
          <cell r="E354" t="str">
            <v>2026-01-04 06:18:39</v>
          </cell>
          <cell r="F354" t="str">
            <v>DAR ES SALAAM</v>
          </cell>
          <cell r="G354" t="str">
            <v>0:19:22</v>
          </cell>
          <cell r="H354">
            <v>11.756363</v>
          </cell>
        </row>
        <row r="355">
          <cell r="B355" t="str">
            <v>T797EBW</v>
          </cell>
          <cell r="C355" t="str">
            <v>2026-01-04 18:36:51</v>
          </cell>
          <cell r="D355" t="str">
            <v>T3, 5.85 km from Bancroft</v>
          </cell>
          <cell r="E355" t="str">
            <v>2026-01-04 22:43:23</v>
          </cell>
          <cell r="F355" t="str">
            <v>CHILILABOMBWE - DANGER ZONE!1</v>
          </cell>
          <cell r="G355" t="str">
            <v>0:33:44</v>
          </cell>
          <cell r="H355">
            <v>14.543308</v>
          </cell>
        </row>
        <row r="356">
          <cell r="B356" t="str">
            <v>T797EBW</v>
          </cell>
          <cell r="C356" t="str">
            <v>2026-01-04 18:36:51</v>
          </cell>
          <cell r="D356" t="str">
            <v>T3, 5.85 km from Bancroft</v>
          </cell>
          <cell r="E356" t="str">
            <v>2026-01-04 18:39:56</v>
          </cell>
          <cell r="F356" t="str">
            <v>T3, 5.38 km from Bancroft</v>
          </cell>
          <cell r="G356" t="str">
            <v>0:03:05</v>
          </cell>
          <cell r="H356">
            <v>0.47677700000000001</v>
          </cell>
        </row>
        <row r="357">
          <cell r="B357" t="str">
            <v>T797EBW</v>
          </cell>
          <cell r="C357" t="str">
            <v>2026-01-04 21:26:46</v>
          </cell>
          <cell r="D357" t="str">
            <v>T3, 5.38 km from Bancroft</v>
          </cell>
          <cell r="E357" t="str">
            <v>2026-01-04 21:48:05</v>
          </cell>
          <cell r="F357" t="str">
            <v>CHILILABOMBWE - DANGER ZONE!1</v>
          </cell>
          <cell r="G357" t="str">
            <v>0:21:19</v>
          </cell>
          <cell r="H357">
            <v>12.24043</v>
          </cell>
        </row>
        <row r="358">
          <cell r="B358" t="str">
            <v>T797EBW</v>
          </cell>
          <cell r="C358" t="str">
            <v>2026-01-04 22:28:16</v>
          </cell>
          <cell r="D358" t="str">
            <v>T3, 2.93 km from Momba</v>
          </cell>
          <cell r="E358" t="str">
            <v>2026-01-04 22:30:37</v>
          </cell>
          <cell r="F358" t="str">
            <v>T3, 3.14 km from Momba</v>
          </cell>
          <cell r="G358" t="str">
            <v>0:02:21</v>
          </cell>
          <cell r="H358">
            <v>0.214031</v>
          </cell>
        </row>
        <row r="359">
          <cell r="B359" t="str">
            <v>T797EBW</v>
          </cell>
          <cell r="C359" t="str">
            <v>2026-01-04 22:36:24</v>
          </cell>
          <cell r="D359" t="str">
            <v>T3, 3.14 km from Momba</v>
          </cell>
          <cell r="E359" t="str">
            <v>2026-01-04 22:43:23</v>
          </cell>
          <cell r="F359" t="str">
            <v>CHILILABOMBWE - DANGER ZONE!1</v>
          </cell>
          <cell r="G359" t="str">
            <v>0:06:59</v>
          </cell>
          <cell r="H359">
            <v>1.6120699999999999</v>
          </cell>
        </row>
        <row r="360">
          <cell r="B360" t="str">
            <v>T805DYR</v>
          </cell>
          <cell r="C360" t="str">
            <v>2026-01-04 00:00:02</v>
          </cell>
          <cell r="D360" t="str">
            <v>DAR ES SALAAM</v>
          </cell>
          <cell r="E360" t="str">
            <v>2026-01-04 04:46:39</v>
          </cell>
          <cell r="F360" t="str">
            <v>GL KURASINI YARD</v>
          </cell>
          <cell r="G360" t="str">
            <v>0:48:43</v>
          </cell>
          <cell r="H360">
            <v>6.8487619999999998</v>
          </cell>
        </row>
        <row r="361">
          <cell r="B361" t="str">
            <v>T805DYR</v>
          </cell>
          <cell r="C361" t="str">
            <v>2026-01-04 00:00:02</v>
          </cell>
          <cell r="D361" t="str">
            <v>DAR ES SALAAM</v>
          </cell>
          <cell r="E361" t="str">
            <v>2026-01-04 00:10:00</v>
          </cell>
          <cell r="F361" t="str">
            <v>DAR ES SALAAM</v>
          </cell>
          <cell r="G361" t="str">
            <v>0:09:58</v>
          </cell>
          <cell r="H361">
            <v>4.7705159999999998</v>
          </cell>
        </row>
        <row r="362">
          <cell r="B362" t="str">
            <v>T805DYR</v>
          </cell>
          <cell r="C362" t="str">
            <v>2026-01-04 00:24:01</v>
          </cell>
          <cell r="D362" t="str">
            <v>DAR ES SALAAM</v>
          </cell>
          <cell r="E362" t="str">
            <v>2026-01-04 00:27:51</v>
          </cell>
          <cell r="F362" t="str">
            <v>DAR ES SALAAM</v>
          </cell>
          <cell r="G362" t="str">
            <v>0:03:50</v>
          </cell>
          <cell r="H362">
            <v>0.167715</v>
          </cell>
        </row>
        <row r="363">
          <cell r="B363" t="str">
            <v>T805DYR</v>
          </cell>
          <cell r="C363" t="str">
            <v>2026-01-04 00:34:31</v>
          </cell>
          <cell r="D363" t="str">
            <v>DAR ES SALAAM</v>
          </cell>
          <cell r="E363" t="str">
            <v>2026-01-04 00:48:26</v>
          </cell>
          <cell r="F363" t="str">
            <v>DAR ES SALAAM</v>
          </cell>
          <cell r="G363" t="str">
            <v>0:13:55</v>
          </cell>
          <cell r="H363">
            <v>0.70047000000000004</v>
          </cell>
        </row>
        <row r="364">
          <cell r="B364" t="str">
            <v>T805DYR</v>
          </cell>
          <cell r="C364" t="str">
            <v>2026-01-04 04:01:01</v>
          </cell>
          <cell r="D364" t="str">
            <v>DAR ES SALAAM</v>
          </cell>
          <cell r="E364" t="str">
            <v>2026-01-04 04:08:53</v>
          </cell>
          <cell r="F364" t="str">
            <v>DAR ES SALAAM</v>
          </cell>
          <cell r="G364" t="str">
            <v>0:07:52</v>
          </cell>
          <cell r="H364">
            <v>0.27289400000000003</v>
          </cell>
        </row>
        <row r="365">
          <cell r="B365" t="str">
            <v>T805DYR</v>
          </cell>
          <cell r="C365" t="str">
            <v>2026-01-04 04:15:29</v>
          </cell>
          <cell r="D365" t="str">
            <v>DAR ES SALAAM</v>
          </cell>
          <cell r="E365" t="str">
            <v>2026-01-04 04:18:32</v>
          </cell>
          <cell r="F365" t="str">
            <v>DAR ES SALAAM</v>
          </cell>
          <cell r="G365" t="str">
            <v>0:03:03</v>
          </cell>
          <cell r="H365">
            <v>0.10551199999999999</v>
          </cell>
        </row>
        <row r="366">
          <cell r="B366" t="str">
            <v>T805DYR</v>
          </cell>
          <cell r="C366" t="str">
            <v>2026-01-04 04:36:34</v>
          </cell>
          <cell r="D366" t="str">
            <v>DAR ES SALAAM</v>
          </cell>
          <cell r="E366" t="str">
            <v>2026-01-04 04:46:39</v>
          </cell>
          <cell r="F366" t="str">
            <v>GL KURASINI YARD</v>
          </cell>
          <cell r="G366" t="str">
            <v>0:10:05</v>
          </cell>
          <cell r="H366">
            <v>0.83165500000000003</v>
          </cell>
        </row>
        <row r="367">
          <cell r="B367" t="str">
            <v>T810EBY</v>
          </cell>
          <cell r="C367" t="str">
            <v>2026-01-04 00:24:00</v>
          </cell>
          <cell r="D367" t="str">
            <v>KIOO</v>
          </cell>
          <cell r="E367" t="str">
            <v>2026-01-04 04:51:40</v>
          </cell>
          <cell r="F367" t="str">
            <v>MBAGALA YARD</v>
          </cell>
          <cell r="G367" t="str">
            <v>2:02:47</v>
          </cell>
          <cell r="H367">
            <v>30.575334999999999</v>
          </cell>
        </row>
        <row r="368">
          <cell r="B368" t="str">
            <v>T810EBY</v>
          </cell>
          <cell r="C368" t="str">
            <v>2026-01-04 00:24:00</v>
          </cell>
          <cell r="D368" t="str">
            <v>KIOO</v>
          </cell>
          <cell r="E368" t="str">
            <v>2026-01-04 00:31:27</v>
          </cell>
          <cell r="F368" t="str">
            <v>KIOO</v>
          </cell>
          <cell r="G368" t="str">
            <v>0:07:27</v>
          </cell>
          <cell r="H368">
            <v>0.20619799999999999</v>
          </cell>
        </row>
        <row r="369">
          <cell r="B369" t="str">
            <v>T810EBY</v>
          </cell>
          <cell r="C369" t="str">
            <v>2026-01-04 00:54:21</v>
          </cell>
          <cell r="D369" t="str">
            <v>KIOO</v>
          </cell>
          <cell r="E369" t="str">
            <v>2026-01-04 01:33:33</v>
          </cell>
          <cell r="F369" t="str">
            <v>DAR ES SALAAM</v>
          </cell>
          <cell r="G369" t="str">
            <v>0:39:12</v>
          </cell>
          <cell r="H369">
            <v>8.3633360000000003</v>
          </cell>
        </row>
        <row r="370">
          <cell r="B370" t="str">
            <v>T810EBY</v>
          </cell>
          <cell r="C370" t="str">
            <v>2026-01-04 01:57:39</v>
          </cell>
          <cell r="D370" t="str">
            <v>DAR ES SALAAM</v>
          </cell>
          <cell r="E370" t="str">
            <v>2026-01-04 02:02:03</v>
          </cell>
          <cell r="F370" t="str">
            <v>DAR ES SALAAM</v>
          </cell>
          <cell r="G370" t="str">
            <v>0:04:24</v>
          </cell>
          <cell r="H370">
            <v>0.42826500000000001</v>
          </cell>
        </row>
        <row r="371">
          <cell r="B371" t="str">
            <v>T810EBY</v>
          </cell>
          <cell r="C371" t="str">
            <v>2026-01-04 02:09:31</v>
          </cell>
          <cell r="D371" t="str">
            <v>DAR ES SALAAM</v>
          </cell>
          <cell r="E371" t="str">
            <v>2026-01-04 02:13:08</v>
          </cell>
          <cell r="F371" t="str">
            <v>DAR ES SALAAM</v>
          </cell>
          <cell r="G371" t="str">
            <v>0:03:37</v>
          </cell>
          <cell r="H371">
            <v>0.12092600000000001</v>
          </cell>
        </row>
        <row r="372">
          <cell r="B372" t="str">
            <v>T810EBY</v>
          </cell>
          <cell r="C372" t="str">
            <v>2026-01-04 02:23:53</v>
          </cell>
          <cell r="D372" t="str">
            <v>DAR ES SALAAM</v>
          </cell>
          <cell r="E372" t="str">
            <v>2026-01-04 02:34:36</v>
          </cell>
          <cell r="F372" t="str">
            <v>DAR ES SALAAM</v>
          </cell>
          <cell r="G372" t="str">
            <v>0:10:43</v>
          </cell>
          <cell r="H372">
            <v>0.32538400000000001</v>
          </cell>
        </row>
        <row r="373">
          <cell r="B373" t="str">
            <v>T810EBY</v>
          </cell>
          <cell r="C373" t="str">
            <v>2026-01-04 03:12:04</v>
          </cell>
          <cell r="D373" t="str">
            <v>DAR ES SALAAM</v>
          </cell>
          <cell r="E373" t="str">
            <v>2026-01-04 03:19:42</v>
          </cell>
          <cell r="F373" t="str">
            <v>DAR ES SALAAM</v>
          </cell>
          <cell r="G373" t="str">
            <v>0:07:38</v>
          </cell>
          <cell r="H373">
            <v>2.0704899999999999</v>
          </cell>
        </row>
        <row r="374">
          <cell r="B374" t="str">
            <v>T810EBY</v>
          </cell>
          <cell r="C374" t="str">
            <v>2026-01-04 03:27:18</v>
          </cell>
          <cell r="D374" t="str">
            <v>DAR ES SALAAM</v>
          </cell>
          <cell r="E374" t="str">
            <v>2026-01-04 04:00:39</v>
          </cell>
          <cell r="F374" t="str">
            <v>GALCO CFS</v>
          </cell>
          <cell r="G374" t="str">
            <v>0:33:21</v>
          </cell>
          <cell r="H374">
            <v>12.448793</v>
          </cell>
        </row>
        <row r="375">
          <cell r="B375" t="str">
            <v>T810EBY</v>
          </cell>
          <cell r="C375" t="str">
            <v>2026-01-04 04:35:15</v>
          </cell>
          <cell r="D375" t="str">
            <v>GALCO CFS</v>
          </cell>
          <cell r="E375" t="str">
            <v>2026-01-04 04:51:40</v>
          </cell>
          <cell r="F375" t="str">
            <v>MBAGALA YARD</v>
          </cell>
          <cell r="G375" t="str">
            <v>0:16:25</v>
          </cell>
          <cell r="H375">
            <v>6.611942</v>
          </cell>
        </row>
        <row r="376">
          <cell r="B376" t="str">
            <v>T854EBY</v>
          </cell>
          <cell r="C376" t="str">
            <v>2026-01-04 00:01:26</v>
          </cell>
          <cell r="D376" t="str">
            <v>KIOO</v>
          </cell>
          <cell r="E376" t="str">
            <v>2026-01-04 06:09:04</v>
          </cell>
          <cell r="F376" t="str">
            <v>DAR ES SALAAM</v>
          </cell>
          <cell r="G376" t="str">
            <v>1:10:02</v>
          </cell>
          <cell r="H376">
            <v>21.091740999999999</v>
          </cell>
        </row>
        <row r="377">
          <cell r="B377" t="str">
            <v>T854EBY</v>
          </cell>
          <cell r="C377" t="str">
            <v>2026-01-04 00:01:26</v>
          </cell>
          <cell r="D377" t="str">
            <v>KIOO</v>
          </cell>
          <cell r="E377" t="str">
            <v>2026-01-04 00:06:48</v>
          </cell>
          <cell r="F377" t="str">
            <v>DAR ES SALAAM</v>
          </cell>
          <cell r="G377" t="str">
            <v>0:05:22</v>
          </cell>
          <cell r="H377">
            <v>0.41816700000000001</v>
          </cell>
        </row>
        <row r="378">
          <cell r="B378" t="str">
            <v>T854EBY</v>
          </cell>
          <cell r="C378" t="str">
            <v>2026-01-04 00:18:51</v>
          </cell>
          <cell r="D378" t="str">
            <v>DAR ES SALAAM</v>
          </cell>
          <cell r="E378" t="str">
            <v>2026-01-04 00:37:36</v>
          </cell>
          <cell r="F378" t="str">
            <v>DAR ES SALAAM</v>
          </cell>
          <cell r="G378" t="str">
            <v>0:18:45</v>
          </cell>
          <cell r="H378">
            <v>8.4826920000000001</v>
          </cell>
        </row>
        <row r="379">
          <cell r="B379" t="str">
            <v>T854EBY</v>
          </cell>
          <cell r="C379" t="str">
            <v>2026-01-04 05:06:20</v>
          </cell>
          <cell r="D379" t="str">
            <v>DAR ES SALAAM</v>
          </cell>
          <cell r="E379" t="str">
            <v>2026-01-04 05:30:56</v>
          </cell>
          <cell r="F379" t="str">
            <v>DAR ES SALAAM</v>
          </cell>
          <cell r="G379" t="str">
            <v>0:24:36</v>
          </cell>
          <cell r="H379">
            <v>3.3726910000000001</v>
          </cell>
        </row>
        <row r="380">
          <cell r="B380" t="str">
            <v>T854EBY</v>
          </cell>
          <cell r="C380" t="str">
            <v>2026-01-04 05:47:45</v>
          </cell>
          <cell r="D380" t="str">
            <v>DAR ES SALAAM</v>
          </cell>
          <cell r="E380" t="str">
            <v>2026-01-04 06:09:04</v>
          </cell>
          <cell r="F380" t="str">
            <v>DAR ES SALAAM</v>
          </cell>
          <cell r="G380" t="str">
            <v>0:21:19</v>
          </cell>
          <cell r="H380">
            <v>8.8181910000000006</v>
          </cell>
        </row>
        <row r="381">
          <cell r="B381" t="str">
            <v>T866EBY</v>
          </cell>
          <cell r="C381" t="str">
            <v>2026-01-04 21:06:47</v>
          </cell>
          <cell r="D381" t="str">
            <v>TENKE FUNGURUME MINE DRC</v>
          </cell>
          <cell r="E381" t="str">
            <v>2026-01-04 21:22:44</v>
          </cell>
          <cell r="F381" t="str">
            <v>TENKE FUNGURUME MINE DRC</v>
          </cell>
          <cell r="G381" t="str">
            <v>0:15:57</v>
          </cell>
          <cell r="H381">
            <v>0.78591699999999998</v>
          </cell>
        </row>
        <row r="382">
          <cell r="B382" t="str">
            <v>T866EBY</v>
          </cell>
          <cell r="C382" t="str">
            <v>2026-01-04 21:06:47</v>
          </cell>
          <cell r="D382" t="str">
            <v>TENKE FUNGURUME MINE DRC</v>
          </cell>
          <cell r="E382" t="str">
            <v>2026-01-04 21:22:44</v>
          </cell>
          <cell r="F382" t="str">
            <v>TENKE FUNGURUME MINE DRC</v>
          </cell>
          <cell r="G382" t="str">
            <v>0:15:57</v>
          </cell>
          <cell r="H382">
            <v>0.78591699999999998</v>
          </cell>
        </row>
        <row r="383">
          <cell r="B383" t="str">
            <v>T867EBY</v>
          </cell>
          <cell r="C383" t="str">
            <v>2026-01-04 04:34:01</v>
          </cell>
          <cell r="D383" t="str">
            <v>T1, Kongolo Mkola</v>
          </cell>
          <cell r="E383" t="str">
            <v>2026-01-04 20:09:10</v>
          </cell>
          <cell r="F383" t="str">
            <v>TUNDUMA PARKING</v>
          </cell>
          <cell r="G383" t="str">
            <v>1:58:27</v>
          </cell>
          <cell r="H383">
            <v>46.862701999999999</v>
          </cell>
        </row>
        <row r="384">
          <cell r="B384" t="str">
            <v>T867EBY</v>
          </cell>
          <cell r="C384" t="str">
            <v>2026-01-04 04:34:01</v>
          </cell>
          <cell r="D384" t="str">
            <v>T1, Kongolo Mkola</v>
          </cell>
          <cell r="E384" t="str">
            <v>2026-01-04 06:15:10</v>
          </cell>
          <cell r="F384" t="str">
            <v>Tanzam Road, 2.37 km from Mbeya</v>
          </cell>
          <cell r="G384" t="str">
            <v>1:41:09</v>
          </cell>
          <cell r="H384">
            <v>44.370198000000002</v>
          </cell>
        </row>
        <row r="385">
          <cell r="B385" t="str">
            <v>T867EBY</v>
          </cell>
          <cell r="C385" t="str">
            <v>2026-01-04 19:51:52</v>
          </cell>
          <cell r="D385" t="str">
            <v>TUNDUMA BORDER TZ SIDE</v>
          </cell>
          <cell r="E385" t="str">
            <v>2026-01-04 20:09:10</v>
          </cell>
          <cell r="F385" t="str">
            <v>TUNDUMA PARKING</v>
          </cell>
          <cell r="G385" t="str">
            <v>0:17:18</v>
          </cell>
          <cell r="H385">
            <v>2.4925030000000001</v>
          </cell>
        </row>
        <row r="386">
          <cell r="B386" t="str">
            <v>T868EBW</v>
          </cell>
          <cell r="C386" t="str">
            <v>2026-01-04 00:55:24</v>
          </cell>
          <cell r="D386" t="str">
            <v>TUNDUMA PARKING</v>
          </cell>
          <cell r="E386" t="str">
            <v>2026-01-04 04:04:41</v>
          </cell>
          <cell r="F386" t="str">
            <v>NAKONDE ZM SIDE</v>
          </cell>
          <cell r="G386" t="str">
            <v>1:43:04</v>
          </cell>
          <cell r="H386">
            <v>18.758098</v>
          </cell>
        </row>
        <row r="387">
          <cell r="B387" t="str">
            <v>T868EBW</v>
          </cell>
          <cell r="C387" t="str">
            <v>2026-01-04 00:55:24</v>
          </cell>
          <cell r="D387" t="str">
            <v>TUNDUMA PARKING</v>
          </cell>
          <cell r="E387" t="str">
            <v>2026-01-04 01:09:26</v>
          </cell>
          <cell r="F387" t="str">
            <v>TUNDUMA BORDER TZ SIDE</v>
          </cell>
          <cell r="G387" t="str">
            <v>0:14:02</v>
          </cell>
          <cell r="H387">
            <v>5.8983860000000004</v>
          </cell>
        </row>
        <row r="388">
          <cell r="B388" t="str">
            <v>T868EBW</v>
          </cell>
          <cell r="C388" t="str">
            <v>2026-01-04 01:26:40</v>
          </cell>
          <cell r="D388" t="str">
            <v>TUNDUMA BORDER TZ SIDE</v>
          </cell>
          <cell r="E388" t="str">
            <v>2026-01-04 01:41:00</v>
          </cell>
          <cell r="F388" t="str">
            <v>TUNDUMA BORDER TZ SIDE</v>
          </cell>
          <cell r="G388" t="str">
            <v>0:14:20</v>
          </cell>
          <cell r="H388">
            <v>0.50436300000000001</v>
          </cell>
        </row>
        <row r="389">
          <cell r="B389" t="str">
            <v>T868EBW</v>
          </cell>
          <cell r="C389" t="str">
            <v>2026-01-04 02:02:19</v>
          </cell>
          <cell r="D389" t="str">
            <v>TUNDUMA BORDER TZ SIDE</v>
          </cell>
          <cell r="E389" t="str">
            <v>2026-01-04 02:27:53</v>
          </cell>
          <cell r="F389" t="str">
            <v>TUNDUMA BORDER TZ SIDE</v>
          </cell>
          <cell r="G389" t="str">
            <v>0:25:34</v>
          </cell>
          <cell r="H389">
            <v>4.856185</v>
          </cell>
        </row>
        <row r="390">
          <cell r="B390" t="str">
            <v>T868EBW</v>
          </cell>
          <cell r="C390" t="str">
            <v>2026-01-04 02:39:24</v>
          </cell>
          <cell r="D390" t="str">
            <v>TUNDUMA BORDER TZ SIDE</v>
          </cell>
          <cell r="E390" t="str">
            <v>2026-01-04 03:01:30</v>
          </cell>
          <cell r="F390" t="str">
            <v>TUNDUMA BORDER TZ SIDE</v>
          </cell>
          <cell r="G390" t="str">
            <v>0:22:06</v>
          </cell>
          <cell r="H390">
            <v>0.43376100000000001</v>
          </cell>
        </row>
        <row r="391">
          <cell r="B391" t="str">
            <v>T868EBW</v>
          </cell>
          <cell r="C391" t="str">
            <v>2026-01-04 03:07:31</v>
          </cell>
          <cell r="D391" t="str">
            <v>TUNDUMA BORDER TZ SIDE</v>
          </cell>
          <cell r="E391" t="str">
            <v>2026-01-04 03:16:05</v>
          </cell>
          <cell r="F391" t="str">
            <v>TUNDUMA BORDER TZ SIDE</v>
          </cell>
          <cell r="G391" t="str">
            <v>0:08:34</v>
          </cell>
          <cell r="H391">
            <v>0.39027299999999998</v>
          </cell>
        </row>
        <row r="392">
          <cell r="B392" t="str">
            <v>T868EBW</v>
          </cell>
          <cell r="C392" t="str">
            <v>2026-01-04 03:35:06</v>
          </cell>
          <cell r="D392" t="str">
            <v>TUNDUMA BORDER TZ SIDE</v>
          </cell>
          <cell r="E392" t="str">
            <v>2026-01-04 03:40:21</v>
          </cell>
          <cell r="F392" t="str">
            <v>TUNDUMA BORDER TZ SIDE</v>
          </cell>
          <cell r="G392" t="str">
            <v>0:05:15</v>
          </cell>
          <cell r="H392">
            <v>0.15198400000000001</v>
          </cell>
        </row>
        <row r="393">
          <cell r="B393" t="str">
            <v>T868EBW</v>
          </cell>
          <cell r="C393" t="str">
            <v>2026-01-04 03:51:28</v>
          </cell>
          <cell r="D393" t="str">
            <v>Great North Road, Nakonde</v>
          </cell>
          <cell r="E393" t="str">
            <v>2026-01-04 04:04:41</v>
          </cell>
          <cell r="F393" t="str">
            <v>NAKONDE ZM SIDE</v>
          </cell>
          <cell r="G393" t="str">
            <v>0:13:13</v>
          </cell>
          <cell r="H393">
            <v>6.5231469999999998</v>
          </cell>
        </row>
        <row r="394">
          <cell r="B394" t="str">
            <v>T874EBY</v>
          </cell>
          <cell r="C394" t="str">
            <v>2026-01-04 18:43:14</v>
          </cell>
          <cell r="D394" t="str">
            <v>MOKAMBO ZM SIDE</v>
          </cell>
          <cell r="E394" t="str">
            <v>2026-01-04 19:11:07</v>
          </cell>
          <cell r="F394" t="str">
            <v>MOKAMBO DRC SIDE PARKING</v>
          </cell>
          <cell r="G394" t="str">
            <v>0:27:53</v>
          </cell>
          <cell r="H394">
            <v>7.0987830000000001</v>
          </cell>
        </row>
        <row r="395">
          <cell r="B395" t="str">
            <v>T874EBY</v>
          </cell>
          <cell r="C395" t="str">
            <v>2026-01-04 18:43:14</v>
          </cell>
          <cell r="D395" t="str">
            <v>MOKAMBO ZM SIDE</v>
          </cell>
          <cell r="E395" t="str">
            <v>2026-01-04 19:11:07</v>
          </cell>
          <cell r="F395" t="str">
            <v>MOKAMBO DRC SIDE PARKING</v>
          </cell>
          <cell r="G395" t="str">
            <v>0:27:53</v>
          </cell>
          <cell r="H395">
            <v>7.0987830000000001</v>
          </cell>
        </row>
        <row r="396">
          <cell r="B396" t="str">
            <v>T877EBY</v>
          </cell>
          <cell r="C396" t="str">
            <v>2026-01-04 22:00:28</v>
          </cell>
          <cell r="D396" t="str">
            <v>MUTANDA MINES,DRC</v>
          </cell>
          <cell r="E396" t="str">
            <v>2026-01-04 23:18:19</v>
          </cell>
          <cell r="F396" t="str">
            <v>MUTANDA MINES,DRC</v>
          </cell>
          <cell r="G396" t="str">
            <v>0:17:46</v>
          </cell>
          <cell r="H396">
            <v>1.355966</v>
          </cell>
        </row>
        <row r="397">
          <cell r="B397" t="str">
            <v>T877EBY</v>
          </cell>
          <cell r="C397" t="str">
            <v>2026-01-04 22:00:28</v>
          </cell>
          <cell r="D397" t="str">
            <v>MUTANDA MINES,DRC</v>
          </cell>
          <cell r="E397" t="str">
            <v>2026-01-04 22:08:31</v>
          </cell>
          <cell r="F397" t="str">
            <v>MUTANDA MINES,DRC</v>
          </cell>
          <cell r="G397" t="str">
            <v>0:08:03</v>
          </cell>
          <cell r="H397">
            <v>0.65666199999999997</v>
          </cell>
        </row>
        <row r="398">
          <cell r="B398" t="str">
            <v>T877EBY</v>
          </cell>
          <cell r="C398" t="str">
            <v>2026-01-04 22:17:20</v>
          </cell>
          <cell r="D398" t="str">
            <v>MUTANDA MINES,DRC</v>
          </cell>
          <cell r="E398" t="str">
            <v>2026-01-04 22:23:21</v>
          </cell>
          <cell r="F398" t="str">
            <v>MUTANDA MINES,DRC</v>
          </cell>
          <cell r="G398" t="str">
            <v>0:06:01</v>
          </cell>
          <cell r="H398">
            <v>0.43988500000000003</v>
          </cell>
        </row>
        <row r="399">
          <cell r="B399" t="str">
            <v>T877EBY</v>
          </cell>
          <cell r="C399" t="str">
            <v>2026-01-04 23:14:37</v>
          </cell>
          <cell r="D399" t="str">
            <v>MUTANDA MINES,DRC</v>
          </cell>
          <cell r="E399" t="str">
            <v>2026-01-04 23:18:19</v>
          </cell>
          <cell r="F399" t="str">
            <v>MUTANDA MINES,DRC</v>
          </cell>
          <cell r="G399" t="str">
            <v>0:03:42</v>
          </cell>
          <cell r="H399">
            <v>0.25941799999999998</v>
          </cell>
        </row>
        <row r="400">
          <cell r="B400" t="str">
            <v>T878EBW</v>
          </cell>
          <cell r="C400" t="str">
            <v>2026-01-04 00:56:24</v>
          </cell>
          <cell r="D400" t="str">
            <v>TUNDUMA PARKING</v>
          </cell>
          <cell r="E400" t="str">
            <v>2026-01-04 04:10:24</v>
          </cell>
          <cell r="F400" t="str">
            <v>NAKONDE ZM SIDE</v>
          </cell>
          <cell r="G400" t="str">
            <v>1:59:49</v>
          </cell>
          <cell r="H400">
            <v>19.322887999999999</v>
          </cell>
        </row>
        <row r="401">
          <cell r="B401" t="str">
            <v>T878EBW</v>
          </cell>
          <cell r="C401" t="str">
            <v>2026-01-04 00:56:24</v>
          </cell>
          <cell r="D401" t="str">
            <v>TUNDUMA PARKING</v>
          </cell>
          <cell r="E401" t="str">
            <v>2026-01-04 01:11:00</v>
          </cell>
          <cell r="F401" t="str">
            <v>TUNDUMA BORDER TZ SIDE</v>
          </cell>
          <cell r="G401" t="str">
            <v>0:14:36</v>
          </cell>
          <cell r="H401">
            <v>5.824484</v>
          </cell>
        </row>
        <row r="402">
          <cell r="B402" t="str">
            <v>T878EBW</v>
          </cell>
          <cell r="C402" t="str">
            <v>2026-01-04 01:27:44</v>
          </cell>
          <cell r="D402" t="str">
            <v>TUNDUMA BORDER TZ SIDE</v>
          </cell>
          <cell r="E402" t="str">
            <v>2026-01-04 01:39:52</v>
          </cell>
          <cell r="F402" t="str">
            <v>TUNDUMA BORDER TZ SIDE</v>
          </cell>
          <cell r="G402" t="str">
            <v>0:12:08</v>
          </cell>
          <cell r="H402">
            <v>0.54431700000000005</v>
          </cell>
        </row>
        <row r="403">
          <cell r="B403" t="str">
            <v>T878EBW</v>
          </cell>
          <cell r="C403" t="str">
            <v>2026-01-04 01:46:23</v>
          </cell>
          <cell r="D403" t="str">
            <v>TUNDUMA BORDER TZ SIDE</v>
          </cell>
          <cell r="E403" t="str">
            <v>2026-01-04 01:56:17</v>
          </cell>
          <cell r="F403" t="str">
            <v>TUNDUMA BORDER TZ SIDE</v>
          </cell>
          <cell r="G403" t="str">
            <v>0:09:54</v>
          </cell>
          <cell r="H403">
            <v>0.28320600000000001</v>
          </cell>
        </row>
        <row r="404">
          <cell r="B404" t="str">
            <v>T878EBW</v>
          </cell>
          <cell r="C404" t="str">
            <v>2026-01-04 02:04:04</v>
          </cell>
          <cell r="D404" t="str">
            <v>TUNDUMA BORDER TZ SIDE</v>
          </cell>
          <cell r="E404" t="str">
            <v>2026-01-04 02:28:28</v>
          </cell>
          <cell r="F404" t="str">
            <v>TUNDUMA BORDER TZ SIDE</v>
          </cell>
          <cell r="G404" t="str">
            <v>0:24:24</v>
          </cell>
          <cell r="H404">
            <v>4.9182670000000002</v>
          </cell>
        </row>
        <row r="405">
          <cell r="B405" t="str">
            <v>T878EBW</v>
          </cell>
          <cell r="C405" t="str">
            <v>2026-01-04 02:47:18</v>
          </cell>
          <cell r="D405" t="str">
            <v>TUNDUMA BORDER TZ SIDE</v>
          </cell>
          <cell r="E405" t="str">
            <v>2026-01-04 03:10:19</v>
          </cell>
          <cell r="F405" t="str">
            <v>TUNDUMA BORDER TZ SIDE</v>
          </cell>
          <cell r="G405" t="str">
            <v>0:23:01</v>
          </cell>
          <cell r="H405">
            <v>0.54549099999999995</v>
          </cell>
        </row>
        <row r="406">
          <cell r="B406" t="str">
            <v>T878EBW</v>
          </cell>
          <cell r="C406" t="str">
            <v>2026-01-04 03:17:29</v>
          </cell>
          <cell r="D406" t="str">
            <v>TUNDUMA BORDER TZ SIDE</v>
          </cell>
          <cell r="E406" t="str">
            <v>2026-01-04 03:19:39</v>
          </cell>
          <cell r="F406" t="str">
            <v>TUNDUMA BORDER TZ SIDE</v>
          </cell>
          <cell r="G406" t="str">
            <v>0:02:10</v>
          </cell>
          <cell r="H406">
            <v>0.23738500000000001</v>
          </cell>
        </row>
        <row r="407">
          <cell r="B407" t="str">
            <v>T878EBW</v>
          </cell>
          <cell r="C407" t="str">
            <v>2026-01-04 03:36:48</v>
          </cell>
          <cell r="D407" t="str">
            <v>TUNDUMA BORDER TZ SIDE</v>
          </cell>
          <cell r="E407" t="str">
            <v>2026-01-04 04:10:24</v>
          </cell>
          <cell r="F407" t="str">
            <v>NAKONDE ZM SIDE</v>
          </cell>
          <cell r="G407" t="str">
            <v>0:33:36</v>
          </cell>
          <cell r="H407">
            <v>6.9697389999999997</v>
          </cell>
        </row>
        <row r="408">
          <cell r="B408" t="str">
            <v>T899DYR</v>
          </cell>
          <cell r="C408" t="str">
            <v>2026-01-04 02:53:35</v>
          </cell>
          <cell r="D408" t="str">
            <v>DAR ES SALAAM</v>
          </cell>
          <cell r="E408" t="str">
            <v>2026-01-04 03:55:43</v>
          </cell>
          <cell r="F408" t="str">
            <v>GL KURASINI YARD</v>
          </cell>
          <cell r="G408" t="str">
            <v>1:02:08</v>
          </cell>
          <cell r="H408">
            <v>13.803421</v>
          </cell>
        </row>
        <row r="409">
          <cell r="B409" t="str">
            <v>T899DYR</v>
          </cell>
          <cell r="C409" t="str">
            <v>2026-01-04 02:53:35</v>
          </cell>
          <cell r="D409" t="str">
            <v>DAR ES SALAAM</v>
          </cell>
          <cell r="E409" t="str">
            <v>2026-01-04 03:55:43</v>
          </cell>
          <cell r="F409" t="str">
            <v>GL KURASINI YARD</v>
          </cell>
          <cell r="G409" t="str">
            <v>1:02:08</v>
          </cell>
          <cell r="H409">
            <v>13.803421</v>
          </cell>
        </row>
        <row r="410">
          <cell r="B410" t="str">
            <v>T905EBW</v>
          </cell>
          <cell r="C410" t="str">
            <v>2026-01-04 00:59:22</v>
          </cell>
          <cell r="D410" t="str">
            <v>TUNDUMA PARKING</v>
          </cell>
          <cell r="E410" t="str">
            <v>2026-01-04 19:43:40</v>
          </cell>
          <cell r="F410" t="str">
            <v>NAKONDE ZM SIDE</v>
          </cell>
          <cell r="G410" t="str">
            <v>1:53:44</v>
          </cell>
          <cell r="H410">
            <v>19.715229000000001</v>
          </cell>
        </row>
        <row r="411">
          <cell r="B411" t="str">
            <v>T905EBW</v>
          </cell>
          <cell r="C411" t="str">
            <v>2026-01-04 00:59:22</v>
          </cell>
          <cell r="D411" t="str">
            <v>TUNDUMA PARKING</v>
          </cell>
          <cell r="E411" t="str">
            <v>2026-01-04 01:13:18</v>
          </cell>
          <cell r="F411" t="str">
            <v>TUNDUMA BORDER TZ SIDE</v>
          </cell>
          <cell r="G411" t="str">
            <v>0:13:56</v>
          </cell>
          <cell r="H411">
            <v>5.6950599999999998</v>
          </cell>
        </row>
        <row r="412">
          <cell r="B412" t="str">
            <v>T905EBW</v>
          </cell>
          <cell r="C412" t="str">
            <v>2026-01-04 01:28:56</v>
          </cell>
          <cell r="D412" t="str">
            <v>TUNDUMA BORDER TZ SIDE</v>
          </cell>
          <cell r="E412" t="str">
            <v>2026-01-04 01:41:24</v>
          </cell>
          <cell r="F412" t="str">
            <v>TUNDUMA BORDER TZ SIDE</v>
          </cell>
          <cell r="G412" t="str">
            <v>0:12:28</v>
          </cell>
          <cell r="H412">
            <v>0.58178300000000005</v>
          </cell>
        </row>
        <row r="413">
          <cell r="B413" t="str">
            <v>T905EBW</v>
          </cell>
          <cell r="C413" t="str">
            <v>2026-01-04 01:49:27</v>
          </cell>
          <cell r="D413" t="str">
            <v>TUNDUMA BORDER TZ SIDE</v>
          </cell>
          <cell r="E413" t="str">
            <v>2026-01-04 01:58:23</v>
          </cell>
          <cell r="F413" t="str">
            <v>TUNDUMA BORDER TZ SIDE</v>
          </cell>
          <cell r="G413" t="str">
            <v>0:08:56</v>
          </cell>
          <cell r="H413">
            <v>0.30026399999999998</v>
          </cell>
        </row>
        <row r="414">
          <cell r="B414" t="str">
            <v>T905EBW</v>
          </cell>
          <cell r="C414" t="str">
            <v>2026-01-04 02:06:00</v>
          </cell>
          <cell r="D414" t="str">
            <v>TUNDUMA BORDER TZ SIDE</v>
          </cell>
          <cell r="E414" t="str">
            <v>2026-01-04 02:32:25</v>
          </cell>
          <cell r="F414" t="str">
            <v>TUNDUMA BORDER TZ SIDE</v>
          </cell>
          <cell r="G414" t="str">
            <v>0:26:25</v>
          </cell>
          <cell r="H414">
            <v>4.9099329999999997</v>
          </cell>
        </row>
        <row r="415">
          <cell r="B415" t="str">
            <v>T905EBW</v>
          </cell>
          <cell r="C415" t="str">
            <v>2026-01-04 02:50:34</v>
          </cell>
          <cell r="D415" t="str">
            <v>TUNDUMA BORDER TZ SIDE</v>
          </cell>
          <cell r="E415" t="str">
            <v>2026-01-04 02:52:34</v>
          </cell>
          <cell r="F415" t="str">
            <v>TUNDUMA BORDER TZ SIDE</v>
          </cell>
          <cell r="G415" t="str">
            <v>0:02:00</v>
          </cell>
          <cell r="H415">
            <v>0.129829</v>
          </cell>
        </row>
        <row r="416">
          <cell r="B416" t="str">
            <v>T905EBW</v>
          </cell>
          <cell r="C416" t="str">
            <v>2026-01-04 03:09:23</v>
          </cell>
          <cell r="D416" t="str">
            <v>TUNDUMA BORDER TZ SIDE</v>
          </cell>
          <cell r="E416" t="str">
            <v>2026-01-04 03:11:25</v>
          </cell>
          <cell r="F416" t="str">
            <v>TUNDUMA BORDER TZ SIDE</v>
          </cell>
          <cell r="G416" t="str">
            <v>0:02:02</v>
          </cell>
          <cell r="H416">
            <v>0.164682</v>
          </cell>
        </row>
        <row r="417">
          <cell r="B417" t="str">
            <v>T905EBW</v>
          </cell>
          <cell r="C417" t="str">
            <v>2026-01-04 03:41:21</v>
          </cell>
          <cell r="D417" t="str">
            <v>TUNDUMA BORDER TZ SIDE</v>
          </cell>
          <cell r="E417" t="str">
            <v>2026-01-04 04:19:32</v>
          </cell>
          <cell r="F417" t="str">
            <v>NAKONDE ZM SIDE</v>
          </cell>
          <cell r="G417" t="str">
            <v>0:38:11</v>
          </cell>
          <cell r="H417">
            <v>7.1667360000000002</v>
          </cell>
        </row>
        <row r="418">
          <cell r="B418" t="str">
            <v>T905EBW</v>
          </cell>
          <cell r="C418" t="str">
            <v>2026-01-04 04:27:04</v>
          </cell>
          <cell r="D418" t="str">
            <v>NAKONDE ZM SIDE</v>
          </cell>
          <cell r="E418" t="str">
            <v>2026-01-04 04:31:34</v>
          </cell>
          <cell r="F418" t="str">
            <v>NAKONDE ZM SIDE</v>
          </cell>
          <cell r="G418" t="str">
            <v>0:04:30</v>
          </cell>
          <cell r="H418">
            <v>0.23139899999999999</v>
          </cell>
        </row>
        <row r="419">
          <cell r="B419" t="str">
            <v>T905EBW</v>
          </cell>
          <cell r="C419" t="str">
            <v>2026-01-04 19:38:24</v>
          </cell>
          <cell r="D419" t="str">
            <v>NAKONDE ZM SIDE</v>
          </cell>
          <cell r="E419" t="str">
            <v>2026-01-04 19:43:40</v>
          </cell>
          <cell r="F419" t="str">
            <v>NAKONDE ZM SIDE</v>
          </cell>
          <cell r="G419" t="str">
            <v>0:05:16</v>
          </cell>
          <cell r="H419">
            <v>0.53554299999999999</v>
          </cell>
        </row>
        <row r="420">
          <cell r="B420" t="str">
            <v>T907EBW</v>
          </cell>
          <cell r="C420" t="str">
            <v>2026-01-04 01:03:54</v>
          </cell>
          <cell r="D420" t="str">
            <v>TUNDUMA PARKING</v>
          </cell>
          <cell r="E420" t="str">
            <v>2026-01-04 06:00:28</v>
          </cell>
          <cell r="F420" t="str">
            <v>NAKONDE ZM SIDE</v>
          </cell>
          <cell r="G420" t="str">
            <v>2:27:52</v>
          </cell>
          <cell r="H420">
            <v>27.300529999999998</v>
          </cell>
        </row>
        <row r="421">
          <cell r="B421" t="str">
            <v>T907EBW</v>
          </cell>
          <cell r="C421" t="str">
            <v>2026-01-04 01:03:54</v>
          </cell>
          <cell r="D421" t="str">
            <v>TUNDUMA PARKING</v>
          </cell>
          <cell r="E421" t="str">
            <v>2026-01-04 01:19:13</v>
          </cell>
          <cell r="F421" t="str">
            <v>TUNDUMA BORDER TZ SIDE</v>
          </cell>
          <cell r="G421" t="str">
            <v>0:15:19</v>
          </cell>
          <cell r="H421">
            <v>5.3158580000000004</v>
          </cell>
        </row>
        <row r="422">
          <cell r="B422" t="str">
            <v>T907EBW</v>
          </cell>
          <cell r="C422" t="str">
            <v>2026-01-04 01:31:11</v>
          </cell>
          <cell r="D422" t="str">
            <v>TUNDUMA BORDER TZ SIDE</v>
          </cell>
          <cell r="E422" t="str">
            <v>2026-01-04 01:43:30</v>
          </cell>
          <cell r="F422" t="str">
            <v>TUNDUMA BORDER TZ SIDE</v>
          </cell>
          <cell r="G422" t="str">
            <v>0:12:19</v>
          </cell>
          <cell r="H422">
            <v>0.45378800000000002</v>
          </cell>
        </row>
        <row r="423">
          <cell r="B423" t="str">
            <v>T907EBW</v>
          </cell>
          <cell r="C423" t="str">
            <v>2026-01-04 02:09:36</v>
          </cell>
          <cell r="D423" t="str">
            <v>TUNDUMA BORDER TZ SIDE</v>
          </cell>
          <cell r="E423" t="str">
            <v>2026-01-04 03:09:32</v>
          </cell>
          <cell r="F423" t="str">
            <v>TUNDUMA BORDER TZ SIDE</v>
          </cell>
          <cell r="G423" t="str">
            <v>0:59:56</v>
          </cell>
          <cell r="H423">
            <v>13.716093000000001</v>
          </cell>
        </row>
        <row r="424">
          <cell r="B424" t="str">
            <v>T907EBW</v>
          </cell>
          <cell r="C424" t="str">
            <v>2026-01-04 03:53:17</v>
          </cell>
          <cell r="D424" t="str">
            <v>TUNDUMA BORDER TZ SIDE</v>
          </cell>
          <cell r="E424" t="str">
            <v>2026-01-04 04:00:42</v>
          </cell>
          <cell r="F424" t="str">
            <v>TUNDUMA BORDER TZ SIDE</v>
          </cell>
          <cell r="G424" t="str">
            <v>0:07:25</v>
          </cell>
          <cell r="H424">
            <v>0.33257700000000001</v>
          </cell>
        </row>
        <row r="425">
          <cell r="B425" t="str">
            <v>T907EBW</v>
          </cell>
          <cell r="C425" t="str">
            <v>2026-01-04 04:20:35</v>
          </cell>
          <cell r="D425" t="str">
            <v>TUNDUMA BORDER TZ SIDE</v>
          </cell>
          <cell r="E425" t="str">
            <v>2026-01-04 04:33:16</v>
          </cell>
          <cell r="F425" t="str">
            <v>TUNDUMA BORDER TZ SIDE</v>
          </cell>
          <cell r="G425" t="str">
            <v>0:12:41</v>
          </cell>
          <cell r="H425">
            <v>0.46892</v>
          </cell>
        </row>
        <row r="426">
          <cell r="B426" t="str">
            <v>T907EBW</v>
          </cell>
          <cell r="C426" t="str">
            <v>2026-01-04 04:38:39</v>
          </cell>
          <cell r="D426" t="str">
            <v>TUNDUMA BORDER TZ SIDE</v>
          </cell>
          <cell r="E426" t="str">
            <v>2026-01-04 04:42:04</v>
          </cell>
          <cell r="F426" t="str">
            <v>TUNDUMA BORDER TZ SIDE</v>
          </cell>
          <cell r="G426" t="str">
            <v>0:03:25</v>
          </cell>
          <cell r="H426">
            <v>0.19162599999999999</v>
          </cell>
        </row>
        <row r="427">
          <cell r="B427" t="str">
            <v>T907EBW</v>
          </cell>
          <cell r="C427" t="str">
            <v>2026-01-04 04:51:05</v>
          </cell>
          <cell r="D427" t="str">
            <v>TUNDUMA BORDER TZ SIDE</v>
          </cell>
          <cell r="E427" t="str">
            <v>2026-01-04 05:09:12</v>
          </cell>
          <cell r="F427" t="str">
            <v>TUNDUMA BORDER TZ SIDE</v>
          </cell>
          <cell r="G427" t="str">
            <v>0:18:07</v>
          </cell>
          <cell r="H427">
            <v>0.31918099999999999</v>
          </cell>
        </row>
        <row r="428">
          <cell r="B428" t="str">
            <v>T907EBW</v>
          </cell>
          <cell r="C428" t="str">
            <v>2026-01-04 05:41:48</v>
          </cell>
          <cell r="D428" t="str">
            <v>T1, Nakonde</v>
          </cell>
          <cell r="E428" t="str">
            <v>2026-01-04 06:00:28</v>
          </cell>
          <cell r="F428" t="str">
            <v>NAKONDE ZM SIDE</v>
          </cell>
          <cell r="G428" t="str">
            <v>0:18:40</v>
          </cell>
          <cell r="H428">
            <v>6.5024870000000004</v>
          </cell>
        </row>
        <row r="429">
          <cell r="B429" t="str">
            <v>T910EBW</v>
          </cell>
          <cell r="C429" t="str">
            <v>2026-01-04 00:57:25</v>
          </cell>
          <cell r="D429" t="str">
            <v>TUNDUMA PARKING</v>
          </cell>
          <cell r="E429" t="str">
            <v>2026-01-04 04:28:32</v>
          </cell>
          <cell r="F429" t="str">
            <v>NAKONDE ZM SIDE</v>
          </cell>
          <cell r="G429" t="str">
            <v>2:11:28</v>
          </cell>
          <cell r="H429">
            <v>19.355557999999998</v>
          </cell>
        </row>
        <row r="430">
          <cell r="B430" t="str">
            <v>T910EBW</v>
          </cell>
          <cell r="C430" t="str">
            <v>2026-01-04 00:57:25</v>
          </cell>
          <cell r="D430" t="str">
            <v>TUNDUMA PARKING</v>
          </cell>
          <cell r="E430" t="str">
            <v>2026-01-04 01:10:32</v>
          </cell>
          <cell r="F430" t="str">
            <v>TUNDUMA BORDER TZ SIDE</v>
          </cell>
          <cell r="G430" t="str">
            <v>0:13:07</v>
          </cell>
          <cell r="H430">
            <v>5.7294309999999999</v>
          </cell>
        </row>
        <row r="431">
          <cell r="B431" t="str">
            <v>T910EBW</v>
          </cell>
          <cell r="C431" t="str">
            <v>2026-01-04 01:28:24</v>
          </cell>
          <cell r="D431" t="str">
            <v>TUNDUMA BORDER TZ SIDE</v>
          </cell>
          <cell r="E431" t="str">
            <v>2026-01-04 01:41:42</v>
          </cell>
          <cell r="F431" t="str">
            <v>TUNDUMA BORDER TZ SIDE</v>
          </cell>
          <cell r="G431" t="str">
            <v>0:13:18</v>
          </cell>
          <cell r="H431">
            <v>0.58077500000000004</v>
          </cell>
        </row>
        <row r="432">
          <cell r="B432" t="str">
            <v>T910EBW</v>
          </cell>
          <cell r="C432" t="str">
            <v>2026-01-04 01:48:25</v>
          </cell>
          <cell r="D432" t="str">
            <v>TUNDUMA BORDER TZ SIDE</v>
          </cell>
          <cell r="E432" t="str">
            <v>2026-01-04 01:57:46</v>
          </cell>
          <cell r="F432" t="str">
            <v>TUNDUMA BORDER TZ SIDE</v>
          </cell>
          <cell r="G432" t="str">
            <v>0:09:21</v>
          </cell>
          <cell r="H432">
            <v>0.29224899999999998</v>
          </cell>
        </row>
        <row r="433">
          <cell r="B433" t="str">
            <v>T910EBW</v>
          </cell>
          <cell r="C433" t="str">
            <v>2026-01-04 02:05:33</v>
          </cell>
          <cell r="D433" t="str">
            <v>TUNDUMA BORDER TZ SIDE</v>
          </cell>
          <cell r="E433" t="str">
            <v>2026-01-04 02:32:14</v>
          </cell>
          <cell r="F433" t="str">
            <v>TUNDUMA BORDER TZ SIDE</v>
          </cell>
          <cell r="G433" t="str">
            <v>0:26:41</v>
          </cell>
          <cell r="H433">
            <v>4.892296</v>
          </cell>
        </row>
        <row r="434">
          <cell r="B434" t="str">
            <v>T910EBW</v>
          </cell>
          <cell r="C434" t="str">
            <v>2026-01-04 02:50:14</v>
          </cell>
          <cell r="D434" t="str">
            <v>TUNDUMA BORDER TZ SIDE</v>
          </cell>
          <cell r="E434" t="str">
            <v>2026-01-04 03:02:59</v>
          </cell>
          <cell r="F434" t="str">
            <v>TUNDUMA BORDER TZ SIDE</v>
          </cell>
          <cell r="G434" t="str">
            <v>0:12:45</v>
          </cell>
          <cell r="H434">
            <v>0.34427600000000003</v>
          </cell>
        </row>
        <row r="435">
          <cell r="B435" t="str">
            <v>T910EBW</v>
          </cell>
          <cell r="C435" t="str">
            <v>2026-01-04 03:09:05</v>
          </cell>
          <cell r="D435" t="str">
            <v>TUNDUMA BORDER TZ SIDE</v>
          </cell>
          <cell r="E435" t="str">
            <v>2026-01-04 03:11:22</v>
          </cell>
          <cell r="F435" t="str">
            <v>TUNDUMA BORDER TZ SIDE</v>
          </cell>
          <cell r="G435" t="str">
            <v>0:02:17</v>
          </cell>
          <cell r="H435">
            <v>0.17649100000000001</v>
          </cell>
        </row>
        <row r="436">
          <cell r="B436" t="str">
            <v>T910EBW</v>
          </cell>
          <cell r="C436" t="str">
            <v>2026-01-04 03:19:17</v>
          </cell>
          <cell r="D436" t="str">
            <v>TUNDUMA BORDER TZ SIDE</v>
          </cell>
          <cell r="E436" t="str">
            <v>2026-01-04 03:32:40</v>
          </cell>
          <cell r="F436" t="str">
            <v>TUNDUMA BORDER TZ SIDE</v>
          </cell>
          <cell r="G436" t="str">
            <v>0:13:23</v>
          </cell>
          <cell r="H436">
            <v>0.29313400000000001</v>
          </cell>
        </row>
        <row r="437">
          <cell r="B437" t="str">
            <v>T910EBW</v>
          </cell>
          <cell r="C437" t="str">
            <v>2026-01-04 03:41:06</v>
          </cell>
          <cell r="D437" t="str">
            <v>TUNDUMA BORDER TZ SIDE</v>
          </cell>
          <cell r="E437" t="str">
            <v>2026-01-04 04:02:58</v>
          </cell>
          <cell r="F437" t="str">
            <v>T1, Nakonde</v>
          </cell>
          <cell r="G437" t="str">
            <v>0:21:52</v>
          </cell>
          <cell r="H437">
            <v>0.52463199999999999</v>
          </cell>
        </row>
        <row r="438">
          <cell r="B438" t="str">
            <v>T910EBW</v>
          </cell>
          <cell r="C438" t="str">
            <v>2026-01-04 04:09:48</v>
          </cell>
          <cell r="D438" t="str">
            <v>T1, Nakonde</v>
          </cell>
          <cell r="E438" t="str">
            <v>2026-01-04 04:28:32</v>
          </cell>
          <cell r="F438" t="str">
            <v>NAKONDE ZM SIDE</v>
          </cell>
          <cell r="G438" t="str">
            <v>0:18:44</v>
          </cell>
          <cell r="H438">
            <v>6.5222740000000003</v>
          </cell>
        </row>
        <row r="439">
          <cell r="B439" t="str">
            <v>T921EBW</v>
          </cell>
          <cell r="C439" t="str">
            <v>2026-01-04 01:04:37</v>
          </cell>
          <cell r="D439" t="str">
            <v>DAR ES SALAAM</v>
          </cell>
          <cell r="E439" t="str">
            <v>2026-01-04 01:44:21</v>
          </cell>
          <cell r="F439" t="str">
            <v>MBAGALA YARD</v>
          </cell>
          <cell r="G439" t="str">
            <v>0:39:44</v>
          </cell>
          <cell r="H439">
            <v>17.325426</v>
          </cell>
        </row>
        <row r="440">
          <cell r="B440" t="str">
            <v>T921EBW</v>
          </cell>
          <cell r="C440" t="str">
            <v>2026-01-04 01:04:37</v>
          </cell>
          <cell r="D440" t="str">
            <v>DAR ES SALAAM</v>
          </cell>
          <cell r="E440" t="str">
            <v>2026-01-04 01:44:21</v>
          </cell>
          <cell r="F440" t="str">
            <v>MBAGALA YARD</v>
          </cell>
          <cell r="G440" t="str">
            <v>0:39:44</v>
          </cell>
          <cell r="H440">
            <v>17.325426</v>
          </cell>
        </row>
        <row r="441">
          <cell r="B441" t="str">
            <v>T939EBW</v>
          </cell>
          <cell r="C441" t="str">
            <v>2026-01-04 00:56:15</v>
          </cell>
          <cell r="D441" t="str">
            <v>TUNDUMA PARKING</v>
          </cell>
          <cell r="E441" t="str">
            <v>2026-01-04 04:18:56</v>
          </cell>
          <cell r="F441" t="str">
            <v>NAKONDE ZM SIDE</v>
          </cell>
          <cell r="G441" t="str">
            <v>2:14:29</v>
          </cell>
          <cell r="H441">
            <v>19.525894999999998</v>
          </cell>
        </row>
        <row r="442">
          <cell r="B442" t="str">
            <v>T939EBW</v>
          </cell>
          <cell r="C442" t="str">
            <v>2026-01-04 00:56:15</v>
          </cell>
          <cell r="D442" t="str">
            <v>TUNDUMA PARKING</v>
          </cell>
          <cell r="E442" t="str">
            <v>2026-01-04 01:10:12</v>
          </cell>
          <cell r="F442" t="str">
            <v>TUNDUMA BORDER TZ SIDE</v>
          </cell>
          <cell r="G442" t="str">
            <v>0:13:57</v>
          </cell>
          <cell r="H442">
            <v>5.8191170000000003</v>
          </cell>
        </row>
        <row r="443">
          <cell r="B443" t="str">
            <v>T939EBW</v>
          </cell>
          <cell r="C443" t="str">
            <v>2026-01-04 01:28:14</v>
          </cell>
          <cell r="D443" t="str">
            <v>TUNDUMA BORDER TZ SIDE</v>
          </cell>
          <cell r="E443" t="str">
            <v>2026-01-04 01:40:15</v>
          </cell>
          <cell r="F443" t="str">
            <v>TUNDUMA BORDER TZ SIDE</v>
          </cell>
          <cell r="G443" t="str">
            <v>0:12:01</v>
          </cell>
          <cell r="H443">
            <v>0.55340299999999998</v>
          </cell>
        </row>
        <row r="444">
          <cell r="B444" t="str">
            <v>T939EBW</v>
          </cell>
          <cell r="C444" t="str">
            <v>2026-01-04 01:48:32</v>
          </cell>
          <cell r="D444" t="str">
            <v>TUNDUMA BORDER TZ SIDE</v>
          </cell>
          <cell r="E444" t="str">
            <v>2026-01-04 01:56:32</v>
          </cell>
          <cell r="F444" t="str">
            <v>TUNDUMA BORDER TZ SIDE</v>
          </cell>
          <cell r="G444" t="str">
            <v>0:08:00</v>
          </cell>
          <cell r="H444">
            <v>0.28500799999999998</v>
          </cell>
        </row>
        <row r="445">
          <cell r="B445" t="str">
            <v>T939EBW</v>
          </cell>
          <cell r="C445" t="str">
            <v>2026-01-04 02:06:18</v>
          </cell>
          <cell r="D445" t="str">
            <v>TUNDUMA BORDER TZ SIDE</v>
          </cell>
          <cell r="E445" t="str">
            <v>2026-01-04 02:27:32</v>
          </cell>
          <cell r="F445" t="str">
            <v>TUNDUMA BORDER TZ SIDE</v>
          </cell>
          <cell r="G445" t="str">
            <v>0:21:14</v>
          </cell>
          <cell r="H445">
            <v>4.8810380000000002</v>
          </cell>
        </row>
        <row r="446">
          <cell r="B446" t="str">
            <v>T939EBW</v>
          </cell>
          <cell r="C446" t="str">
            <v>2026-01-04 02:40:38</v>
          </cell>
          <cell r="D446" t="str">
            <v>TUNDUMA BORDER TZ SIDE</v>
          </cell>
          <cell r="E446" t="str">
            <v>2026-01-04 03:11:35</v>
          </cell>
          <cell r="F446" t="str">
            <v>TUNDUMA BORDER TZ SIDE</v>
          </cell>
          <cell r="G446" t="str">
            <v>0:30:57</v>
          </cell>
          <cell r="H446">
            <v>0.63763300000000001</v>
          </cell>
        </row>
        <row r="447">
          <cell r="B447" t="str">
            <v>T939EBW</v>
          </cell>
          <cell r="C447" t="str">
            <v>2026-01-04 03:18:35</v>
          </cell>
          <cell r="D447" t="str">
            <v>TUNDUMA BORDER TZ SIDE</v>
          </cell>
          <cell r="E447" t="str">
            <v>2026-01-04 03:32:17</v>
          </cell>
          <cell r="F447" t="str">
            <v>TUNDUMA BORDER TZ SIDE</v>
          </cell>
          <cell r="G447" t="str">
            <v>0:13:42</v>
          </cell>
          <cell r="H447">
            <v>0.35602499999999998</v>
          </cell>
        </row>
        <row r="448">
          <cell r="B448" t="str">
            <v>T939EBW</v>
          </cell>
          <cell r="C448" t="str">
            <v>2026-01-04 03:38:34</v>
          </cell>
          <cell r="D448" t="str">
            <v>TUNDUMA BORDER TZ SIDE</v>
          </cell>
          <cell r="E448" t="str">
            <v>2026-01-04 03:54:32</v>
          </cell>
          <cell r="F448" t="str">
            <v>T1, Nakonde</v>
          </cell>
          <cell r="G448" t="str">
            <v>0:15:58</v>
          </cell>
          <cell r="H448">
            <v>0.445716</v>
          </cell>
        </row>
        <row r="449">
          <cell r="B449" t="str">
            <v>T939EBW</v>
          </cell>
          <cell r="C449" t="str">
            <v>2026-01-04 04:00:16</v>
          </cell>
          <cell r="D449" t="str">
            <v>T1, Nakonde</v>
          </cell>
          <cell r="E449" t="str">
            <v>2026-01-04 04:18:56</v>
          </cell>
          <cell r="F449" t="str">
            <v>NAKONDE ZM SIDE</v>
          </cell>
          <cell r="G449" t="str">
            <v>0:18:40</v>
          </cell>
          <cell r="H449">
            <v>6.5479539999999998</v>
          </cell>
        </row>
        <row r="450">
          <cell r="B450" t="str">
            <v>T945DSX</v>
          </cell>
          <cell r="C450" t="str">
            <v>2026-01-04 19:09:32</v>
          </cell>
          <cell r="D450" t="str">
            <v>GENERAL PARKING - LUBUMBASHI</v>
          </cell>
          <cell r="E450" t="str">
            <v>2026-01-04 20:48:38</v>
          </cell>
          <cell r="F450" t="str">
            <v>LUBUMBASHI</v>
          </cell>
          <cell r="G450" t="str">
            <v>1:34:03</v>
          </cell>
          <cell r="H450">
            <v>43.657592999999999</v>
          </cell>
        </row>
        <row r="451">
          <cell r="B451" t="str">
            <v>T945DSX</v>
          </cell>
          <cell r="C451" t="str">
            <v>2026-01-04 19:09:32</v>
          </cell>
          <cell r="D451" t="str">
            <v>GENERAL PARKING - LUBUMBASHI</v>
          </cell>
          <cell r="E451" t="str">
            <v>2026-01-04 19:14:15</v>
          </cell>
          <cell r="F451" t="str">
            <v>GENERAL PARKING - LUBUMBASHI</v>
          </cell>
          <cell r="G451" t="str">
            <v>0:04:43</v>
          </cell>
          <cell r="H451">
            <v>0.23494899999999999</v>
          </cell>
        </row>
        <row r="452">
          <cell r="B452" t="str">
            <v>T945DSX</v>
          </cell>
          <cell r="C452" t="str">
            <v>2026-01-04 19:19:18</v>
          </cell>
          <cell r="D452" t="str">
            <v>GENERAL PARKING - LUBUMBASHI</v>
          </cell>
          <cell r="E452" t="str">
            <v>2026-01-04 20:48:38</v>
          </cell>
          <cell r="F452" t="str">
            <v>LUBUMBASHI</v>
          </cell>
          <cell r="G452" t="str">
            <v>1:29:20</v>
          </cell>
          <cell r="H452">
            <v>43.422643999999998</v>
          </cell>
        </row>
        <row r="453">
          <cell r="B453" t="str">
            <v>T955EBW</v>
          </cell>
          <cell r="C453" t="str">
            <v>2026-01-04 01:03:20</v>
          </cell>
          <cell r="D453" t="str">
            <v>TUNDUMA PARKING</v>
          </cell>
          <cell r="E453" t="str">
            <v>2026-01-04 05:35:20</v>
          </cell>
          <cell r="F453" t="str">
            <v>NAKONDE ZM SIDE</v>
          </cell>
          <cell r="G453" t="str">
            <v>2:11:00</v>
          </cell>
          <cell r="H453">
            <v>26.770296999999999</v>
          </cell>
        </row>
        <row r="454">
          <cell r="B454" t="str">
            <v>T955EBW</v>
          </cell>
          <cell r="C454" t="str">
            <v>2026-01-04 01:03:20</v>
          </cell>
          <cell r="D454" t="str">
            <v>TUNDUMA PARKING</v>
          </cell>
          <cell r="E454" t="str">
            <v>2026-01-04 01:21:17</v>
          </cell>
          <cell r="F454" t="str">
            <v>TUNDUMA BORDER TZ SIDE</v>
          </cell>
          <cell r="G454" t="str">
            <v>0:17:57</v>
          </cell>
          <cell r="H454">
            <v>5.3458389999999998</v>
          </cell>
        </row>
        <row r="455">
          <cell r="B455" t="str">
            <v>T955EBW</v>
          </cell>
          <cell r="C455" t="str">
            <v>2026-01-04 01:41:32</v>
          </cell>
          <cell r="D455" t="str">
            <v>TUNDUMA BORDER TZ SIDE</v>
          </cell>
          <cell r="E455" t="str">
            <v>2026-01-04 01:43:06</v>
          </cell>
          <cell r="F455" t="str">
            <v>TUNDUMA BORDER TZ SIDE</v>
          </cell>
          <cell r="G455" t="str">
            <v>0:01:34</v>
          </cell>
          <cell r="H455">
            <v>0.11469600000000001</v>
          </cell>
        </row>
        <row r="456">
          <cell r="B456" t="str">
            <v>T955EBW</v>
          </cell>
          <cell r="C456" t="str">
            <v>2026-01-04 02:09:07</v>
          </cell>
          <cell r="D456" t="str">
            <v>TUNDUMA BORDER TZ SIDE</v>
          </cell>
          <cell r="E456" t="str">
            <v>2026-01-04 02:59:19</v>
          </cell>
          <cell r="F456" t="str">
            <v>TUNDUMA BORDER TZ SIDE</v>
          </cell>
          <cell r="G456" t="str">
            <v>0:50:12</v>
          </cell>
          <cell r="H456">
            <v>13.454157</v>
          </cell>
        </row>
        <row r="457">
          <cell r="B457" t="str">
            <v>T955EBW</v>
          </cell>
          <cell r="C457" t="str">
            <v>2026-01-04 03:05:32</v>
          </cell>
          <cell r="D457" t="str">
            <v>TUNDUMA BORDER TZ SIDE</v>
          </cell>
          <cell r="E457" t="str">
            <v>2026-01-04 03:19:45</v>
          </cell>
          <cell r="F457" t="str">
            <v>TUNDUMA BORDER TZ SIDE</v>
          </cell>
          <cell r="G457" t="str">
            <v>0:14:13</v>
          </cell>
          <cell r="H457">
            <v>0.31901600000000002</v>
          </cell>
        </row>
        <row r="458">
          <cell r="B458" t="str">
            <v>T955EBW</v>
          </cell>
          <cell r="C458" t="str">
            <v>2026-01-04 04:08:54</v>
          </cell>
          <cell r="D458" t="str">
            <v>TUNDUMA BORDER TZ SIDE</v>
          </cell>
          <cell r="E458" t="str">
            <v>2026-01-04 04:13:32</v>
          </cell>
          <cell r="F458" t="str">
            <v>TUNDUMA BORDER TZ SIDE</v>
          </cell>
          <cell r="G458" t="str">
            <v>0:04:38</v>
          </cell>
          <cell r="H458">
            <v>0.112802</v>
          </cell>
        </row>
        <row r="459">
          <cell r="B459" t="str">
            <v>T955EBW</v>
          </cell>
          <cell r="C459" t="str">
            <v>2026-01-04 04:21:19</v>
          </cell>
          <cell r="D459" t="str">
            <v>TUNDUMA BORDER TZ SIDE</v>
          </cell>
          <cell r="E459" t="str">
            <v>2026-01-04 04:24:41</v>
          </cell>
          <cell r="F459" t="str">
            <v>TUNDUMA BORDER TZ SIDE</v>
          </cell>
          <cell r="G459" t="str">
            <v>0:03:22</v>
          </cell>
          <cell r="H459">
            <v>0.25116100000000002</v>
          </cell>
        </row>
        <row r="460">
          <cell r="B460" t="str">
            <v>T955EBW</v>
          </cell>
          <cell r="C460" t="str">
            <v>2026-01-04 04:31:54</v>
          </cell>
          <cell r="D460" t="str">
            <v>TUNDUMA BORDER TZ SIDE</v>
          </cell>
          <cell r="E460" t="str">
            <v>2026-01-04 04:46:22</v>
          </cell>
          <cell r="F460" t="str">
            <v>TUNDUMA BORDER TZ SIDE</v>
          </cell>
          <cell r="G460" t="str">
            <v>0:14:28</v>
          </cell>
          <cell r="H460">
            <v>0.477626</v>
          </cell>
        </row>
        <row r="461">
          <cell r="B461" t="str">
            <v>T955EBW</v>
          </cell>
          <cell r="C461" t="str">
            <v>2026-01-04 04:56:43</v>
          </cell>
          <cell r="D461" t="str">
            <v>TUNDUMA BORDER TZ SIDE</v>
          </cell>
          <cell r="E461" t="str">
            <v>2026-01-04 05:05:17</v>
          </cell>
          <cell r="F461" t="str">
            <v>T1, Nakonde</v>
          </cell>
          <cell r="G461" t="str">
            <v>0:08:34</v>
          </cell>
          <cell r="H461">
            <v>0.103995</v>
          </cell>
        </row>
        <row r="462">
          <cell r="B462" t="str">
            <v>T955EBW</v>
          </cell>
          <cell r="C462" t="str">
            <v>2026-01-04 05:19:18</v>
          </cell>
          <cell r="D462" t="str">
            <v>Great North Road, Nakonde</v>
          </cell>
          <cell r="E462" t="str">
            <v>2026-01-04 05:35:20</v>
          </cell>
          <cell r="F462" t="str">
            <v>NAKONDE ZM SIDE</v>
          </cell>
          <cell r="G462" t="str">
            <v>0:16:02</v>
          </cell>
          <cell r="H462">
            <v>6.5910039999999999</v>
          </cell>
        </row>
        <row r="463">
          <cell r="B463" t="str">
            <v>T957DSX</v>
          </cell>
          <cell r="C463" t="str">
            <v>2026-01-04 05:11:58</v>
          </cell>
          <cell r="D463" t="str">
            <v>Morogoro, Dar Es Salaam Road</v>
          </cell>
          <cell r="E463" t="str">
            <v>2026-01-04 20:36:06</v>
          </cell>
          <cell r="F463" t="str">
            <v>T1, 2.99 km from Itewe</v>
          </cell>
          <cell r="G463" t="str">
            <v>7:42:46</v>
          </cell>
          <cell r="H463">
            <v>289.89043199999998</v>
          </cell>
        </row>
        <row r="464">
          <cell r="B464" t="str">
            <v>T957DSX</v>
          </cell>
          <cell r="C464" t="str">
            <v>2026-01-04 05:11:58</v>
          </cell>
          <cell r="D464" t="str">
            <v>Morogoro, Dar Es Salaam Road</v>
          </cell>
          <cell r="E464" t="str">
            <v>2026-01-04 12:50:18</v>
          </cell>
          <cell r="F464" t="str">
            <v>IPOGOLO IRINGA</v>
          </cell>
          <cell r="G464" t="str">
            <v>7:38:20</v>
          </cell>
          <cell r="H464">
            <v>289.89043199999998</v>
          </cell>
        </row>
        <row r="465">
          <cell r="B465" t="str">
            <v>T957DSX</v>
          </cell>
          <cell r="C465" t="str">
            <v>2026-01-04 20:31:40</v>
          </cell>
          <cell r="D465" t="str">
            <v>T1, 1.30 km from Itewe</v>
          </cell>
          <cell r="E465" t="str">
            <v>2026-01-04 20:36:06</v>
          </cell>
          <cell r="F465" t="str">
            <v>T1, 2.99 km from Itewe</v>
          </cell>
          <cell r="G465" t="str">
            <v>0:04:26</v>
          </cell>
          <cell r="H465">
            <v>0</v>
          </cell>
        </row>
        <row r="466">
          <cell r="B466" t="str">
            <v>T958DSX</v>
          </cell>
          <cell r="C466" t="str">
            <v>2026-01-04 02:14:27</v>
          </cell>
          <cell r="D466" t="str">
            <v>DAR ES SALAAM</v>
          </cell>
          <cell r="E466" t="str">
            <v>2026-01-04 03:05:38</v>
          </cell>
          <cell r="F466" t="str">
            <v>MBAGALA YARD</v>
          </cell>
          <cell r="G466" t="str">
            <v>0:51:11</v>
          </cell>
          <cell r="H466">
            <v>19.150531999999998</v>
          </cell>
        </row>
        <row r="467">
          <cell r="B467" t="str">
            <v>T958DSX</v>
          </cell>
          <cell r="C467" t="str">
            <v>2026-01-04 02:14:27</v>
          </cell>
          <cell r="D467" t="str">
            <v>DAR ES SALAAM</v>
          </cell>
          <cell r="E467" t="str">
            <v>2026-01-04 03:05:38</v>
          </cell>
          <cell r="F467" t="str">
            <v>MBAGALA YARD</v>
          </cell>
          <cell r="G467" t="str">
            <v>0:51:11</v>
          </cell>
          <cell r="H467">
            <v>19.150531999999998</v>
          </cell>
        </row>
        <row r="468">
          <cell r="B468" t="str">
            <v>T960DSX</v>
          </cell>
          <cell r="C468" t="str">
            <v>2026-01-04 19:09:15</v>
          </cell>
          <cell r="D468" t="str">
            <v>TUNDUMA BORDER TZ SIDE</v>
          </cell>
          <cell r="E468" t="str">
            <v>2026-01-04 23:26:03</v>
          </cell>
          <cell r="F468" t="str">
            <v>NAKONDE ZM SIDE</v>
          </cell>
          <cell r="G468" t="str">
            <v>0:42:15</v>
          </cell>
          <cell r="H468">
            <v>7.6317409999999999</v>
          </cell>
        </row>
        <row r="469">
          <cell r="B469" t="str">
            <v>T960DSX</v>
          </cell>
          <cell r="C469" t="str">
            <v>2026-01-04 19:09:15</v>
          </cell>
          <cell r="D469" t="str">
            <v>TUNDUMA BORDER TZ SIDE</v>
          </cell>
          <cell r="E469" t="str">
            <v>2026-01-04 19:11:09</v>
          </cell>
          <cell r="F469" t="str">
            <v>TUNDUMA BORDER TZ SIDE</v>
          </cell>
          <cell r="G469" t="str">
            <v>0:01:54</v>
          </cell>
          <cell r="H469">
            <v>0.107012</v>
          </cell>
        </row>
        <row r="470">
          <cell r="B470" t="str">
            <v>T960DSX</v>
          </cell>
          <cell r="C470" t="str">
            <v>2026-01-04 22:17:13</v>
          </cell>
          <cell r="D470" t="str">
            <v>TUNDUMA BORDER TZ SIDE</v>
          </cell>
          <cell r="E470" t="str">
            <v>2026-01-04 22:22:58</v>
          </cell>
          <cell r="F470" t="str">
            <v>TUNDUMA BORDER TZ SIDE</v>
          </cell>
          <cell r="G470" t="str">
            <v>0:05:45</v>
          </cell>
          <cell r="H470">
            <v>0.48465599999999998</v>
          </cell>
        </row>
        <row r="471">
          <cell r="B471" t="str">
            <v>T960DSX</v>
          </cell>
          <cell r="C471" t="str">
            <v>2026-01-04 22:28:45</v>
          </cell>
          <cell r="D471" t="str">
            <v>TUNDUMA BORDER TZ SIDE</v>
          </cell>
          <cell r="E471" t="str">
            <v>2026-01-04 22:44:03</v>
          </cell>
          <cell r="F471" t="str">
            <v>TUNDUMA BORDER TZ SIDE</v>
          </cell>
          <cell r="G471" t="str">
            <v>0:15:18</v>
          </cell>
          <cell r="H471">
            <v>0.35164299999999998</v>
          </cell>
        </row>
        <row r="472">
          <cell r="B472" t="str">
            <v>T960DSX</v>
          </cell>
          <cell r="C472" t="str">
            <v>2026-01-04 22:56:56</v>
          </cell>
          <cell r="D472" t="str">
            <v>TUNDUMA BORDER TZ SIDE</v>
          </cell>
          <cell r="E472" t="str">
            <v>2026-01-04 23:01:04</v>
          </cell>
          <cell r="F472" t="str">
            <v>TUNDUMA BORDER TZ SIDE</v>
          </cell>
          <cell r="G472" t="str">
            <v>0:04:08</v>
          </cell>
          <cell r="H472">
            <v>0.132021</v>
          </cell>
        </row>
        <row r="473">
          <cell r="B473" t="str">
            <v>T960DSX</v>
          </cell>
          <cell r="C473" t="str">
            <v>2026-01-04 23:10:53</v>
          </cell>
          <cell r="D473" t="str">
            <v>Great North Road, Nakonde</v>
          </cell>
          <cell r="E473" t="str">
            <v>2026-01-04 23:26:03</v>
          </cell>
          <cell r="F473" t="str">
            <v>NAKONDE ZM SIDE</v>
          </cell>
          <cell r="G473" t="str">
            <v>0:15:10</v>
          </cell>
          <cell r="H473">
            <v>6.5564090000000004</v>
          </cell>
        </row>
        <row r="474">
          <cell r="B474" t="str">
            <v>T977EBW</v>
          </cell>
          <cell r="C474" t="str">
            <v>2026-01-04 00:57:28</v>
          </cell>
          <cell r="D474" t="str">
            <v>TUNDUMA PARKING</v>
          </cell>
          <cell r="E474" t="str">
            <v>2026-01-04 04:28:14</v>
          </cell>
          <cell r="F474" t="str">
            <v>NAKONDE ZM SIDE</v>
          </cell>
          <cell r="G474" t="str">
            <v>1:51:17</v>
          </cell>
          <cell r="H474">
            <v>18.973115</v>
          </cell>
        </row>
        <row r="475">
          <cell r="B475" t="str">
            <v>T977EBW</v>
          </cell>
          <cell r="C475" t="str">
            <v>2026-01-04 00:57:28</v>
          </cell>
          <cell r="D475" t="str">
            <v>TUNDUMA PARKING</v>
          </cell>
          <cell r="E475" t="str">
            <v>2026-01-04 01:10:26</v>
          </cell>
          <cell r="F475" t="str">
            <v>TUNDUMA BORDER TZ SIDE</v>
          </cell>
          <cell r="G475" t="str">
            <v>0:12:58</v>
          </cell>
          <cell r="H475">
            <v>5.7553260000000002</v>
          </cell>
        </row>
        <row r="476">
          <cell r="B476" t="str">
            <v>T977EBW</v>
          </cell>
          <cell r="C476" t="str">
            <v>2026-01-04 01:28:15</v>
          </cell>
          <cell r="D476" t="str">
            <v>TUNDUMA BORDER TZ SIDE</v>
          </cell>
          <cell r="E476" t="str">
            <v>2026-01-04 01:40:57</v>
          </cell>
          <cell r="F476" t="str">
            <v>TUNDUMA BORDER TZ SIDE</v>
          </cell>
          <cell r="G476" t="str">
            <v>0:12:42</v>
          </cell>
          <cell r="H476">
            <v>0.57292100000000001</v>
          </cell>
        </row>
        <row r="477">
          <cell r="B477" t="str">
            <v>T977EBW</v>
          </cell>
          <cell r="C477" t="str">
            <v>2026-01-04 01:52:14</v>
          </cell>
          <cell r="D477" t="str">
            <v>TUNDUMA BORDER TZ SIDE</v>
          </cell>
          <cell r="E477" t="str">
            <v>2026-01-04 01:54:24</v>
          </cell>
          <cell r="F477" t="str">
            <v>TUNDUMA BORDER TZ SIDE</v>
          </cell>
          <cell r="G477" t="str">
            <v>0:02:10</v>
          </cell>
          <cell r="H477">
            <v>0.116781</v>
          </cell>
        </row>
        <row r="478">
          <cell r="B478" t="str">
            <v>T977EBW</v>
          </cell>
          <cell r="C478" t="str">
            <v>2026-01-04 02:05:10</v>
          </cell>
          <cell r="D478" t="str">
            <v>TUNDUMA BORDER TZ SIDE</v>
          </cell>
          <cell r="E478" t="str">
            <v>2026-01-04 02:29:39</v>
          </cell>
          <cell r="F478" t="str">
            <v>TUNDUMA BORDER TZ SIDE</v>
          </cell>
          <cell r="G478" t="str">
            <v>0:24:29</v>
          </cell>
          <cell r="H478">
            <v>4.7019029999999997</v>
          </cell>
        </row>
        <row r="479">
          <cell r="B479" t="str">
            <v>T977EBW</v>
          </cell>
          <cell r="C479" t="str">
            <v>2026-01-04 02:50:05</v>
          </cell>
          <cell r="D479" t="str">
            <v>TUNDUMA BORDER TZ SIDE</v>
          </cell>
          <cell r="E479" t="str">
            <v>2026-01-04 03:03:00</v>
          </cell>
          <cell r="F479" t="str">
            <v>TUNDUMA BORDER TZ SIDE</v>
          </cell>
          <cell r="G479" t="str">
            <v>0:12:55</v>
          </cell>
          <cell r="H479">
            <v>0.20949799999999999</v>
          </cell>
        </row>
        <row r="480">
          <cell r="B480" t="str">
            <v>T977EBW</v>
          </cell>
          <cell r="C480" t="str">
            <v>2026-01-04 03:09:20</v>
          </cell>
          <cell r="D480" t="str">
            <v>TUNDUMA BORDER TZ SIDE</v>
          </cell>
          <cell r="E480" t="str">
            <v>2026-01-04 03:11:27</v>
          </cell>
          <cell r="F480" t="str">
            <v>TUNDUMA BORDER TZ SIDE</v>
          </cell>
          <cell r="G480" t="str">
            <v>0:02:07</v>
          </cell>
          <cell r="H480">
            <v>0.18076400000000001</v>
          </cell>
        </row>
        <row r="481">
          <cell r="B481" t="str">
            <v>T977EBW</v>
          </cell>
          <cell r="C481" t="str">
            <v>2026-01-04 03:16:44</v>
          </cell>
          <cell r="D481" t="str">
            <v>TUNDUMA BORDER TZ SIDE</v>
          </cell>
          <cell r="E481" t="str">
            <v>2026-01-04 03:33:25</v>
          </cell>
          <cell r="F481" t="str">
            <v>TUNDUMA BORDER TZ SIDE</v>
          </cell>
          <cell r="G481" t="str">
            <v>0:16:41</v>
          </cell>
          <cell r="H481">
            <v>0.35030899999999998</v>
          </cell>
        </row>
        <row r="482">
          <cell r="B482" t="str">
            <v>T977EBW</v>
          </cell>
          <cell r="C482" t="str">
            <v>2026-01-04 03:40:55</v>
          </cell>
          <cell r="D482" t="str">
            <v>TUNDUMA BORDER TZ SIDE</v>
          </cell>
          <cell r="E482" t="str">
            <v>2026-01-04 03:54:37</v>
          </cell>
          <cell r="F482" t="str">
            <v>TUNDUMA BORDER TZ SIDE</v>
          </cell>
          <cell r="G482" t="str">
            <v>0:13:42</v>
          </cell>
          <cell r="H482">
            <v>0.36909199999999998</v>
          </cell>
        </row>
        <row r="483">
          <cell r="B483" t="str">
            <v>T977EBW</v>
          </cell>
          <cell r="C483" t="str">
            <v>2026-01-04 04:14:41</v>
          </cell>
          <cell r="D483" t="str">
            <v>Great North Road, Nakonde</v>
          </cell>
          <cell r="E483" t="str">
            <v>2026-01-04 04:28:14</v>
          </cell>
          <cell r="F483" t="str">
            <v>NAKONDE ZM SIDE</v>
          </cell>
          <cell r="G483" t="str">
            <v>0:13:33</v>
          </cell>
          <cell r="H483">
            <v>6.7165210000000002</v>
          </cell>
        </row>
        <row r="484">
          <cell r="B484" t="str">
            <v>T980EBW</v>
          </cell>
          <cell r="C484" t="str">
            <v>2026-01-04 00:47:59</v>
          </cell>
          <cell r="D484" t="str">
            <v>TUNDUMA PARKING</v>
          </cell>
          <cell r="E484" t="str">
            <v>2026-01-04 05:10:09</v>
          </cell>
          <cell r="F484" t="str">
            <v>NAKONDE ZM SIDE</v>
          </cell>
          <cell r="G484" t="str">
            <v>2:02:51</v>
          </cell>
          <cell r="H484">
            <v>27.674493999999999</v>
          </cell>
        </row>
        <row r="485">
          <cell r="B485" t="str">
            <v>T980EBW</v>
          </cell>
          <cell r="C485" t="str">
            <v>2026-01-04 00:47:59</v>
          </cell>
          <cell r="D485" t="str">
            <v>TUNDUMA PARKING</v>
          </cell>
          <cell r="E485" t="str">
            <v>2026-01-04 01:09:56</v>
          </cell>
          <cell r="F485" t="str">
            <v>TUNDUMA BORDER TZ SIDE</v>
          </cell>
          <cell r="G485" t="str">
            <v>0:21:57</v>
          </cell>
          <cell r="H485">
            <v>5.9919159999999998</v>
          </cell>
        </row>
        <row r="486">
          <cell r="B486" t="str">
            <v>T980EBW</v>
          </cell>
          <cell r="C486" t="str">
            <v>2026-01-04 01:24:22</v>
          </cell>
          <cell r="D486" t="str">
            <v>TUNDUMA BORDER TZ SIDE</v>
          </cell>
          <cell r="E486" t="str">
            <v>2026-01-04 01:37:04</v>
          </cell>
          <cell r="F486" t="str">
            <v>TUNDUMA BORDER TZ SIDE</v>
          </cell>
          <cell r="G486" t="str">
            <v>0:12:42</v>
          </cell>
          <cell r="H486">
            <v>0.50025299999999995</v>
          </cell>
        </row>
        <row r="487">
          <cell r="B487" t="str">
            <v>T980EBW</v>
          </cell>
          <cell r="C487" t="str">
            <v>2026-01-04 01:52:22</v>
          </cell>
          <cell r="D487" t="str">
            <v>TUNDUMA BORDER TZ SIDE</v>
          </cell>
          <cell r="E487" t="str">
            <v>2026-01-04 01:55:19</v>
          </cell>
          <cell r="F487" t="str">
            <v>TUNDUMA BORDER TZ SIDE</v>
          </cell>
          <cell r="G487" t="str">
            <v>0:02:57</v>
          </cell>
          <cell r="H487">
            <v>0.10401199999999999</v>
          </cell>
        </row>
        <row r="488">
          <cell r="B488" t="str">
            <v>T980EBW</v>
          </cell>
          <cell r="C488" t="str">
            <v>2026-01-04 02:02:34</v>
          </cell>
          <cell r="D488" t="str">
            <v>TUNDUMA BORDER TZ SIDE</v>
          </cell>
          <cell r="E488" t="str">
            <v>2026-01-04 02:54:37</v>
          </cell>
          <cell r="F488" t="str">
            <v>TUNDUMA BORDER TZ SIDE</v>
          </cell>
          <cell r="G488" t="str">
            <v>0:52:03</v>
          </cell>
          <cell r="H488">
            <v>13.492283</v>
          </cell>
        </row>
        <row r="489">
          <cell r="B489" t="str">
            <v>T980EBW</v>
          </cell>
          <cell r="C489" t="str">
            <v>2026-01-04 03:47:34</v>
          </cell>
          <cell r="D489" t="str">
            <v>TUNDUMA BORDER TZ SIDE</v>
          </cell>
          <cell r="E489" t="str">
            <v>2026-01-04 03:48:38</v>
          </cell>
          <cell r="F489" t="str">
            <v>TUNDUMA BORDER TZ SIDE</v>
          </cell>
          <cell r="G489" t="str">
            <v>0:01:04</v>
          </cell>
          <cell r="H489">
            <v>0.12324599999999999</v>
          </cell>
        </row>
        <row r="490">
          <cell r="B490" t="str">
            <v>T980EBW</v>
          </cell>
          <cell r="C490" t="str">
            <v>2026-01-04 04:02:21</v>
          </cell>
          <cell r="D490" t="str">
            <v>TUNDUMA BORDER TZ SIDE</v>
          </cell>
          <cell r="E490" t="str">
            <v>2026-01-04 04:07:08</v>
          </cell>
          <cell r="F490" t="str">
            <v>TUNDUMA BORDER TZ SIDE</v>
          </cell>
          <cell r="G490" t="str">
            <v>0:04:47</v>
          </cell>
          <cell r="H490">
            <v>0.24096999999999999</v>
          </cell>
        </row>
        <row r="491">
          <cell r="B491" t="str">
            <v>T980EBW</v>
          </cell>
          <cell r="C491" t="str">
            <v>2026-01-04 04:30:19</v>
          </cell>
          <cell r="D491" t="str">
            <v>TUNDUMA BORDER TZ SIDE</v>
          </cell>
          <cell r="E491" t="str">
            <v>2026-01-04 04:38:59</v>
          </cell>
          <cell r="F491" t="str">
            <v>T1, Nakonde</v>
          </cell>
          <cell r="G491" t="str">
            <v>0:08:40</v>
          </cell>
          <cell r="H491">
            <v>0.330123</v>
          </cell>
        </row>
        <row r="492">
          <cell r="B492" t="str">
            <v>T980EBW</v>
          </cell>
          <cell r="C492" t="str">
            <v>2026-01-04 04:51:28</v>
          </cell>
          <cell r="D492" t="str">
            <v>Great North Road, Nakonde</v>
          </cell>
          <cell r="E492" t="str">
            <v>2026-01-04 05:10:09</v>
          </cell>
          <cell r="F492" t="str">
            <v>NAKONDE ZM SIDE</v>
          </cell>
          <cell r="G492" t="str">
            <v>0:18:41</v>
          </cell>
          <cell r="H492">
            <v>6.8916919999999999</v>
          </cell>
        </row>
        <row r="493">
          <cell r="B493" t="str">
            <v>T989EBW</v>
          </cell>
          <cell r="C493" t="str">
            <v>2026-01-04 00:27:45</v>
          </cell>
          <cell r="D493" t="str">
            <v>KIOO</v>
          </cell>
          <cell r="E493" t="str">
            <v>2026-01-04 04:42:40</v>
          </cell>
          <cell r="F493" t="str">
            <v>MBAGALA YARD</v>
          </cell>
          <cell r="G493" t="str">
            <v>1:11:04</v>
          </cell>
          <cell r="H493">
            <v>26.568860000000001</v>
          </cell>
        </row>
        <row r="494">
          <cell r="B494" t="str">
            <v>T989EBW</v>
          </cell>
          <cell r="C494" t="str">
            <v>2026-01-04 00:27:45</v>
          </cell>
          <cell r="D494" t="str">
            <v>KIOO</v>
          </cell>
          <cell r="E494" t="str">
            <v>2026-01-04 00:55:35</v>
          </cell>
          <cell r="F494" t="str">
            <v>DAR ES SALAAM</v>
          </cell>
          <cell r="G494" t="str">
            <v>0:27:50</v>
          </cell>
          <cell r="H494">
            <v>9.3078029999999998</v>
          </cell>
        </row>
        <row r="495">
          <cell r="B495" t="str">
            <v>T989EBW</v>
          </cell>
          <cell r="C495" t="str">
            <v>2026-01-04 03:53:22</v>
          </cell>
          <cell r="D495" t="str">
            <v>DAR ES SALAAM</v>
          </cell>
          <cell r="E495" t="str">
            <v>2026-01-04 04:07:15</v>
          </cell>
          <cell r="F495" t="str">
            <v>DAR ES SALAAM</v>
          </cell>
          <cell r="G495" t="str">
            <v>0:13:53</v>
          </cell>
          <cell r="H495">
            <v>3.341717</v>
          </cell>
        </row>
        <row r="496">
          <cell r="B496" t="str">
            <v>T989EBW</v>
          </cell>
          <cell r="C496" t="str">
            <v>2026-01-04 04:13:19</v>
          </cell>
          <cell r="D496" t="str">
            <v>DAR ES SALAAM</v>
          </cell>
          <cell r="E496" t="str">
            <v>2026-01-04 04:42:40</v>
          </cell>
          <cell r="F496" t="str">
            <v>MBAGALA YARD</v>
          </cell>
          <cell r="G496" t="str">
            <v>0:29:21</v>
          </cell>
          <cell r="H496">
            <v>13.919340999999999</v>
          </cell>
        </row>
        <row r="497">
          <cell r="B497" t="str">
            <v>T993EBW</v>
          </cell>
          <cell r="C497" t="str">
            <v>2026-01-04 01:00:17</v>
          </cell>
          <cell r="D497" t="str">
            <v>TUNDUMA PARKING</v>
          </cell>
          <cell r="E497" t="str">
            <v>2026-01-04 04:30:17</v>
          </cell>
          <cell r="F497" t="str">
            <v>NAKONDE ZM SIDE</v>
          </cell>
          <cell r="G497" t="str">
            <v>1:51:58</v>
          </cell>
          <cell r="H497">
            <v>19.243145999999999</v>
          </cell>
        </row>
        <row r="498">
          <cell r="B498" t="str">
            <v>T993EBW</v>
          </cell>
          <cell r="C498" t="str">
            <v>2026-01-04 01:00:17</v>
          </cell>
          <cell r="D498" t="str">
            <v>TUNDUMA PARKING</v>
          </cell>
          <cell r="E498" t="str">
            <v>2026-01-04 01:15:03</v>
          </cell>
          <cell r="F498" t="str">
            <v>TUNDUMA BORDER TZ SIDE</v>
          </cell>
          <cell r="G498" t="str">
            <v>0:14:46</v>
          </cell>
          <cell r="H498">
            <v>5.6285639999999999</v>
          </cell>
        </row>
        <row r="499">
          <cell r="B499" t="str">
            <v>T993EBW</v>
          </cell>
          <cell r="C499" t="str">
            <v>2026-01-04 01:28:58</v>
          </cell>
          <cell r="D499" t="str">
            <v>TUNDUMA BORDER TZ SIDE</v>
          </cell>
          <cell r="E499" t="str">
            <v>2026-01-04 01:32:08</v>
          </cell>
          <cell r="F499" t="str">
            <v>TUNDUMA BORDER TZ SIDE</v>
          </cell>
          <cell r="G499" t="str">
            <v>0:03:10</v>
          </cell>
          <cell r="H499">
            <v>0.24318600000000001</v>
          </cell>
        </row>
        <row r="500">
          <cell r="B500" t="str">
            <v>T993EBW</v>
          </cell>
          <cell r="C500" t="str">
            <v>2026-01-04 01:37:34</v>
          </cell>
          <cell r="D500" t="str">
            <v>TUNDUMA BORDER TZ SIDE</v>
          </cell>
          <cell r="E500" t="str">
            <v>2026-01-04 01:41:34</v>
          </cell>
          <cell r="F500" t="str">
            <v>TUNDUMA BORDER TZ SIDE</v>
          </cell>
          <cell r="G500" t="str">
            <v>0:04:00</v>
          </cell>
          <cell r="H500">
            <v>0.340451</v>
          </cell>
        </row>
        <row r="501">
          <cell r="B501" t="str">
            <v>T993EBW</v>
          </cell>
          <cell r="C501" t="str">
            <v>2026-01-04 01:56:21</v>
          </cell>
          <cell r="D501" t="str">
            <v>TUNDUMA BORDER TZ SIDE</v>
          </cell>
          <cell r="E501" t="str">
            <v>2026-01-04 01:58:31</v>
          </cell>
          <cell r="F501" t="str">
            <v>TUNDUMA BORDER TZ SIDE</v>
          </cell>
          <cell r="G501" t="str">
            <v>0:02:10</v>
          </cell>
          <cell r="H501">
            <v>0.124249</v>
          </cell>
        </row>
        <row r="502">
          <cell r="B502" t="str">
            <v>T993EBW</v>
          </cell>
          <cell r="C502" t="str">
            <v>2026-01-04 02:06:22</v>
          </cell>
          <cell r="D502" t="str">
            <v>TUNDUMA BORDER TZ SIDE</v>
          </cell>
          <cell r="E502" t="str">
            <v>2026-01-04 02:32:34</v>
          </cell>
          <cell r="F502" t="str">
            <v>TUNDUMA BORDER TZ SIDE</v>
          </cell>
          <cell r="G502" t="str">
            <v>0:26:12</v>
          </cell>
          <cell r="H502">
            <v>4.9030360000000002</v>
          </cell>
        </row>
        <row r="503">
          <cell r="B503" t="str">
            <v>T993EBW</v>
          </cell>
          <cell r="C503" t="str">
            <v>2026-01-04 02:55:04</v>
          </cell>
          <cell r="D503" t="str">
            <v>TUNDUMA BORDER TZ SIDE</v>
          </cell>
          <cell r="E503" t="str">
            <v>2026-01-04 03:03:06</v>
          </cell>
          <cell r="F503" t="str">
            <v>TUNDUMA BORDER TZ SIDE</v>
          </cell>
          <cell r="G503" t="str">
            <v>0:08:02</v>
          </cell>
          <cell r="H503">
            <v>0.35410599999999998</v>
          </cell>
        </row>
        <row r="504">
          <cell r="B504" t="str">
            <v>T993EBW</v>
          </cell>
          <cell r="C504" t="str">
            <v>2026-01-04 03:09:26</v>
          </cell>
          <cell r="D504" t="str">
            <v>TUNDUMA BORDER TZ SIDE</v>
          </cell>
          <cell r="E504" t="str">
            <v>2026-01-04 03:24:17</v>
          </cell>
          <cell r="F504" t="str">
            <v>TUNDUMA BORDER TZ SIDE</v>
          </cell>
          <cell r="G504" t="str">
            <v>0:14:51</v>
          </cell>
          <cell r="H504">
            <v>0.354547</v>
          </cell>
        </row>
        <row r="505">
          <cell r="B505" t="str">
            <v>T993EBW</v>
          </cell>
          <cell r="C505" t="str">
            <v>2026-01-04 03:43:40</v>
          </cell>
          <cell r="D505" t="str">
            <v>TUNDUMA BORDER TZ SIDE</v>
          </cell>
          <cell r="E505" t="str">
            <v>2026-01-04 04:01:28</v>
          </cell>
          <cell r="F505" t="str">
            <v>T1, Nakonde</v>
          </cell>
          <cell r="G505" t="str">
            <v>0:17:48</v>
          </cell>
          <cell r="H505">
            <v>0.58549200000000001</v>
          </cell>
        </row>
        <row r="506">
          <cell r="B506" t="str">
            <v>T993EBW</v>
          </cell>
          <cell r="C506" t="str">
            <v>2026-01-04 04:09:18</v>
          </cell>
          <cell r="D506" t="str">
            <v>Great North Road, Nakonde</v>
          </cell>
          <cell r="E506" t="str">
            <v>2026-01-04 04:30:17</v>
          </cell>
          <cell r="F506" t="str">
            <v>NAKONDE ZM SIDE</v>
          </cell>
          <cell r="G506" t="str">
            <v>0:20:59</v>
          </cell>
          <cell r="H506">
            <v>6.7095159999999998</v>
          </cell>
        </row>
        <row r="507">
          <cell r="B507" t="str">
            <v>T995EBW</v>
          </cell>
          <cell r="C507" t="str">
            <v>2026-01-04 00:09:40</v>
          </cell>
          <cell r="D507" t="str">
            <v>KIOO</v>
          </cell>
          <cell r="E507" t="str">
            <v>2026-01-04 05:42:41</v>
          </cell>
          <cell r="F507" t="str">
            <v>MBAGALA YARD</v>
          </cell>
          <cell r="G507" t="str">
            <v>1:27:35</v>
          </cell>
          <cell r="H507">
            <v>28.904178000000002</v>
          </cell>
        </row>
        <row r="508">
          <cell r="B508" t="str">
            <v>T995EBW</v>
          </cell>
          <cell r="C508" t="str">
            <v>2026-01-04 00:09:40</v>
          </cell>
          <cell r="D508" t="str">
            <v>KIOO</v>
          </cell>
          <cell r="E508" t="str">
            <v>2026-01-04 00:43:04</v>
          </cell>
          <cell r="F508" t="str">
            <v>DAR ES SALAAM</v>
          </cell>
          <cell r="G508" t="str">
            <v>0:33:24</v>
          </cell>
          <cell r="H508">
            <v>11.532703</v>
          </cell>
        </row>
        <row r="509">
          <cell r="B509" t="str">
            <v>T995EBW</v>
          </cell>
          <cell r="C509" t="str">
            <v>2026-01-04 03:58:47</v>
          </cell>
          <cell r="D509" t="str">
            <v>DAR ES SALAAM</v>
          </cell>
          <cell r="E509" t="str">
            <v>2026-01-04 04:08:25</v>
          </cell>
          <cell r="F509" t="str">
            <v>DAR ES SALAAM</v>
          </cell>
          <cell r="G509" t="str">
            <v>0:09:38</v>
          </cell>
          <cell r="H509">
            <v>0.13022800000000001</v>
          </cell>
        </row>
        <row r="510">
          <cell r="B510" t="str">
            <v>T995EBW</v>
          </cell>
          <cell r="C510" t="str">
            <v>2026-01-04 04:44:00</v>
          </cell>
          <cell r="D510" t="str">
            <v>DAR ES SALAAM</v>
          </cell>
          <cell r="E510" t="str">
            <v>2026-01-04 04:52:12</v>
          </cell>
          <cell r="F510" t="str">
            <v>DAR ES SALAAM</v>
          </cell>
          <cell r="G510" t="str">
            <v>0:08:12</v>
          </cell>
          <cell r="H510">
            <v>3.206912</v>
          </cell>
        </row>
        <row r="511">
          <cell r="B511" t="str">
            <v>T995EBW</v>
          </cell>
          <cell r="C511" t="str">
            <v>2026-01-04 05:06:20</v>
          </cell>
          <cell r="D511" t="str">
            <v>DAR ES SALAAM</v>
          </cell>
          <cell r="E511" t="str">
            <v>2026-01-04 05:42:41</v>
          </cell>
          <cell r="F511" t="str">
            <v>MBAGALA YARD</v>
          </cell>
          <cell r="G511" t="str">
            <v>0:36:21</v>
          </cell>
          <cell r="H511">
            <v>14.034335</v>
          </cell>
        </row>
        <row r="512">
          <cell r="B512" t="str">
            <v>Total</v>
          </cell>
          <cell r="C512" t="str">
            <v>-----</v>
          </cell>
          <cell r="D512" t="str">
            <v>-----</v>
          </cell>
          <cell r="E512" t="str">
            <v>-----</v>
          </cell>
          <cell r="F512" t="str">
            <v>-----</v>
          </cell>
          <cell r="G512" t="str">
            <v>126:16:57</v>
          </cell>
          <cell r="H512">
            <v>2241.5976470000001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" refreshedDate="46032.807641203704" createdVersion="8" refreshedVersion="8" minRefreshableVersion="3" recordCount="94" xr:uid="{56E8F0AA-D957-4887-A5AE-58BEE264EA85}">
  <cacheSource type="worksheet">
    <worksheetSource name="Table2"/>
  </cacheSource>
  <cacheFields count="8">
    <cacheField name="SN" numFmtId="0">
      <sharedItems containsString="0" containsBlank="1" containsNumber="1" containsInteger="1" minValue="1" maxValue="79"/>
    </cacheField>
    <cacheField name="Row Labels" numFmtId="0">
      <sharedItems count="336">
        <s v="T728DYR"/>
        <s v="T334EBX"/>
        <s v="T335EBX"/>
        <s v="T724DYR"/>
        <s v="T869EBY"/>
        <s v="T315EBX"/>
        <s v="T712DYR"/>
        <s v="T510EBY"/>
        <s v="T710EBX"/>
        <s v="T792EBW"/>
        <s v="T585DYR"/>
        <s v="T314DDJ"/>
        <s v="T756EBX"/>
        <s v="T517EBY"/>
        <s v="T318EBX"/>
        <s v="T696DEB"/>
        <s v="T411ECN"/>
        <s v="T645DHL"/>
        <s v="T934EBW"/>
        <s v="T604DTQ"/>
        <s v="T890EBW"/>
        <s v="T603DTQ"/>
        <s v="T930EBW"/>
        <s v="T520EBY"/>
        <s v="T754DEB"/>
        <s v="T224EBX"/>
        <s v="T282EBY"/>
        <s v="T153EBX"/>
        <s v="T263EBX"/>
        <s v="T568DYR"/>
        <s v="T402ECN"/>
        <s v="T413DHG"/>
        <s v="T494DYR"/>
        <s v="T524EBY"/>
        <s v="T957DSX"/>
        <s v="T271EBY"/>
        <s v="T499DYR"/>
        <s v="T820DDS"/>
        <s v="T104EBX"/>
        <s v="T107EBX"/>
        <s v="T578DTQ"/>
        <s v="T652DTQ"/>
        <s v="T661DTQ"/>
        <s v="T797DYR"/>
        <s v="T812EBW"/>
        <s v="T861EBY"/>
        <s v="T868EBW"/>
        <s v="T873EBY"/>
        <s v="T909EBW"/>
        <s v="T939EBW"/>
        <s v="T178EBX"/>
        <s v="T360DHG"/>
        <s v="T907EBW"/>
        <s v="T127EBX"/>
        <s v="T518EBY"/>
        <s v="T720DYR"/>
        <s v="T796DYR"/>
        <s v="T954EBW"/>
        <s v="T175EBX"/>
        <s v="T319EBY"/>
        <s v="T331EBX"/>
        <s v="T508EBY"/>
        <s v="T521EBY"/>
        <s v="T663DTQ"/>
        <s v="T732EBX"/>
        <s v="T803EBW"/>
        <s v="T871EBW"/>
        <s v="T873EBW"/>
        <s v="T522EBY" u="1"/>
        <s v="T766DYR" u="1"/>
        <s v="T286EBY" u="1"/>
        <s v="T741EBX" u="1"/>
        <s v="T817EBW" u="1"/>
        <s v="T876EBW" u="1"/>
        <s v="T915EBW" u="1"/>
        <s v="T232EBX" u="1"/>
        <s v="T523EBY" u="1"/>
        <s v="T709EBX" u="1"/>
        <s v="T755EBX" u="1"/>
        <s v="T144EBX" u="1"/>
        <s v="T332EBX" u="1"/>
        <s v="T339EBX" u="1"/>
        <s v="T572DYR" u="1"/>
        <s v="T586DYR" u="1"/>
        <s v="T746DEB" u="1"/>
        <s v="T891EBW" u="1"/>
        <s v="T218EBX" u="1"/>
        <s v="T407DHE" u="1"/>
        <s v="T493DYR" u="1"/>
        <s v="T713DYR" u="1"/>
        <s v="T768EBW" u="1"/>
        <s v="T842EBY" u="1"/>
        <s v="T102EBX" u="1"/>
        <s v="T392ECN" u="1"/>
        <s v="T497DYR" u="1"/>
        <s v="T635DTQ" u="1"/>
        <s v="T725EBX" u="1"/>
        <s v="T728EBX" u="1"/>
        <s v="T763EBW" u="1"/>
        <s v="T810EBW" u="1"/>
        <s v="T875EBY" u="1"/>
        <s v="T878EBY" u="1"/>
        <s v="T955EBW" u="1"/>
        <s v="T328EBX" u="1"/>
        <s v="T329ECN" u="1"/>
        <s v="T342EBX" u="1"/>
        <s v="T590DTQ" u="1"/>
        <s v="T680EBX" u="1"/>
        <s v="T244EBX" u="1"/>
        <s v="T385ECN" u="1"/>
        <s v="T592DTQ" u="1"/>
        <s v="T662DTQ" u="1"/>
        <s v="T734EBX" u="1"/>
        <s v="T772DYR" u="1"/>
        <s v="T977EBW" u="1"/>
        <s v="T491DYR" u="1"/>
        <s v="T509EBY" u="1"/>
        <s v="T633DTQ" u="1"/>
        <s v="T835EBY" u="1"/>
        <s v="T877EBY" u="1"/>
        <s v="T887EBW" u="1"/>
        <s v="T191EBX" u="1"/>
        <s v="T261EBX" u="1"/>
        <s v="T341EBX" u="1"/>
        <s v="T431DHG" u="1"/>
        <s v="T514DTR" u="1"/>
        <s v="T643DHL" u="1"/>
        <s v="T704DYR" u="1"/>
        <s v="T770DYR" u="1"/>
        <s v="T870EBW" u="1"/>
        <s v="T235EBX" u="1"/>
        <s v="T250EBX" u="1"/>
        <s v="T259EBX" u="1"/>
        <s v="T311EBX" u="1"/>
        <s v="T326ECN" u="1"/>
        <s v="T332ECN" u="1"/>
        <s v="T677EBX" u="1"/>
        <s v="T774EBW" u="1"/>
        <s v="T795DYR" u="1"/>
        <s v="T904EBW" u="1"/>
        <s v="T186EBX" u="1"/>
        <s v="T246EBX" u="1"/>
        <s v="T278EBY" u="1"/>
        <s v="T365DHG" u="1"/>
        <s v="T388ECN" u="1"/>
        <s v="T425DHG" u="1"/>
        <s v="T516EBY" u="1"/>
        <s v="T578DYR" u="1"/>
        <s v="T689DEB" u="1"/>
        <s v="T702EBX" u="1"/>
        <s v="T714EBX" u="1"/>
        <s v="T797EBW" u="1"/>
        <s v="T337EBX" u="1"/>
        <s v="T346EBX" u="1"/>
        <s v="T376ECN" u="1"/>
        <s v="T379ECN" u="1"/>
        <s v="T513EBY" u="1"/>
        <s v="T514EBY" u="1"/>
        <s v="T874EBY" u="1"/>
        <s v="T876EBY" u="1"/>
        <s v="T950EBW" u="1"/>
        <s v="T266EBX" u="1"/>
        <s v="T794EBW" u="1"/>
        <s v="T154EBX" u="1"/>
        <s v="T417DHE" u="1"/>
        <s v="T512DTR" u="1"/>
        <s v="T711DEB" u="1"/>
        <s v="T905EBW" u="1"/>
        <s v="T373DHG" u="1"/>
        <s v="T383ECN" u="1"/>
        <s v="T528EBY" u="1"/>
        <s v="T947DSX" u="1"/>
        <s v="T496DYR" u="1"/>
        <s v="T810EBY" u="1"/>
        <s v="T381ECN" u="1"/>
        <s v="T871EBY" u="1"/>
        <s v="T945EBW" u="1"/>
        <s v="T329EBX" u="1"/>
        <s v="T580DTQ" u="1"/>
        <s v="T921EBW" u="1"/>
        <s v="T929EBW" u="1"/>
        <s v="T308EBX" u="1"/>
        <s v="T312EBX" u="1"/>
        <s v="T602DTQ" u="1"/>
        <s v="T150EBX" u="1"/>
        <s v="T340EBX" u="1"/>
        <s v="T766EBW" u="1"/>
        <s v="T773EBW" u="1"/>
        <s v="T723DYR" u="1"/>
        <s v="T146EBX" u="1"/>
        <s v="T109EBX" u="1"/>
        <s v="T579DTQ" u="1"/>
        <s v="T699EBX" u="1"/>
        <s v="T767DYR" u="1"/>
        <s v="T446DYR" u="1"/>
        <s v="T380ECN" u="1"/>
        <s v="T239EBX" u="1"/>
        <s v="T953DSX" u="1"/>
        <s v="T482DYR" u="1"/>
        <s v="T956DSX" u="1"/>
        <s v="T703DYR" u="1"/>
        <s v="T958DSX" u="1"/>
        <s v="T600DTQ" u="1"/>
        <s v="T589DYR" u="1"/>
        <s v="T348EBX" u="1"/>
        <s v="T764EBW" u="1"/>
        <s v="T928EBW" u="1"/>
        <s v="T727DYR" u="1"/>
        <s v="T986EBW" u="1"/>
        <s v="T336EBX" u="1"/>
        <s v="T384ECN" u="1"/>
        <s v="T757EBX" u="1"/>
        <s v="T438DHG" u="1"/>
        <s v="T748EBX" u="1"/>
        <s v="T269EBX" u="1"/>
        <s v="T854EBY" u="1"/>
        <s v="T267EBX" u="1"/>
        <s v="T184EBX" u="1"/>
        <s v="T793EBW" u="1"/>
        <s v="T735DYR" u="1"/>
        <s v="T601DTQ" u="1"/>
        <s v="T856EBY" u="1"/>
        <s v="T742EBX" u="1"/>
        <s v="T932EBW" u="1"/>
        <s v="T439DHG" u="1"/>
        <s v="T126EBX" u="1"/>
        <s v="T511EBY" u="1"/>
        <s v="T405DHG" u="1"/>
        <s v="T401DHT" u="1"/>
        <s v="T180EBX" u="1"/>
        <s v="T650DTQ" u="1"/>
        <s v="T147EBX" u="1"/>
        <s v="T802EBW" u="1"/>
        <s v="T587DTQ" u="1"/>
        <s v="T332DHG" u="1"/>
        <s v="T124EBX" u="1"/>
        <s v="T586DTQ" u="1"/>
        <s v="T527EBY" u="1"/>
        <s v="T990EBW" u="1"/>
        <s v="T596DTQ" u="1"/>
        <s v="T733EBX" u="1"/>
        <s v="T256EBX" u="1"/>
        <s v="T396ECN" u="1"/>
        <s v="T349DHG" u="1"/>
        <s v="T764DYR" u="1"/>
        <s v="T519EBY" u="1"/>
        <s v="T581DYR" u="1"/>
        <s v="T819EBW" u="1"/>
        <s v="T182EBX" u="1"/>
        <s v="T717EBX" u="1"/>
        <s v="T683EBX" u="1"/>
        <s v="T781EBW" u="1"/>
        <s v="T375DHG" u="1"/>
        <s v="T416DCT" u="1"/>
        <s v="T595DTQ" u="1"/>
        <s v="T241EBX" u="1"/>
        <s v="T993EBW" u="1"/>
        <s v="T790EBW" u="1"/>
        <s v="T423DHE" u="1"/>
        <s v="T424DHG" u="1"/>
        <s v="T679ECP" u="1"/>
        <s v="T492DYR" u="1"/>
        <s v="T945DSX" u="1"/>
        <s v="T806DYR" u="1"/>
        <s v="T910EBW" u="1"/>
        <s v="T866EBY" u="1"/>
        <s v="T220EBX" u="1"/>
        <s v="T437DHG" u="1"/>
        <s v="T722EBX" u="1"/>
        <s v="T716EBX" u="1"/>
        <s v="T584DTQ" u="1"/>
        <s v="T525EBY" u="1"/>
        <s v="T794DDS" u="1"/>
        <s v="T634DHL" u="1"/>
        <s v="T305EBX" u="1"/>
        <s v="T912EBW" u="1"/>
        <s v="T754EBX" u="1"/>
        <s v="T401ECN" u="1"/>
        <s v="T272EBX" u="1"/>
        <s v="T573DYR" u="1"/>
        <s v="T799EBW" u="1"/>
        <s v="T495DYR" u="1"/>
        <s v="T822DDS" u="1"/>
        <s v="T758EBX" u="1"/>
        <s v="T839EBY" u="1"/>
        <s v="T183EBX" u="1"/>
        <s v="T737DEB" u="1"/>
        <s v="T791EBW" u="1"/>
        <s v="T412DHG" u="1"/>
        <s v="T498DYR" u="1"/>
        <s v="T638DHL" u="1"/>
        <s v="T840EBY" u="1"/>
        <s v="T684EBX" u="1"/>
        <s v="T892EBW" u="1"/>
        <s v="T737EBX" u="1"/>
        <s v="T589DTQ" u="1"/>
        <s v="T953EBW" u="1"/>
        <s v="T343EBX" u="1"/>
        <s v="T386ECN" u="1"/>
        <s v="T575DYR" u="1"/>
        <s v="T651DTQ" u="1"/>
        <s v="T779EBW" u="1"/>
        <s v="T678EBX" u="1"/>
        <s v="T591DTQ" u="1"/>
        <s v="T318EBY" u="1"/>
        <s v="T327DDJ" u="1"/>
        <s v="T420DHG" u="1"/>
        <s v="T564DYR" u="1"/>
        <s v="T712EBX" u="1"/>
        <s v="T803DYR" u="1"/>
        <s v="T942DSX" u="1"/>
        <s v="T350DHG" u="1"/>
        <s v="T387ECN" u="1"/>
        <s v="T561DYR" u="1"/>
        <s v="T804EBW" u="1"/>
        <s v="T821EBW" u="1"/>
        <s v="T903EBW" u="1"/>
        <s v="T975EBW" u="1"/>
        <s v="T994EBW" u="1"/>
        <s v="T149EBX" u="1"/>
        <s v="T529EBY" u="1"/>
        <s v="T988EBW" u="1"/>
        <s v="T190EBX" u="1"/>
        <s v="T264EBX" u="1"/>
        <s v="T312DDJ" u="1"/>
        <s v="T750EBX" u="1"/>
        <s v="T798DYR" u="1"/>
        <s v="T959DSX" u="1"/>
        <s v="T965EBW" u="1"/>
        <s v="T165EBX" u="1"/>
        <s v="T273EBY" u="1"/>
        <s v="T566DYR" u="1"/>
        <s v="T576DYR" u="1"/>
        <s v="T719DYR" u="1"/>
        <s v="T879EBY" u="1"/>
        <s v="T899EBW" u="1"/>
      </sharedItems>
    </cacheField>
    <cacheField name="Event time" numFmtId="0">
      <sharedItems/>
    </cacheField>
    <cacheField name="RPT_DT" numFmtId="0">
      <sharedItems count="69">
        <s v="2026-01-01"/>
        <s v="2026-01-02"/>
        <s v="2026-01-03"/>
        <s v="2026-01-04"/>
        <s v="2026-01-05"/>
        <s v="2026-01-06"/>
        <s v="2026-01-07"/>
        <s v="2026-01-08"/>
        <s v="2026-01-09"/>
        <s v="2025-12-01" u="1"/>
        <s v="2025-12-02" u="1"/>
        <s v="2025-12-03" u="1"/>
        <s v="2025-12-04" u="1"/>
        <s v="2025-12-05" u="1"/>
        <s v="2025-12-06" u="1"/>
        <s v="2025-12-07" u="1"/>
        <s v="2025-12-08" u="1"/>
        <s v="2025-12-09" u="1"/>
        <s v="2025-12-10" u="1"/>
        <s v="2025-12-11" u="1"/>
        <s v="2025-12-12" u="1"/>
        <s v="2025-12-13" u="1"/>
        <s v="2025-12-14" u="1"/>
        <s v="2025-12-15" u="1"/>
        <s v="2025-12-16" u="1"/>
        <s v="2025-12-17" u="1"/>
        <s v="2025-12-18" u="1"/>
        <s v="2025-12-19" u="1"/>
        <s v="2025-12-20" u="1"/>
        <s v="2025-12-21" u="1"/>
        <s v="2025-12-22" u="1"/>
        <s v="2025-12-23" u="1"/>
        <s v="2025-12-24" u="1"/>
        <s v="2025-12-25" u="1"/>
        <s v="2025-12-26" u="1"/>
        <s v="2025-12-27" u="1"/>
        <s v="2025-12-28" u="1"/>
        <s v="2025-12-29" u="1"/>
        <s v="2025-12-30" u="1"/>
        <s v="2025-12-31" u="1"/>
        <s v="2025-11-01" u="1"/>
        <s v="2025-11-02" u="1"/>
        <s v="2025-11-03" u="1"/>
        <s v="2025-11-04" u="1"/>
        <s v="2025-11-05" u="1"/>
        <s v="2025-11-06" u="1"/>
        <s v="2025-11-07" u="1"/>
        <s v="2025-11-08" u="1"/>
        <s v="2025-11-09" u="1"/>
        <s v="2025-11-10" u="1"/>
        <s v="2025-11-11" u="1"/>
        <s v="2025-11-12" u="1"/>
        <s v="2025-11-13" u="1"/>
        <s v="2025-11-14" u="1"/>
        <s v="2025-11-15" u="1"/>
        <s v="2025-11-16" u="1"/>
        <s v="2025-11-17" u="1"/>
        <s v="2025-11-18" u="1"/>
        <s v="2025-11-19" u="1"/>
        <s v="2025-11-20" u="1"/>
        <s v="2025-11-21" u="1"/>
        <s v="2025-11-22" u="1"/>
        <s v="2025-10-01" u="1"/>
        <s v="2025-10-02" u="1"/>
        <s v="2025-08-01" u="1"/>
        <s v="2025-08-02" u="1"/>
        <s v="2025-08-03" u="1"/>
        <s v="2025-07-01" u="1"/>
        <s v="2025-07-02" u="1"/>
      </sharedItems>
    </cacheField>
    <cacheField name="DRIVER NAME " numFmtId="0">
      <sharedItems/>
    </cacheField>
    <cacheField name="Time received2" numFmtId="0">
      <sharedItems/>
    </cacheField>
    <cacheField name="Location" numFmtId="0">
      <sharedItems/>
    </cacheField>
    <cacheField name="Count of Time received" numFmtId="0">
      <sharedItems containsSemiMixedTypes="0" containsString="0" containsNumber="1" containsInteger="1" minValue="3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" refreshedDate="46032.807852662037" createdVersion="8" refreshedVersion="8" minRefreshableVersion="3" recordCount="61" xr:uid="{5172C70E-EE46-425B-8956-B2E25429075E}">
  <cacheSource type="worksheet">
    <worksheetSource ref="A1:I1048576" sheet=" OVER SPEEDING VIOLATION "/>
  </cacheSource>
  <cacheFields count="9">
    <cacheField name="SN" numFmtId="0">
      <sharedItems containsString="0" containsBlank="1" containsNumber="1" containsInteger="1" minValue="1" maxValue="52"/>
    </cacheField>
    <cacheField name="TRUCK NO  " numFmtId="0">
      <sharedItems containsBlank="1" count="176">
        <s v="T994EBW"/>
        <s v="T373DHG"/>
        <s v="T334EBX"/>
        <s v="T518DEB"/>
        <s v="T311EBX"/>
        <s v="T882EBW"/>
        <s v="T732DEB"/>
        <s v="T332EBX"/>
        <s v="T724DYR"/>
        <s v="T934EBW"/>
        <s v="T890EBW"/>
        <s v="T404DHG"/>
        <s v="T401DHT"/>
        <s v="T443DHG"/>
        <s v="T849EBY"/>
        <s v="T571DYR"/>
        <s v="T957DSX"/>
        <s v="T499DYR"/>
        <s v="T515EBY"/>
        <s v="T710EBX"/>
        <s v="T965EBW"/>
        <s v="T342DHG"/>
        <s v="T436DHG"/>
        <s v="T684EBX"/>
        <s v="T728EBX"/>
        <s v="T873EBY"/>
        <s v="T178EBX"/>
        <s v="T263DDJ"/>
        <s v="T337EBX"/>
        <s v="T822DDS"/>
        <s v="T960DSX"/>
        <s v="T444DHG"/>
        <s v="T518EBY"/>
        <s v="T728DYR"/>
        <s v="T905EBW"/>
        <s v="T272EBX"/>
        <s v="T741EBX"/>
        <s v="T791EBW"/>
        <s v="T864EBY"/>
        <s v="T951DSX"/>
        <m/>
        <s v="T410DHE" u="1"/>
        <s v="T876EBW" u="1"/>
        <s v="T435DHG" u="1"/>
        <s v="T439DHG" u="1"/>
        <s v="T642DHL" u="1"/>
        <s v="T817EBW" u="1"/>
        <s v="T180EBX" u="1"/>
        <s v="T578DYR" u="1"/>
        <s v="T589DTQ" u="1"/>
        <s v="T365DHG" u="1"/>
        <s v="T314DDJ" u="1"/>
        <s v="T437DHG" u="1"/>
        <s v="T336DHG" u="1"/>
        <s v="T572DYR" u="1"/>
        <s v="T315EBX" u="1"/>
        <s v="T578DTQ" u="1"/>
        <s v="T282EBY" u="1"/>
        <s v="T798DYR" u="1"/>
        <s v="T903EBW" u="1"/>
        <s v="T434DHG" u="1"/>
        <s v="T756EBX" u="1"/>
        <s v="T810EBW" u="1"/>
        <s v="T521EBY" u="1"/>
        <s v="T766DYR" u="1"/>
        <s v="T950DSX" u="1"/>
        <s v="T419DHE" u="1"/>
        <s v="T581DYR" u="1"/>
        <s v="T727DYR" u="1"/>
        <s v="T914EBW" u="1"/>
        <s v="T250EBX" u="1"/>
        <s v="T259EBX" u="1"/>
        <s v="T524EBY" u="1"/>
        <s v="T600DTQ" u="1"/>
        <s v="T601DTQ" u="1"/>
        <s v="T650DTQ" u="1"/>
        <s v="T677EBX" u="1"/>
        <s v="T712EBX" u="1"/>
        <s v="T818EBW" u="1"/>
        <s v="T840EBY" u="1"/>
        <s v="T912EBW" u="1"/>
        <s v="T942DSX" u="1"/>
        <s v="T634DHL" u="1"/>
        <s v="T652DTQ" u="1"/>
        <s v="T967EBW" u="1"/>
        <s v="T592DTQ" u="1"/>
        <s v="T402ECN" u="1"/>
        <s v="T794EBW" u="1"/>
        <s v="T795DDS" u="1"/>
        <s v="T958DSX" u="1"/>
        <s v="T336ECN" u="1"/>
        <s v="T338DHG" u="1"/>
        <s v="T572DEB" u="1"/>
        <s v="T574DEB" u="1"/>
        <s v="T407DHE" u="1"/>
        <s v="T764DYR" u="1"/>
        <s v="T795DYR" u="1"/>
        <s v="T950EBW" u="1"/>
        <s v="T590DTQ" u="1"/>
        <s v="T915EBW" u="1"/>
        <s v="T331DHG" u="1"/>
        <s v="T640DEB" u="1"/>
        <s v="T579DTQ" u="1"/>
        <s v="T953DSX" u="1"/>
        <s v="T586DTQ" u="1"/>
        <s v="T149EBX" u="1"/>
        <s v="T423DHE" u="1"/>
        <s v="T492DYR" u="1"/>
        <s v="T416DCT" u="1"/>
        <s v="T595DTQ" u="1"/>
        <s v="T794DDS" u="1"/>
        <s v="T422DHE" u="1"/>
        <s v="T588DTQ" u="1"/>
        <s v="T431DHG" u="1"/>
        <s v="T598DTQ" u="1"/>
        <s v="T842EBY" u="1"/>
        <s v="T583DTQ" u="1"/>
        <s v="T375DHG" u="1"/>
        <s v="T837EBY" u="1"/>
        <s v="T126EBX" u="1"/>
        <s v="T930EBW" u="1"/>
        <s v="T264EBX" u="1"/>
        <s v="T271EBY" u="1"/>
        <s v="T109EBX" u="1"/>
        <s v="T332DHG" u="1"/>
        <s v="T718DEB" u="1"/>
        <s v="T946EBW" u="1"/>
        <s v="T348DHG" u="1"/>
        <s v="T732DYR" u="1"/>
        <s v="T752DEB" u="1"/>
        <s v="T945DSX" u="1"/>
        <s v="T952DSX" u="1"/>
        <s v="T232EBX" u="1"/>
        <s v="T527EBY" u="1"/>
        <s v="T953EBW" u="1"/>
        <s v="T184EBX" u="1"/>
        <s v="T420DHG" u="1"/>
        <s v="T186EBX" u="1"/>
        <s v="T335EBX" u="1"/>
        <s v="T763EBW" u="1"/>
        <s v="T876EBY" u="1"/>
        <s v="T584DYR" u="1"/>
        <s v="T688DEB" u="1"/>
        <s v="T638DEB" u="1"/>
        <s v="T680EBX" u="1"/>
        <s v="T147EBX" u="1"/>
        <s v="T947DSX" u="1"/>
        <s v="T796DDS" u="1"/>
        <s v="T438DHG" u="1"/>
        <s v="T495DYR" u="1"/>
        <s v="T603DTQ" u="1"/>
        <s v="T683EBX" u="1"/>
        <s v="T604DTQ" u="1"/>
        <s v="T874EBY" u="1"/>
        <s v="T945EBW" u="1"/>
        <s v="T148EBX" u="1"/>
        <s v="T288DDJ" u="1"/>
        <s v="T645DHL" u="1"/>
        <s v="T419DHG" u="1"/>
        <s v="T742EBX" u="1"/>
        <s v="T235EBX" u="1"/>
        <s v="T105EBX" u="1"/>
        <s v="T146EBX" u="1"/>
        <s v="T350DHG" u="1"/>
        <s v="T799DYR" u="1"/>
        <s v="T269EBX" u="1"/>
        <s v="T332ECN" u="1"/>
        <s v="T719EBX" u="1"/>
        <s v="T414DHG" u="1"/>
        <s v="T804EBW" u="1"/>
        <s v="T768EBW" u="1"/>
        <s v="T165EBX" u="1"/>
        <s v="T792EBW" u="1"/>
        <s v="T522EBY" u="1"/>
        <s v="T703EBX" u="1"/>
        <s v="T879EBY" u="1"/>
      </sharedItems>
    </cacheField>
    <cacheField name="Time" numFmtId="0">
      <sharedItems containsBlank="1"/>
    </cacheField>
    <cacheField name="RPT_DT" numFmtId="0">
      <sharedItems containsBlank="1" count="73">
        <s v="01.01.2026"/>
        <s v="02.01.2026"/>
        <s v="03.01.2026"/>
        <s v="04.01.2026"/>
        <s v="05.01.2026"/>
        <s v="06.01.2026"/>
        <s v="07.01.2026"/>
        <s v="08.01.2026"/>
        <s v="09.01.2026"/>
        <m/>
        <s v="01.12.2025" u="1"/>
        <s v="02.12.2025" u="1"/>
        <s v="03.12.2025" u="1"/>
        <s v="04.12.2025" u="1"/>
        <s v="05.12.2025" u="1"/>
        <s v="06.12.2025" u="1"/>
        <s v="07.12.2025" u="1"/>
        <s v="08.12.2025" u="1"/>
        <s v="09.12.2025" u="1"/>
        <s v="10.12.2025" u="1"/>
        <s v="11.12.2025" u="1"/>
        <s v="12.12.2025" u="1"/>
        <s v="13.12.2025" u="1"/>
        <s v="14.12.2025" u="1"/>
        <s v="15.12.2025" u="1"/>
        <s v="16.12.2025" u="1"/>
        <s v="17.12.2025" u="1"/>
        <s v="18.12.2025" u="1"/>
        <s v="19.12.2025" u="1"/>
        <s v="20.12.2025" u="1"/>
        <s v="21.12.2025" u="1"/>
        <s v="22.12.2025" u="1"/>
        <s v="23.12.2025" u="1"/>
        <s v="24.12.2025" u="1"/>
        <s v="25.12.2025" u="1"/>
        <s v="26.12.2025" u="1"/>
        <s v="27.12.2025" u="1"/>
        <s v="28.12.2025" u="1"/>
        <s v="29.12.2025" u="1"/>
        <s v="30.12.2025" u="1"/>
        <s v="31.12.2025" u="1"/>
        <s v="01.11.2025" u="1"/>
        <s v="02.11.2025" u="1"/>
        <s v="03.11.2025" u="1"/>
        <s v="04.11.2025" u="1"/>
        <s v="05.11.2025" u="1"/>
        <s v="06.11.2025" u="1"/>
        <s v="07.11.2025" u="1"/>
        <s v="08.11.2025" u="1"/>
        <s v="09.11.2025" u="1"/>
        <s v="10.11.2025" u="1"/>
        <s v="11.11.2025" u="1"/>
        <s v="12.11.2025" u="1"/>
        <s v="13.11.2025" u="1"/>
        <s v="14.11.2025" u="1"/>
        <s v="15.11.2025" u="1"/>
        <s v="16.11.2025" u="1"/>
        <s v="17.11.2025" u="1"/>
        <s v="18.11.2025" u="1"/>
        <s v="19.11.2025" u="1"/>
        <s v="20.11.2025" u="1"/>
        <s v="21.11.2025" u="1"/>
        <s v="22.11.2025" u="1"/>
        <s v="01.10.2025" u="1"/>
        <s v="02.10.2025" u="1"/>
        <s v="01.08.2025" u="1"/>
        <s v="02.08.2025" u="1"/>
        <s v="03.08.2025" u="1"/>
        <s v="01.07.2025" u="1"/>
        <s v="02.07.2025" u="1"/>
        <s v="01.06.2025" u="1"/>
        <s v="02.06.2025" u="1"/>
        <s v="03.06.2025" u="1"/>
      </sharedItems>
    </cacheField>
    <cacheField name="DRIVER NAME" numFmtId="0">
      <sharedItems containsDate="1" containsBlank="1" containsMixedTypes="1" minDate="1899-12-30T00:00:00" maxDate="1899-12-31T00:00:00"/>
    </cacheField>
    <cacheField name="MAX SPEED" numFmtId="0">
      <sharedItems containsBlank="1" containsMixedTypes="1" containsNumber="1" containsInteger="1" minValue="85" maxValue="114"/>
    </cacheField>
    <cacheField name="Location" numFmtId="0">
      <sharedItems containsBlank="1"/>
    </cacheField>
    <cacheField name="Speed limit" numFmtId="0">
      <sharedItems containsBlank="1" containsMixedTypes="1" containsNumber="1" containsInteger="1" minValue="81" maxValue="81"/>
    </cacheField>
    <cacheField name="Count" numFmtId="0">
      <sharedItems containsBlank="1" containsMixedTypes="1" containsNumber="1" containsInteger="1" minValue="1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" refreshedDate="46032.808216666665" createdVersion="8" refreshedVersion="8" minRefreshableVersion="3" recordCount="143" xr:uid="{2C1265EC-84E0-402F-A9F5-79B49E1D03A4}">
  <cacheSource type="worksheet">
    <worksheetSource name="Table4"/>
  </cacheSource>
  <cacheFields count="12">
    <cacheField name="Vehicle no" numFmtId="164">
      <sharedItems count="122">
        <s v="T232EBX"/>
        <s v="T180EBX"/>
        <s v="T256DDJ"/>
        <s v="T683DEB"/>
        <s v="T690DHL"/>
        <s v="T934EBW"/>
        <s v="T104EBX"/>
        <s v="T170EBX"/>
        <s v="T572DYR"/>
        <s v="T861EBY"/>
        <s v="T891EBW"/>
        <s v="T315EBX"/>
        <s v="T336ECN"/>
        <s v="T341EBX"/>
        <s v="T575DYR"/>
        <s v="T688DEB"/>
        <s v="T709EBX"/>
        <s v="T774EBW"/>
        <s v="T142EBX"/>
        <s v="T184EBX"/>
        <s v="T191EBX"/>
        <s v="T271EBY"/>
        <s v="T272EBX"/>
        <s v="T326ECN"/>
        <s v="T329ECN"/>
        <s v="T725EBX"/>
        <s v="T727EBX"/>
        <s v="T376ECN"/>
        <s v="T335EBX"/>
        <s v="T444DHG"/>
        <s v="T838EBY"/>
        <s v="T939EBW"/>
        <s v="T299DCT"/>
        <s v="T945DSX"/>
        <s v="T266EBX"/>
        <s v="T302EBX"/>
        <s v="T337EBX"/>
        <s v="T379ECN"/>
        <s v="T392ECN"/>
        <s v="T437DHG"/>
        <s v="T583DYR"/>
        <s v="T750EBX"/>
        <s v="T776EBW"/>
        <s v="T868EBW"/>
        <s v="T955EBW"/>
        <s v="T417DHE"/>
        <s v="T580DTQ"/>
        <s v="T731DYR"/>
        <s v="T947DSX"/>
        <s v="T377DCT"/>
        <s v="T745EBX"/>
        <s v="T375DHG"/>
        <s v="T953DSX"/>
        <s v="T662DTQ"/>
        <s v="T734EBX"/>
        <s v="T754EBX"/>
        <s v="T795DDS"/>
        <s v="T803EBW"/>
        <s v="T182EBX"/>
        <s v="T219EBX"/>
        <s v="T337ECN"/>
        <s v="T378DHG"/>
        <s v="T388ECN"/>
        <s v="T589DYR"/>
        <s v="T723DYR"/>
        <s v="T735EBX"/>
        <s v="T821EBW"/>
        <s v="T876EBY"/>
        <s v="T986EBW"/>
        <s v="T250EBX"/>
        <s v="T261EBX"/>
        <s v="T401ECN"/>
        <s v="T679ECP"/>
        <s v="T716EBX"/>
        <s v="T770DYR"/>
        <s v="T921EBW"/>
        <s v="T988EBW"/>
        <s v="T757EBX"/>
        <s v="T854EBY"/>
        <s v="T148EBX"/>
        <s v="T797EBW"/>
        <s v="T564DEB"/>
        <s v="T634DHL"/>
        <s v="T904EBW"/>
        <s v="T932EBW"/>
        <s v="T256EBX"/>
        <s v="T438DHG"/>
        <s v="T733EBX"/>
        <s v="T146EBX"/>
        <s v="T348DHG"/>
        <s v="T803DYR"/>
        <s v="T744EBX"/>
        <s v="T798EBW"/>
        <s v="T905EBW"/>
        <s v="T960DSX"/>
        <s v="T977EBW"/>
        <s v="T772DYR"/>
        <s v="T794DDS"/>
        <s v="T746DEB"/>
        <s v="T264EBX"/>
        <s v="T645DHL"/>
        <s v="T416DCT"/>
        <s v="T373DHG"/>
        <s v="T259EBY"/>
        <s v="T856EBY"/>
        <s v="T867EBY"/>
        <s v="T224EBX"/>
        <s v="T756EBX"/>
        <s v="T794EBW"/>
        <s v="T774DYR"/>
        <s v="T797DYR"/>
        <s v="T835EBY"/>
        <s v="T287DDJ"/>
        <s v="T427DHG"/>
        <s v="T711EBX"/>
        <s v="T796DYR"/>
        <s v="T954EBW"/>
        <s v="T395ECN" u="1"/>
        <s v="T443DHG" u="1"/>
        <s v="T600DTQ" u="1"/>
        <s v="T778DYR" u="1"/>
        <s v="T165EBX" u="1"/>
      </sharedItems>
    </cacheField>
    <cacheField name="Driver name " numFmtId="164">
      <sharedItems containsBlank="1" containsMixedTypes="1" containsNumber="1" containsInteger="1" minValue="0" maxValue="0"/>
    </cacheField>
    <cacheField name="TM NAME " numFmtId="164">
      <sharedItems containsBlank="1"/>
    </cacheField>
    <cacheField name="TC NAME" numFmtId="164">
      <sharedItems containsBlank="1" containsMixedTypes="1" containsNumber="1" containsInteger="1" minValue="0" maxValue="134869925"/>
    </cacheField>
    <cacheField name="Beginning" numFmtId="168">
      <sharedItems/>
    </cacheField>
    <cacheField name="RPT_DT" numFmtId="168">
      <sharedItems containsBlank="1" count="32">
        <s v="2025-11-05"/>
        <s v="2025-12-08"/>
        <s v="2025-12-11"/>
        <s v="2025-12-12"/>
        <s v="2025-12-13"/>
        <s v="2025-12-14"/>
        <s v="2025-12-15"/>
        <s v="2025-12-16"/>
        <s v="2025-12-17"/>
        <s v="2025-12-18"/>
        <s v="2025-12-19"/>
        <s v="2025-12-21"/>
        <s v="2025-12-22"/>
        <s v="2025-12-23"/>
        <s v="2025-12-24"/>
        <s v="2025-12-25"/>
        <s v="2025-12-26"/>
        <s v="2025-12-27"/>
        <s v="2025-12-28"/>
        <s v="2025-12-29"/>
        <s v="2025-12-30"/>
        <s v="2025-12-31"/>
        <s v="2026-01-01"/>
        <s v="2026-01-02"/>
        <s v="2026-01-03"/>
        <s v="2026-01-04"/>
        <s v="2026-01-05"/>
        <s v="2026-01-06"/>
        <s v="2026-01-07"/>
        <s v="2026-01-08"/>
        <m u="1"/>
        <s v="2025-07-02" u="1"/>
      </sharedItems>
    </cacheField>
    <cacheField name="Initial location" numFmtId="164">
      <sharedItems/>
    </cacheField>
    <cacheField name="End" numFmtId="168">
      <sharedItems/>
    </cacheField>
    <cacheField name="Final location" numFmtId="164">
      <sharedItems/>
    </cacheField>
    <cacheField name="DURATION " numFmtId="170">
      <sharedItems/>
    </cacheField>
    <cacheField name="Mileage" numFmtId="171">
      <sharedItems containsMixedTypes="1" containsNumber="1" minValue="0.107756" maxValue="447.02779399999997"/>
    </cacheField>
    <cacheField name="Offense" numFmtId="0">
      <sharedItems containsBlank="1" count="3">
        <s v="Early start "/>
        <s v="Night driving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" refreshedDate="46032.808430324076" createdVersion="8" refreshedVersion="8" minRefreshableVersion="3" recordCount="262" xr:uid="{88AFC9D0-3621-42A5-8E85-0532AB85C037}">
  <cacheSource type="worksheet">
    <worksheetSource name="Table3"/>
  </cacheSource>
  <cacheFields count="8">
    <cacheField name="SN" numFmtId="0">
      <sharedItems containsString="0" containsBlank="1" containsNumber="1" containsInteger="1" minValue="1" maxValue="232"/>
    </cacheField>
    <cacheField name="TRUCK NO " numFmtId="0">
      <sharedItems count="524">
        <s v="T930EBW"/>
        <s v="T867EBY"/>
        <s v="T439DHG"/>
        <s v="T378DHG"/>
        <s v="T517EBY"/>
        <s v="T799DYR"/>
        <s v="T792EBW"/>
        <s v="T737DEB"/>
        <s v="T514EBY"/>
        <s v="T907EBW"/>
        <s v="T934EBW"/>
        <s v="T799EBW"/>
        <s v="T871EBW"/>
        <s v="T491DYR"/>
        <s v="T378ECN"/>
        <s v="T591DTQ"/>
        <s v="T382ECN"/>
        <s v="T396ECN"/>
        <s v="T416DCT"/>
        <s v="T728DYR"/>
        <s v="T905EBW"/>
        <s v="T337EBX"/>
        <s v="T266EBX"/>
        <s v="T326ECN"/>
        <s v="T431DHG"/>
        <s v="T595DTQ"/>
        <s v="T772DYR"/>
        <s v="T564DEB"/>
        <s v="T299DCT"/>
        <s v="T584DTQ"/>
        <s v="T720DYR"/>
        <s v="T724DYR"/>
        <s v="T712DYR"/>
        <s v="T373DHG"/>
        <s v="T444DHG"/>
        <s v="T960DSX"/>
        <s v="T588DTQ"/>
        <s v="T585DYR"/>
        <s v="T977EBW"/>
        <s v="T793DDS"/>
        <s v="T332DHG"/>
        <s v="T774EBW"/>
        <s v="T794DDS"/>
        <s v="T515EBY"/>
        <s v="T746DEB"/>
        <s v="T696DEB"/>
        <s v="T796DYR"/>
        <s v="T785EBW"/>
        <s v="T980EBW"/>
        <s v="T732DEB"/>
        <s v="T882EBW"/>
        <s v="T406DHG"/>
        <s v="T331EBX"/>
        <s v="T838EBY"/>
        <s v="T941EBW"/>
        <s v="T645DHL"/>
        <s v="T315EBX"/>
        <s v="T221EBX"/>
        <s v="T713DYR"/>
        <s v="T945DSX"/>
        <s v="T510EBY"/>
        <s v="T319EBY"/>
        <s v="T588DYR"/>
        <s v="T335EBX"/>
        <s v="T704DYR"/>
        <s v="T750EBX"/>
        <s v="T735DYR"/>
        <s v="T511EBY"/>
        <s v="T586DYR"/>
        <s v="T651DTQ"/>
        <s v="T965EBW"/>
        <s v="T952DSX"/>
        <s v="T804DYR"/>
        <s v="T520EBY"/>
        <s v="T180EBX"/>
        <s v="T754DEB"/>
        <s v="T890EBW"/>
        <s v="T856EBY"/>
        <s v="T590DTQ"/>
        <s v="T875EBY"/>
        <s v="T153EBX"/>
        <s v="T129EBX"/>
        <s v="T318EBX"/>
        <s v="T224EBX"/>
        <s v="T350DHG"/>
        <s v="T509EBY"/>
        <s v="T583DTQ"/>
        <s v="T598DTQ"/>
        <s v="T712EBX"/>
        <s v="T733EBX"/>
        <s v="T734EBX"/>
        <s v="T778DYR"/>
        <s v="T797EBW"/>
        <s v="T820DDS"/>
        <s v="T862EBY"/>
        <s v="T964EBW"/>
        <s v="T188EBX"/>
        <s v="T227EBX"/>
        <s v="T276DDJ"/>
        <s v="T282EBY"/>
        <s v="T402ECN"/>
        <s v="T427DHG"/>
        <s v="T499DYR"/>
        <s v="T571DYR"/>
        <s v="T577DTQ"/>
        <s v="T579DYR"/>
        <s v="T583DYR"/>
        <s v="T584DYR"/>
        <s v="T592DTQ"/>
        <s v="T594DTQ"/>
        <s v="T756EBX"/>
        <s v="T770DYR"/>
        <s v="T797DYR"/>
        <s v="T806DYR"/>
        <s v="T850EBY"/>
        <s v="T909EBW"/>
        <s v="T957DSX"/>
        <s v="T107EBX"/>
        <s v="T126EBX"/>
        <s v="T263DDJ"/>
        <s v="T336ECN"/>
        <s v="T343EBX"/>
        <s v="T384ECN"/>
        <s v="T386ECN"/>
        <s v="T413DHE"/>
        <s v="T494DYR"/>
        <s v="T513EBY"/>
        <s v="T561DYR"/>
        <s v="T572DYR"/>
        <s v="T661DTQ"/>
        <s v="T710EBX"/>
        <s v="T721DEB"/>
        <s v="T802DYR"/>
        <s v="T812EBW"/>
        <s v="T878EBW"/>
        <s v="T954EBW"/>
        <s v="T975EBW"/>
        <s v="T127EBX"/>
        <s v="T232EBX"/>
        <s v="T314DDJ"/>
        <s v="T379ECN"/>
        <s v="T387ECN"/>
        <s v="T404DHG"/>
        <s v="T443DHG"/>
        <s v="T716DYR"/>
        <s v="T732DYR"/>
        <s v="T745EBX"/>
        <s v="T776EBW"/>
        <s v="T835EBY"/>
        <s v="T866EBY"/>
        <s v="T868EBW"/>
        <s v="T910EBW"/>
        <s v="T939EBW"/>
        <s v="T950EBW"/>
        <s v="T993EBW"/>
        <s v="T360DHG"/>
        <s v="T425DHG"/>
        <s v="T518EBY"/>
        <s v="T579DTQ"/>
        <s v="T678EBX"/>
        <s v="T804EBW"/>
        <s v="T873EBW"/>
        <s v="T927EBW"/>
        <s v="T955DSX"/>
        <s v="T959DSX"/>
        <s v="T149EBX"/>
        <s v="T154EBX"/>
        <s v="T335ECN"/>
        <s v="T342DHG"/>
        <s v="T407DHE"/>
        <s v="T416DHG"/>
        <s v="T528EBY"/>
        <s v="T576DTQ"/>
        <s v="T600DTQ"/>
        <s v="T676EBX"/>
        <s v="T680EBX"/>
        <s v="T703EBX"/>
        <s v="T735EBX"/>
        <s v="T781EBW"/>
        <s v="T816DDS"/>
        <s v="T873EBY"/>
        <s v="T942DSX"/>
        <s v="T269EBX" u="1"/>
        <s v="T273EBY" u="1"/>
        <s v="T348EBX" u="1"/>
        <s v="T411ECN" u="1"/>
        <s v="T423DHE" u="1"/>
        <s v="T519EBY" u="1"/>
        <s v="T566DYR" u="1"/>
        <s v="T603DTQ" u="1"/>
        <s v="T690DHL" u="1"/>
        <s v="T702DEB" u="1"/>
        <s v="T728EBX" u="1"/>
        <s v="T732DEC" u="1"/>
        <s v="T767EBW" u="1"/>
        <s v="T810EBW" u="1"/>
        <s v="T899DYR" u="1"/>
        <s v="T903EBW" u="1"/>
        <s v="T250EBX" u="1"/>
        <s v="T267EBX" u="1"/>
        <s v="T328EBX" u="1"/>
        <s v="T333DHG" u="1"/>
        <s v="T340EBX" u="1"/>
        <s v="T390ECN" u="1"/>
        <s v="T395ECN" u="1"/>
        <s v="T436DHG" u="1"/>
        <s v="T482DYR" u="1"/>
        <s v="T521EBY" u="1"/>
        <s v="T527EBY" u="1"/>
        <s v="T684EBX" u="1"/>
        <s v="T798EBW" u="1"/>
        <s v="T844EBY" u="1"/>
        <s v="T849EBY" u="1"/>
        <s v="T876EBW" u="1"/>
        <s v="T946EBW" u="1"/>
        <s v="T996EBW" u="1"/>
        <s v="T312DDJ" u="1"/>
        <s v="T328EBY" u="1"/>
        <s v="T334EBX" u="1"/>
        <s v="T341EBX" u="1"/>
        <s v="T434DHG" u="1"/>
        <s v="T441DHG" u="1"/>
        <s v="T496DYR" u="1"/>
        <s v="T525EBY" u="1"/>
        <s v="T569DYR" u="1"/>
        <s v="T582DTQ" u="1"/>
        <s v="T596DTQ" u="1"/>
        <s v="T635DTQ" u="1"/>
        <s v="T683DEB" u="1"/>
        <s v="T714EBX" u="1"/>
        <s v="T717EBX" u="1"/>
        <s v="T725EBX" u="1"/>
        <s v="T764DYR" u="1"/>
        <s v="T766DYR" u="1"/>
        <s v="T798DYR" u="1"/>
        <s v="T840EBY" u="1"/>
        <s v="T861EBY" u="1"/>
        <s v="T244EBX" u="1"/>
        <s v="T261DDJ" u="1"/>
        <s v="T264EBX" u="1"/>
        <s v="T329ECN" u="1"/>
        <s v="T385ECN" u="1"/>
        <s v="T662DTQ" u="1"/>
        <s v="T762DYR" u="1"/>
        <s v="T879EBY" u="1"/>
        <s v="T899EBW" u="1"/>
        <s v="T256DDJ" u="1"/>
        <s v="T381ECN" u="1"/>
        <s v="T397ECN" u="1"/>
        <s v="T401DHT" u="1"/>
        <s v="T498DYR" u="1"/>
        <s v="T526EBY" u="1"/>
        <s v="T572DEB" u="1"/>
        <s v="T574DEB" u="1"/>
        <s v="T717DEB" u="1"/>
        <s v="T737EBX" u="1"/>
        <s v="T744EBX" u="1"/>
        <s v="T774DYR" u="1"/>
        <s v="T955EBW" u="1"/>
        <s v="T104EBX" u="1"/>
        <s v="T190EBX" u="1"/>
        <s v="T218EBX" u="1"/>
        <s v="T275EBY" u="1"/>
        <s v="T278EBY" u="1"/>
        <s v="T302EBX" u="1"/>
        <s v="T327EBX" u="1"/>
        <s v="T332EBX" u="1"/>
        <s v="T336DHG" u="1"/>
        <s v="T349DHG" u="1"/>
        <s v="T392ECN" u="1"/>
        <s v="T403DHG" u="1"/>
        <s v="T403DHT" u="1"/>
        <s v="T412DHG" u="1"/>
        <s v="T492DYR" u="1"/>
        <s v="T508EBY" u="1"/>
        <s v="T702EBX" u="1"/>
        <s v="T738EBX" u="1"/>
        <s v="T779EBW" u="1"/>
        <s v="T788DYR" u="1"/>
        <s v="T803EBW" u="1"/>
        <s v="T821DDS" u="1"/>
        <s v="T852EBY" u="1"/>
        <s v="T858EBY" u="1"/>
        <s v="T864EBY" u="1"/>
        <s v="T877EBY" u="1"/>
        <s v="T887EBW" u="1"/>
        <s v="T951DSX" u="1"/>
        <s v="T241EBX" u="1"/>
        <s v="T272EBX" u="1"/>
        <s v="T388ECN" u="1"/>
        <s v="T415DHG" u="1"/>
        <s v="T719DYR" u="1"/>
        <s v="T740EBX" u="1"/>
        <s v="T790EBW" u="1"/>
        <s v="T892EBW" u="1"/>
        <s v="T989EBW" u="1"/>
        <s v="T168EBX" u="1"/>
        <s v="T337ECN" u="1"/>
        <s v="T338DHG" u="1"/>
        <s v="T357DHG" u="1"/>
        <s v="T516EBY" u="1"/>
        <s v="T522EBY" u="1"/>
        <s v="T642DHL" u="1"/>
        <s v="T677EBX" u="1"/>
        <s v="T758EBX" u="1"/>
        <s v="T817DDS" u="1"/>
        <s v="T874EBY" u="1"/>
        <s v="T914EBW" u="1"/>
        <s v="T183EBX" u="1"/>
        <s v="T342EBX" u="1"/>
        <s v="T633DTQ" u="1"/>
        <s v="T933EBW" u="1"/>
        <s v="T267DDJ" u="1"/>
        <s v="T763EBW" u="1"/>
        <s v="T170EBX" u="1"/>
        <s v="T261EBX" u="1"/>
        <s v="T318EBY" u="1"/>
        <s v="T341DHG" u="1"/>
        <s v="T497DYR" u="1"/>
        <s v="T575DYR" u="1"/>
        <s v="T640DEB" u="1"/>
        <s v="T711EBX" u="1"/>
        <s v="T819EBW" u="1"/>
        <s v="T891EBW" u="1"/>
        <s v="T943DSX" u="1"/>
        <s v="T148EBX" u="1"/>
        <s v="T191EBX" u="1"/>
        <s v="T220EBX" u="1"/>
        <s v="T235EBX" u="1"/>
        <s v="T259EBX" u="1"/>
        <s v="T263EBX" u="1"/>
        <s v="T348DHG" u="1"/>
        <s v="T375DHG" u="1"/>
        <s v="T422DHE" u="1"/>
        <s v="T446DYR" u="1"/>
        <s v="T524EBY" u="1"/>
        <s v="T638DEB" u="1"/>
        <s v="T703DYR" u="1"/>
        <s v="T727DYR" u="1"/>
        <s v="T742EBX" u="1"/>
        <s v="T754EBX" u="1"/>
        <s v="T854EBY" u="1"/>
        <s v="T912EBW" u="1"/>
        <s v="T929EBW" u="1"/>
        <s v="T956DSX" u="1"/>
        <s v="T986EBW" u="1"/>
        <s v="T995EBW" u="1"/>
        <s v="T105EBX" u="1"/>
        <s v="T144EBX" u="1"/>
        <s v="T146EBX" u="1"/>
        <s v="T178EBX" u="1"/>
        <s v="T233EBX" u="1"/>
        <s v="T380ECN" u="1"/>
        <s v="T424DHG" u="1"/>
        <s v="T581DTQ" u="1"/>
        <s v="T585DTQ" u="1"/>
        <s v="T587DTQ" u="1"/>
        <s v="T650DTQ" u="1"/>
        <s v="T689DEB" u="1"/>
        <s v="T727EBX" u="1"/>
        <s v="T732EBX" u="1"/>
        <s v="T749DEB" u="1"/>
        <s v="T757EBX" u="1"/>
        <s v="T805DYR" u="1"/>
        <s v="T810EBY" u="1"/>
        <s v="T928EBW" u="1"/>
        <s v="T954DSX" u="1"/>
        <s v="T186EBX" u="1"/>
        <s v="T246EBX" u="1"/>
        <s v="T339EBX" u="1"/>
        <s v="T346EBX" u="1"/>
        <s v="T376ECN" u="1"/>
        <s v="T599DTQ" u="1"/>
        <s v="T688DEB" u="1"/>
        <s v="T871EBY" u="1"/>
        <s v="T286EBY" u="1"/>
        <s v="T437DHG" u="1"/>
        <s v="T602DTQ" u="1"/>
        <s v="T711DEB" u="1"/>
        <s v="T870EBW" u="1"/>
        <s v="T988EBW" u="1"/>
        <s v="T998EBW" u="1"/>
        <s v="T102EBX" u="1"/>
        <s v="T301EBX" u="1"/>
        <s v="T564DYR" u="1"/>
        <s v="T377DCT" u="1"/>
        <s v="T414DHG" u="1"/>
        <s v="T663DTQ" u="1"/>
        <s v="T708EBX" u="1"/>
        <s v="T746EBX" u="1"/>
        <s v="T748EBX" u="1"/>
        <s v="T802EBW" u="1"/>
        <s v="T817EBW" u="1"/>
        <s v="T990EBW" u="1"/>
        <s v="T593DTQ" u="1"/>
        <s v="T699EBX" u="1"/>
        <s v="T716EBX" u="1"/>
        <s v="T723DYR" u="1"/>
        <s v="T764EBW" u="1"/>
        <s v="T766EBW" u="1"/>
        <s v="T773EBW" u="1"/>
        <s v="T953DSX" u="1"/>
        <s v="T331DHG" u="1"/>
        <s v="T493DYR" u="1"/>
        <s v="T523EBY" u="1"/>
        <s v="T729DYR" u="1"/>
        <s v="T755EBX" u="1"/>
        <s v="T793EBW" u="1"/>
        <s v="T795DDS" u="1"/>
        <s v="T947DSX" u="1"/>
        <s v="T401ECN" u="1"/>
        <s v="T435DHG" u="1"/>
        <s v="T578DYR" u="1"/>
        <s v="T581DYR" u="1"/>
        <s v="T915EBW" u="1"/>
        <s v="T182EBX" u="1"/>
        <s v="T329EBX" u="1"/>
        <s v="T634DHL" u="1"/>
        <s v="T722EBX" u="1"/>
        <s v="T741EBX" u="1"/>
        <s v="T921EBW" u="1"/>
        <s v="T932EBW" u="1"/>
        <s v="T950DSX" u="1"/>
        <s v="T219EBX" u="1"/>
        <s v="T325ECN" u="1"/>
        <s v="T702DYR" u="1"/>
        <s v="T821EBW" u="1"/>
        <s v="T305EBX" u="1"/>
        <s v="T312EBX" u="1"/>
        <s v="T438DHG" u="1"/>
        <s v="T495DYR" u="1"/>
        <s v="T573DYR" u="1"/>
        <s v="T580DTQ" u="1"/>
        <s v="T597DTQ" u="1"/>
        <s v="T679ECP" u="1"/>
        <s v="T731DYR" u="1"/>
        <s v="T767DYR" u="1"/>
        <s v="T803DYR" u="1"/>
        <s v="T876EBY" u="1"/>
        <s v="T568DYR" u="1"/>
        <s v="T308EBX" u="1"/>
        <s v="T794EBW" u="1"/>
        <s v="T601DTQ" u="1"/>
        <s v="T967EBW" u="1"/>
        <s v="T147EBX" u="1"/>
        <s v="T904EBW" u="1"/>
        <s v="T604DTQ" u="1"/>
        <s v="T410DHE" u="1"/>
        <s v="T256EBX" u="1"/>
        <s v="T184EBX" u="1"/>
        <s v="T325EBX" u="1"/>
        <s v="T768EBW" u="1"/>
        <s v="T797DDS" u="1"/>
        <s v="T842EBY" u="1"/>
        <s v="T837EBY" u="1"/>
        <s v="T415DHE" u="1"/>
        <s v="T747DEB" u="1"/>
        <s v="T109EBX" u="1"/>
        <s v="T958DSX" u="1"/>
        <s v="T822DDS" u="1"/>
        <s v="T697DEB" u="1"/>
        <s v="T166EBX" u="1"/>
        <s v="T327DDJ" u="1"/>
        <s v="T419DHG" u="1"/>
        <s v="T641DHL" u="1"/>
        <s v="T417DHE" u="1"/>
        <s v="T704EBX" u="1"/>
        <s v="T175EBX" u="1"/>
        <s v="T270DDJ" u="1"/>
        <s v="T274DDJ" u="1"/>
        <s v="T643DHL" u="1"/>
        <s v="T869EBY" u="1"/>
        <s v="T913EBW" u="1"/>
        <s v="T953EBW" u="1"/>
        <s v="T115DEC" u="1"/>
        <s v="T252DDJ" u="1"/>
        <s v="T271EBY" u="1"/>
        <s v="T410DHG" u="1"/>
        <s v="T818EBW" u="1"/>
        <s v="T124EBX" u="1"/>
        <s v="T239EBX" u="1"/>
        <s v="T336EBX" u="1"/>
        <s v="T365DHG" u="1"/>
        <s v="T512EBY" u="1"/>
        <s v="T709EBX" u="1"/>
        <s v="T752DEB" u="1"/>
        <s v="T793DYR" u="1"/>
        <s v="T795DYR" u="1"/>
        <s v="T405DHG" u="1"/>
        <s v="T589DTQ" u="1"/>
        <s v="T150EBX" u="1"/>
        <s v="T367DHG" u="1"/>
        <s v="T403ECN" u="1"/>
        <s v="T791EBW" u="1"/>
        <s v="T878EBY" u="1"/>
        <s v="T352DHG" u="1"/>
        <s v="T383ECN" u="1"/>
        <s v="T440DHG" u="1"/>
        <s v="T589DYR" u="1"/>
        <s v="T796DDS" u="1"/>
        <s v="T420DHG" u="1"/>
        <s v="T413DHG" u="1"/>
        <s v="T652DTQ" u="1"/>
        <s v="T660DTQ" u="1"/>
        <s v="T683EBX" u="1"/>
        <s v="T815DDS" u="1"/>
        <s v="T259EBY" u="1"/>
        <s v="T762EBW" u="1"/>
        <s v="T576DYR" u="1"/>
        <s v="T578DTQ" u="1"/>
        <s v="T816EBW" u="1"/>
        <s v="T151EBX" u="1"/>
        <s v="T172EBX" u="1"/>
        <s v="T512DTR" u="1"/>
        <s v="T638DHL" u="1"/>
        <s v="T839EBY" u="1"/>
        <s v="T266DDJ" u="1"/>
        <s v="T419DHE" u="1"/>
        <s v="T718DEB" u="1"/>
        <s v="T715DEB" u="1"/>
        <s v="T791DYR" u="1"/>
        <s v="T945EBW" u="1"/>
        <s v="T557DEB" u="1"/>
        <s v="T735DEB" u="1"/>
      </sharedItems>
    </cacheField>
    <cacheField name="Event time" numFmtId="0">
      <sharedItems/>
    </cacheField>
    <cacheField name="RPT_DT" numFmtId="168">
      <sharedItems count="67">
        <s v="2026-01-01"/>
        <s v="2026-01-02"/>
        <s v="2026-01-03"/>
        <s v="2026-01-04"/>
        <s v="2026-01-05"/>
        <s v="2026-01-06"/>
        <s v="2026-01-07"/>
        <s v="2026-01-08"/>
        <s v="2026-01-09"/>
        <s v="2025-12-01" u="1"/>
        <s v="2025-12-02" u="1"/>
        <s v="2025-12-03" u="1"/>
        <s v="2025-12-04" u="1"/>
        <s v="2025-12-05" u="1"/>
        <s v="2025-12-06" u="1"/>
        <s v="2025-12-07" u="1"/>
        <s v="2025-12-08" u="1"/>
        <s v="2025-12-09" u="1"/>
        <s v="2025-12-10" u="1"/>
        <s v="2025-12-11" u="1"/>
        <s v="2025-12-12" u="1"/>
        <s v="2025-12-13" u="1"/>
        <s v="2025-12-14" u="1"/>
        <s v="2025-12-15" u="1"/>
        <s v="2025-12-16" u="1"/>
        <s v="2025-12-17" u="1"/>
        <s v="2025-12-18" u="1"/>
        <s v="2025-12-19" u="1"/>
        <s v="2025-12-20" u="1"/>
        <s v="2025-12-21" u="1"/>
        <s v="2025-12-22" u="1"/>
        <s v="2025-12-23" u="1"/>
        <s v="2025-12-24" u="1"/>
        <s v="2025-12-25" u="1"/>
        <s v="2025-12-26" u="1"/>
        <s v="2025-12-27" u="1"/>
        <s v="2025-12-28" u="1"/>
        <s v="2025-12-29" u="1"/>
        <s v="2025-12-30" u="1"/>
        <s v="2025-12-31" u="1"/>
        <s v="2025-11-01" u="1"/>
        <s v="2025-11-02" u="1"/>
        <s v="2025-11-03" u="1"/>
        <s v="2025-11-04" u="1"/>
        <s v="2025-11-05" u="1"/>
        <s v="2025-11-06" u="1"/>
        <s v="2025-11-07" u="1"/>
        <s v="2025-11-08" u="1"/>
        <s v="2025-11-09" u="1"/>
        <s v="2025-11-10" u="1"/>
        <s v="2025-11-11" u="1"/>
        <s v="2025-11-12" u="1"/>
        <s v="2025-11-13" u="1"/>
        <s v="2025-11-14" u="1"/>
        <s v="2025-11-15" u="1"/>
        <s v="2025-11-16" u="1"/>
        <s v="2025-11-17" u="1"/>
        <s v="2025-11-18" u="1"/>
        <s v="2025-11-19" u="1"/>
        <s v="2025-11-20" u="1"/>
        <s v="2025-11-21" u="1"/>
        <s v="2025-11-22" u="1"/>
        <s v="2025-10-01" u="1"/>
        <s v="2025-10-02" u="1"/>
        <s v="2025-08-01" u="1"/>
        <s v="2025-08-02" u="1"/>
        <s v="2025-08-03" u="1"/>
      </sharedItems>
    </cacheField>
    <cacheField name="Time received" numFmtId="168">
      <sharedItems/>
    </cacheField>
    <cacheField name="Event text" numFmtId="0">
      <sharedItems/>
    </cacheField>
    <cacheField name="Location" numFmtId="0">
      <sharedItems/>
    </cacheField>
    <cacheField name="NO OF EVENTS" numFmtId="0">
      <sharedItems containsSemiMixedTypes="0" containsString="0" containsNumber="1" containsInteger="1" minValue="3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1"/>
    <x v="0"/>
    <s v="2026-01-01 05:58:42"/>
    <x v="0"/>
    <s v="ELIA JUMA NZOWA"/>
    <s v="T728DYR: Harsh braking has been activated. At 01.01.2026 05:58:42 it moved with speed 75 km/h near 'Iringa Road, Iringa, Tanzania, Kware'."/>
    <s v="Iringa Road, Tanzania, Iringa, Kware"/>
    <n v="17"/>
  </r>
  <r>
    <n v="2"/>
    <x v="1"/>
    <s v="2026-01-01 06:06:27"/>
    <x v="0"/>
    <s v="ABDALLAH RASHID MBWANA"/>
    <s v="T334EBX: Harsh braking has been activated. At 01.01.2026 06:06:27 it moved with speed 74 km/h near 'Tanzania To Zambia Road, Iringa, Mufindi, Tanzania, 1.81 km from Kinyanambo'."/>
    <s v="Tanzania To Zambia Road, Tanzania, Iringa, Mufindi, 1.81 km from Kinyanambo"/>
    <n v="7"/>
  </r>
  <r>
    <n v="3"/>
    <x v="2"/>
    <s v="2026-01-01 07:01:29"/>
    <x v="0"/>
    <s v="ALLY SAID MANDINGO"/>
    <s v="T335EBX: Harsh braking has been activated. At 01.01.2026 07:01:29 it moved with speed 56 km/h near 'Great North Road, Muchinga Province, Zambia, 8.99 km from Mwezo'."/>
    <s v="Great North Road, Zambia, Muchinga Province, 8.99 km from Mwezo"/>
    <n v="3"/>
  </r>
  <r>
    <n v="4"/>
    <x v="3"/>
    <s v="2026-01-01 07:18:37"/>
    <x v="0"/>
    <s v="KHALIDY MOHAMEDY KIDOMO"/>
    <s v="T724DYR: Harsh braking has been activated. At 01.01.2026 07:18:37 it moved with speed 61 km/h near 'T3, Copperbelt Province, Zambia, 9.45 km from Chingola'."/>
    <s v="T3, Zambia, Copperbelt Province, 9.45 km from Chingola"/>
    <n v="17"/>
  </r>
  <r>
    <n v="5"/>
    <x v="4"/>
    <s v="2026-01-01 07:47:22"/>
    <x v="0"/>
    <s v="RAFAEL ERASTO NZAWIBO"/>
    <s v="T869EBY: Harsh braking has been activated. At 01.01.2026 07:47:22 it moved with speed 54 km/h near 'Great North Road, Central Province, Zambia, 12.79 km from Kanona'."/>
    <s v="Great North Road, Zambia, Central Province, 12.79 km from Kanona"/>
    <n v="3"/>
  </r>
  <r>
    <n v="6"/>
    <x v="5"/>
    <s v="2026-01-01 08:04:49"/>
    <x v="0"/>
    <s v="MOHAMED SAID HAKUNGWA"/>
    <s v="T315EBX: Harsh braking has been activated. At 01.01.2026 08:04:49 it moved with speed 59 km/h near 'Great North Road, Muchinga Province, Zambia, 8.98 km from Kalungu'."/>
    <s v="Great North Road, Zambia, Muchinga Province, 8.98 km from Kalungu"/>
    <n v="10"/>
  </r>
  <r>
    <n v="7"/>
    <x v="6"/>
    <s v="2026-01-01 08:30:20"/>
    <x v="0"/>
    <s v="RAJABU HUSSEIN AHMAD"/>
    <s v="T712DYR: Harsh braking has been activated. At 01.01.2026 08:30:20 it moved with speed 66 km/h near 'Tanzania To Zambia Road, Iringa, Mufindi, Tanzania, Ihemi'."/>
    <s v="Tanzania To Zambia Road, Tanzania, Iringa, Mufindi, Ihemi"/>
    <n v="4"/>
  </r>
  <r>
    <n v="8"/>
    <x v="7"/>
    <s v="2026-01-01 09:07:34"/>
    <x v="0"/>
    <s v="RASHIDI MUSTAFA ABDALLAH"/>
    <s v="T510EBY: Harsh braking has been activated. At 01.01.2026 09:07:34 it moved with speed 69 km/h near 'Iringa Road, Iringa, Tanzania, 6.37 km from Mahenge'."/>
    <s v="Iringa Road, Tanzania, Iringa, 6.37 km from Mahenge"/>
    <n v="5"/>
  </r>
  <r>
    <n v="9"/>
    <x v="8"/>
    <s v="2026-01-01 09:31:19"/>
    <x v="0"/>
    <s v="MUMBA YASSINI KHAMISI"/>
    <s v="T710EBX: Harsh braking has been activated. At 01.01.2026 09:31:19 it moved with speed 56 km/h near 'T2, Pwani, Bagamoyo, Tanzania, 5.05 km from Mandera'."/>
    <s v="T2, Tanzania, Pwani, Bagamoyo, 5.05 km from Mandera"/>
    <n v="3"/>
  </r>
  <r>
    <n v="10"/>
    <x v="9"/>
    <s v="2026-01-01 09:45:52"/>
    <x v="0"/>
    <s v="ALLY ISSA OMARY"/>
    <s v="T792EBW: Harsh braking has been activated. At 01.01.2026 09:45:52 it moved with speed 53 km/h near 'Great North Road, Muchinga Province, Zambia, 10.40 km from Godfrey Kunda'."/>
    <s v="Great North Road, Zambia, Muchinga Province, 10.40 km from Godfrey Kunda"/>
    <n v="3"/>
  </r>
  <r>
    <n v="11"/>
    <x v="10"/>
    <s v="2026-01-01 09:56:22"/>
    <x v="0"/>
    <s v="RICHARD JOHN MWASILE"/>
    <s v="T585DYR: Harsh braking has been activated. At 01.01.2026 09:56:22 it moved with speed 51 km/h near 'Great North Road, Central Province, Zambia, 2.04 km from Kanona'."/>
    <s v="Great North Road, Zambia, Central Province, 2.04 km from Kanona"/>
    <n v="9"/>
  </r>
  <r>
    <n v="12"/>
    <x v="11"/>
    <s v="2026-01-01 11:35:08"/>
    <x v="0"/>
    <s v="HAMADI  MOHAMED KACHEM"/>
    <s v="T314DDJ: Harsh braking has been activated. At 01.01.2026 11:35:08 it moved with speed 71 km/h near 'Great North Road, Muchinga Province, Zambia, 2.17 km from Musata'."/>
    <s v="Great North Road, Zambia, Muchinga Province, 2.17 km from Musata"/>
    <n v="4"/>
  </r>
  <r>
    <n v="13"/>
    <x v="12"/>
    <s v="2026-01-01 12:51:40"/>
    <x v="0"/>
    <s v="HAROUB OMARY JAKA "/>
    <s v="T756EBX: Harsh braking has been activated. At 01.01.2026 12:51:40 it moved with speed 52 km/h near 'Great North Road, Central Province, Zambia, 11.14 km from Tanemeka'."/>
    <s v="Great North Road, Zambia, Central Province, 11.14 km from Tanemeka"/>
    <n v="8"/>
  </r>
  <r>
    <n v="14"/>
    <x v="13"/>
    <s v="2026-01-01 13:36:53"/>
    <x v="0"/>
    <s v="KELVIN JOSEPH MWAMI"/>
    <s v="T517EBY: Harsh braking has been activated. At 01.01.2026 13:36:53 it moved with speed 57 km/h near 'Great North Road, Muchinga Province, Zambia, 6.63 km from Isoka'."/>
    <s v="Great North Road, Zambia, Muchinga Province, 6.63 km from Isoka"/>
    <n v="5"/>
  </r>
  <r>
    <n v="15"/>
    <x v="14"/>
    <s v="2026-01-01 15:19:05"/>
    <x v="0"/>
    <s v="MOHAMEDI MOSHI NYANZA"/>
    <s v="T318EBX: Harsh braking has been activated. At 01.01.2026 15:19:05 it moved with speed 52 km/h near 'T3, Copperbelt Province, Zambia, 1.43 km from Chingola'."/>
    <s v="T3, Zambia, Copperbelt Province, 1.43 km from Chingola"/>
    <n v="8"/>
  </r>
  <r>
    <n v="16"/>
    <x v="15"/>
    <s v="2026-01-01 18:47:40"/>
    <x v="0"/>
    <s v="HAMAD OMARY HAMAD"/>
    <s v="T696DEB: Harsh braking has been activated. At 01.01.2026 18:47:40 it moved with speed 71 km/h near 'Fisenge Bypass, Copperbelt Province, Zambia, Ndola'."/>
    <s v="Fisenge Bypass, Zambia, Copperbelt Province, Ndola"/>
    <n v="3"/>
  </r>
  <r>
    <n v="17"/>
    <x v="16"/>
    <s v="2026-01-02 07:13:30"/>
    <x v="1"/>
    <s v="MASOUDI SAIDY MUHALI"/>
    <s v="T411ECN: Harsh braking has been activated. At 02.01.2026 07:13:30 it moved with speed 62 km/h near 'Great North Road, Muchinga Province, Zambia, 11.16 km from Chinkumba'."/>
    <s v="Great North Road, Zambia, Muchinga Province, 11.16 km from Chinkumba"/>
    <n v="6"/>
  </r>
  <r>
    <n v="18"/>
    <x v="17"/>
    <s v="2026-01-02 07:20:06"/>
    <x v="1"/>
    <s v="ISIHAKA IDRISA HAMIDU"/>
    <s v="T645DHL: Harsh braking has been activated. At 02.01.2026 07:20:06 it moved with speed 61 km/h near 'Iringa Road, Iringa, Tanzania, 2.65 km from Mahenge'."/>
    <s v="Iringa Road, Tanzania, Iringa, 2.65 km from Mahenge"/>
    <n v="4"/>
  </r>
  <r>
    <n v="19"/>
    <x v="13"/>
    <s v="2026-01-02 07:30:14"/>
    <x v="1"/>
    <s v="KELVIN JOSEPH MWAMI"/>
    <s v="T517EBY: Harsh braking has been activated. At 02.01.2026 07:30:14 it moved with speed 64 km/h near 'Great North Road, Muchinga Province, Zambia, 19.94 km from Katibunga'."/>
    <s v="Great North Road, Zambia, Muchinga Province, 19.94 km from Katibunga"/>
    <n v="7"/>
  </r>
  <r>
    <n v="20"/>
    <x v="3"/>
    <s v="2026-01-02 07:56:07"/>
    <x v="1"/>
    <s v="KHALIDY MOHAMEDY KIDOMO"/>
    <s v="T724DYR: Harsh braking has been activated. At 02.01.2026 07:56:07 it moved with speed 71 km/h near 'Great North Road, Central Province, Zambia, 13.78 km from Kanona'."/>
    <s v="Great North Road, Zambia, Central Province, 13.78 km from Kanona"/>
    <n v="15"/>
  </r>
  <r>
    <n v="21"/>
    <x v="5"/>
    <s v="2026-01-02 08:52:08"/>
    <x v="1"/>
    <s v="MOHAMED SAID HAKUNGWA"/>
    <s v="T315EBX: Harsh braking has been activated. At 02.01.2026 08:52:08 it moved with speed 73 km/h near 'Great North Road, Central Province, Zambia, 7.17 km from Mkushi'."/>
    <s v="Great North Road, Zambia, Central Province, 7.17 km from Mkushi"/>
    <n v="3"/>
  </r>
  <r>
    <n v="22"/>
    <x v="18"/>
    <s v="2026-01-02 09:03:54"/>
    <x v="1"/>
    <s v="ALLY MBARAKA ALLY"/>
    <s v="T934EBW: Harsh braking has been activated. At 02.01.2026 09:03:54 it moved with speed 66 km/h near 'Great North Road, Muchinga Province, Zambia, 5.46 km from Musata'."/>
    <s v="Great North Road, Zambia, Muchinga Province, 5.46 km from Musata"/>
    <n v="3"/>
  </r>
  <r>
    <n v="23"/>
    <x v="12"/>
    <s v="2026-01-02 09:20:54"/>
    <x v="1"/>
    <s v="HAROUB OMARY JAKA "/>
    <s v="T756EBX: Harsh braking has been activated. At 02.01.2026 09:20:54 it moved with speed 58 km/h near 'Great North Road, Muchinga Province, Zambia, 12.39 km from Mukwikile'."/>
    <s v="Great North Road, Zambia, Muchinga Province, 12.39 km from Mukwikile"/>
    <n v="7"/>
  </r>
  <r>
    <n v="24"/>
    <x v="19"/>
    <s v="2026-01-02 10:23:36"/>
    <x v="1"/>
    <s v="EMANUEL AGRICOLA MKENDA"/>
    <s v="T604DTQ: Harsh braking has been activated. At 02.01.2026 10:23:36 it moved with speed 59 km/h near 'Rn1, Haut-Katanga, Democratic Republic of the Congo, 7.69 km from Kasumbalesa'."/>
    <s v="Rn1, Democratic Republic of the Congo, Haut-Katanga, 7.69 km from Kasumbalesa"/>
    <n v="3"/>
  </r>
  <r>
    <n v="25"/>
    <x v="20"/>
    <s v="2026-01-02 10:54:11"/>
    <x v="1"/>
    <s v="TWAHIR RASHID MSAKA"/>
    <s v="T890EBW: Harsh braking has been activated. At 02.01.2026 10:54:11 it moved with speed 52 km/h near 'Great North Road, Muchinga Province, Zambia, 8.82 km from Kalungu'."/>
    <s v="Great North Road, Zambia, Muchinga Province, 8.82 km from Kalungu"/>
    <n v="5"/>
  </r>
  <r>
    <n v="26"/>
    <x v="21"/>
    <s v="2026-01-02 12:50:34"/>
    <x v="1"/>
    <s v="NICKODEMO DEOGLASS MASSAWE"/>
    <s v="T603DTQ: Harsh braking has been activated. At 02.01.2026 12:50:34 it moved with speed 60 km/h near 'Rn1, Haut-Katanga, Democratic Republic of the Congo, 21.41 km from Tumbwe'."/>
    <s v="Rn1, Democratic Republic of the Congo, Haut-Katanga, 21.41 km from Tumbwe"/>
    <n v="3"/>
  </r>
  <r>
    <n v="27"/>
    <x v="22"/>
    <s v="2026-01-02 12:55:25"/>
    <x v="1"/>
    <s v="OMARI ATHUMANI SELEMANI"/>
    <s v="T930EBW: Harsh braking has been activated. At 02.01.2026 12:55:25 it moved with speed 59 km/h near 'Iringa Road, Morogoro, Tanzania, Mangaye'."/>
    <s v="Iringa Road, Tanzania, Morogoro, Mangaye"/>
    <n v="4"/>
  </r>
  <r>
    <n v="28"/>
    <x v="23"/>
    <s v="2026-01-02 16:13:57"/>
    <x v="1"/>
    <s v="HABIBU SELEMANI NTILLA"/>
    <s v="T520EBY: Harsh braking has been activated. At 02.01.2026 16:13:57 it moved with speed 57 km/h near 'Great North Road, Muchinga Province, Zambia, 3.99 km from Chilonga'."/>
    <s v="Great North Road, Zambia, Muchinga Province, 3.99 km from Chilonga"/>
    <n v="4"/>
  </r>
  <r>
    <n v="29"/>
    <x v="24"/>
    <s v="2026-01-02 16:48:32"/>
    <x v="1"/>
    <s v="JABU RASHIDI ISSA"/>
    <s v="T754DEB: Harsh braking has been activated. At 02.01.2026 16:48:32 it moved with speed 56 km/h near 'Ndola - Kitwe Dual-Carriageway, Copperbelt Province, Zambia, Ndola'."/>
    <s v="Ndola - Kitwe Dual-Carriageway, Zambia, Copperbelt Province, Ndola"/>
    <n v="3"/>
  </r>
  <r>
    <n v="30"/>
    <x v="25"/>
    <s v="2026-01-03 07:18:31"/>
    <x v="2"/>
    <s v="ROBERT TULIA CHANDO"/>
    <s v="T224EBX: Harsh braking has been activated. At 03.01.2026 07:18:31 it moved with speed 52 km/h near 'Tanzania To Zambia Road, Iringa, Mufindi, Tanzania, 1.61 km from Ifunda'."/>
    <s v="Tanzania To Zambia Road, Tanzania, Iringa, Mufindi, 1.61 km from Ifunda"/>
    <n v="3"/>
  </r>
  <r>
    <n v="31"/>
    <x v="20"/>
    <s v="2026-01-03 07:49:15"/>
    <x v="2"/>
    <s v="TWAHIR RASHID MSAKA"/>
    <s v="T890EBW: Harsh braking has been activated. At 03.01.2026 07:49:15 it moved with speed 55 km/h near 'Great North Road, Central Province, Zambia, 7.40 km from Kanona'."/>
    <s v="Great North Road, Zambia, Central Province, 7.40 km from Kanona"/>
    <n v="11"/>
  </r>
  <r>
    <n v="32"/>
    <x v="26"/>
    <s v="2026-01-03 14:19:23"/>
    <x v="2"/>
    <s v="SAID RAJABU RAJABU"/>
    <s v="T282EBY: Harsh braking has been activated. At 03.01.2026 14:19:23 it moved with speed 57 km/h near 'Great North Road, Muchinga Province, Zambia, 16.57 km from Mukukwe'."/>
    <s v="Great North Road, Zambia, Muchinga Province, 16.57 km from Mukukwe"/>
    <n v="5"/>
  </r>
  <r>
    <n v="33"/>
    <x v="27"/>
    <s v="2026-01-03 14:31:25"/>
    <x v="2"/>
    <s v="BAHATI ATHUMANI MDOE"/>
    <s v="T153EBX: Harsh braking has been activated. At 03.01.2026 14:31:25 it moved with speed 62 km/h near 'Great North Road, Muchinga Province, Zambia, 18.41 km from Katibunga'."/>
    <s v="Great North Road, Zambia, Muchinga Province, 18.41 km from Katibunga"/>
    <n v="3"/>
  </r>
  <r>
    <n v="34"/>
    <x v="28"/>
    <s v="2026-01-03 16:05:14"/>
    <x v="2"/>
    <s v="ROBERT VICENT SONJE"/>
    <s v="T263EBX: Harsh braking has been activated. At 03.01.2026 16:05:14 it moved with speed 51 km/h near 'Nelson Mandela Road, Dar Es Salaam, Buguruni, Tanzania'."/>
    <s v="Dar Es Salaam, Nelson Mandela Road, Tanzania, Buguruni"/>
    <n v="5"/>
  </r>
  <r>
    <n v="35"/>
    <x v="29"/>
    <s v="2026-01-03 17:54:20"/>
    <x v="2"/>
    <s v="MRISHO WAZIRI ALLY"/>
    <s v="T568DYR: Harsh braking has been activated. At 03.01.2026 17:54:20 it moved with speed 57 km/h near 'Radio Tanzania Road, Dar Es Salaam, Temeke, Tanzania'."/>
    <s v="Dar Es Salaam, Radio Tanzania Road, Tanzania, Temeke"/>
    <n v="3"/>
  </r>
  <r>
    <n v="36"/>
    <x v="26"/>
    <s v="2026-01-04 08:00:13"/>
    <x v="3"/>
    <s v="SAID RAJABU RAJABU"/>
    <s v="T282EBY: Harsh braking has been activated. At 04.01.2026 08:00:13 it moved with speed 53 km/h near 'Great North Road, Muchinga Province, Zambia, 11.36 km from Chikwanda'."/>
    <s v="Great North Road, Zambia, Muchinga Province, 11.36 km from Chikwanda"/>
    <n v="9"/>
  </r>
  <r>
    <n v="37"/>
    <x v="30"/>
    <s v="2026-01-04 07:02:52"/>
    <x v="3"/>
    <s v="JUMANNE ALLY NJECHELE"/>
    <s v="T402ECN: Harsh braking has been activated. At 04.01.2026 07:02:52 it moved with speed 65 km/h near 'Iringa Road, Morogoro, Kilosa, Tanzania, 10.35 km from Msimba'."/>
    <s v="Iringa Road, Tanzania, Morogoro, Kilosa, 10.35 km from Msimba"/>
    <n v="3"/>
  </r>
  <r>
    <n v="38"/>
    <x v="31"/>
    <s v="2026-01-04 16:28:55"/>
    <x v="3"/>
    <s v="BASHIRU ABDALLA HUSSEIN"/>
    <s v="T413DHG: Harsh braking has been activated. At 04.01.2026 16:28:55 it moved with speed 64 km/h near 'M16, Copperbelt Province, Zambia, 7.61 km from Kalulushi'."/>
    <s v="M16, Zambia, Copperbelt Province, 7.61 km from Kalulushi"/>
    <n v="4"/>
  </r>
  <r>
    <n v="39"/>
    <x v="32"/>
    <s v="2026-01-04 14:33:40"/>
    <x v="3"/>
    <s v="GABRIEL SHIJA MAHONA"/>
    <s v="T494DYR: Harsh braking has been activated. At 04.01.2026 14:33:40 it moved with speed 63 km/h near 'T3, Copperbelt Province, Zambia, 4.78 km from Konkola'."/>
    <s v="T3, Zambia, Copperbelt Province, 4.78 km from Konkola"/>
    <n v="5"/>
  </r>
  <r>
    <n v="40"/>
    <x v="33"/>
    <s v="2026-01-04 01:57:01"/>
    <x v="3"/>
    <s v="FLAVIAN PASCAL MLUWE"/>
    <s v="T524EBY: Harsh braking has been activated. At 04.01.2026 01:57:01 it moved with speed 59 km/h near 'Nelson Mandela Road, Dar Es Salaam, Buguruni, Tanzania'."/>
    <s v="Dar Es Salaam, Nelson Mandela Road, Tanzania, Buguruni"/>
    <n v="3"/>
  </r>
  <r>
    <n v="41"/>
    <x v="34"/>
    <s v="2026-01-04 06:18:04"/>
    <x v="3"/>
    <s v="LUSEKELO JEREMIA MWAMBETE"/>
    <s v="T957DSX: Harsh braking has been activated. At 04.01.2026 06:18:04 it moved with speed 55 km/h near 'Iringa Road, Morogoro, Tanzania, Kibaoni'."/>
    <s v="Iringa Road, Tanzania, Morogoro, Kibaoni"/>
    <n v="5"/>
  </r>
  <r>
    <n v="42"/>
    <x v="35"/>
    <s v="2026-01-05 08:19:11"/>
    <x v="4"/>
    <s v="ISAYA MSHUKURU MMBANDO"/>
    <s v="T271EBY: Harsh braking has been activated. At 05.01.2026 08:19:11 it moved with speed 65 km/h near 'Great North Road, Muchinga Province, Zambia, 13.05 km from Mkasi'."/>
    <s v="Great North Road, Zambia, Muchinga Province, 13.05 km from Mkasi"/>
    <n v="5"/>
  </r>
  <r>
    <n v="43"/>
    <x v="31"/>
    <s v="2026-01-05 13:22:11"/>
    <x v="4"/>
    <s v="BASHIRU ABDALLA HUSSEIN"/>
    <s v="T413DHG: Harsh braking has been activated. At 05.01.2026 13:22:11 it moved with speed 68 km/h near 'T3, Copperbelt Province, Zambia, 9.86 km from Pukota'."/>
    <s v="T3, Zambia, Copperbelt Province, 9.86 km from Pukota"/>
    <n v="3"/>
  </r>
  <r>
    <n v="44"/>
    <x v="32"/>
    <s v="2026-01-05 13:11:35"/>
    <x v="4"/>
    <s v="GABRIEL SHIJA MAHONA"/>
    <s v="T494DYR: Harsh braking has been activated. At 05.01.2026 13:11:35 it moved with speed 55 km/h near 'T3, Copperbelt Province, Zambia, 5.25 km from Pukota'."/>
    <s v="T3, Zambia, Copperbelt Province, 5.25 km from Pukota"/>
    <n v="6"/>
  </r>
  <r>
    <n v="45"/>
    <x v="36"/>
    <s v="2026-01-05 07:56:01"/>
    <x v="4"/>
    <s v="ALLY RAMADHANI ZANDA"/>
    <s v="T499DYR: Harsh braking has been activated. At 05.01.2026 07:56:01 it moved with speed 54 km/h near 'Iringa Road, Morogoro, Tanzania'."/>
    <s v="Morogoro, Iringa Road, Tanzania"/>
    <n v="15"/>
  </r>
  <r>
    <n v="46"/>
    <x v="37"/>
    <s v="2026-01-05 11:59:02"/>
    <x v="4"/>
    <s v="NIZAR HASHAM TIMBILI"/>
    <s v="T820DDS: Harsh braking has been activated. At 05.01.2026 11:59:02 it moved with speed 62 km/h near 'Great North Road, Muchinga Province, Zambia, 4.87 km from Chinunda'."/>
    <s v="Great North Road, Zambia, Muchinga Province, 4.87 km from Chinunda"/>
    <n v="3"/>
  </r>
  <r>
    <n v="47"/>
    <x v="38"/>
    <s v="2026-01-06 08:05:34"/>
    <x v="5"/>
    <s v="JOHN NICHOLAUS MASSAWE"/>
    <s v="T104EBX: Harsh braking has been activated. At 06.01.2026 08:05:34 it moved with speed 60 km/h near 'Great North Road, Central Province, Zambia, 12.49 km from Chitiwa'."/>
    <s v="Great North Road, Zambia, Central Province, 12.49 km from Chitiwa"/>
    <n v="3"/>
  </r>
  <r>
    <n v="48"/>
    <x v="39"/>
    <s v="2026-01-06 11:18:16"/>
    <x v="5"/>
    <s v="GODFREY JOHN ANTHONY KUNDI"/>
    <s v="T107EBX: Harsh braking has been activated. At 06.01.2026 11:18:16 it moved with speed 74 km/h near 'Great North Road, Muchinga Province, Zambia, 3.33 km from Kaole'."/>
    <s v="Great North Road, Zambia, Muchinga Province, 3.33 km from Kaole"/>
    <n v="4"/>
  </r>
  <r>
    <n v="49"/>
    <x v="35"/>
    <s v="2026-01-06 07:39:17"/>
    <x v="5"/>
    <s v="ISAYA MSHUKURU MMBANDO"/>
    <s v="T271EBY: Harsh braking has been activated. At 06.01.2026 07:39:17 it moved with speed 56 km/h near 'Great North Road, Muchinga Province, Zambia, 2.16 km from Godfrey Kunda'."/>
    <s v="Great North Road, Zambia, Muchinga Province, 2.16 km from Godfrey Kunda"/>
    <n v="8"/>
  </r>
  <r>
    <n v="50"/>
    <x v="36"/>
    <s v="2026-01-06 09:50:11"/>
    <x v="5"/>
    <s v="ALLY RAMADHANI ZANDA"/>
    <s v="T499DYR: Harsh braking has been activated. At 06.01.2026 09:50:11 it moved with speed 58 km/h near 'T1, Njombe, Tanzania, Edetelo'."/>
    <s v="T1, Tanzania, Njombe, Edetelo"/>
    <n v="3"/>
  </r>
  <r>
    <n v="51"/>
    <x v="40"/>
    <s v="2026-01-06 09:19:16"/>
    <x v="5"/>
    <s v="JOSEPH LAWRENCE MAHANO "/>
    <s v="T578DTQ: Harsh braking has been activated. At 06.01.2026 09:19:16 it moved with speed 57 km/h near 'Great North Road, Central Province, Zambia, Ndabala'."/>
    <s v="Great North Road, Zambia, Central Province, Ndabala"/>
    <n v="5"/>
  </r>
  <r>
    <n v="52"/>
    <x v="41"/>
    <s v="2026-01-06 13:21:16"/>
    <x v="5"/>
    <s v="ABILLAH BAKARI MHINA"/>
    <s v="T652DTQ: Harsh braking has been activated. At 06.01.2026 13:21:16 it moved with speed 58 km/h near 'Iringa Road, Iringa, Tanzania, 1.82 km from Comfort'."/>
    <s v="Iringa Road, Tanzania, Iringa, 1.82 km from Comfort"/>
    <n v="3"/>
  </r>
  <r>
    <n v="53"/>
    <x v="42"/>
    <s v="2026-01-06 09:37:32"/>
    <x v="5"/>
    <s v="SHOMAR MOHAMED MITAWA"/>
    <s v="T661DTQ: Harsh braking has been activated. At 06.01.2026 09:37:32 it moved with speed 55 km/h near 'Tanzania To Zambia Road, Iringa, Mufindi, Tanzania, Muwimbi'."/>
    <s v="Tanzania To Zambia Road, Tanzania, Iringa, Mufindi, Muwimbi"/>
    <n v="11"/>
  </r>
  <r>
    <n v="54"/>
    <x v="43"/>
    <s v="2026-01-06 09:24:26"/>
    <x v="5"/>
    <s v="YASIN BAKARI NYALU"/>
    <s v="T797DYR: Harsh braking has been activated. At 06.01.2026 09:24:26 it moved with speed 61 km/h near 'Iringa Road, Iringa, Tanzania, 1.74 km from Comfort'."/>
    <s v="Iringa Road, Tanzania, Iringa, 1.74 km from Comfort"/>
    <n v="4"/>
  </r>
  <r>
    <n v="55"/>
    <x v="44"/>
    <s v="2026-01-06 07:18:22"/>
    <x v="5"/>
    <s v="HASSAN RAMADHANI SHABANI"/>
    <s v="T812EBW: Harsh braking has been activated. At 06.01.2026 07:18:22 it moved with speed 60 km/h near 'Great North Road, Central Province, Zambia, 15.21 km from Muchinka'."/>
    <s v="Great North Road, Zambia, Central Province, 15.21 km from Muchinka"/>
    <n v="3"/>
  </r>
  <r>
    <n v="56"/>
    <x v="37"/>
    <s v="2026-01-06 10:30:51"/>
    <x v="5"/>
    <s v="NIZAR HASHAM TIMBILI"/>
    <s v="T820DDS: Harsh braking has been activated. At 06.01.2026 10:30:51 it moved with speed 54 km/h near 'T3, Copperbelt Province, Zambia, 9.42 km from Pukota'."/>
    <s v="T3, Zambia, Copperbelt Province, 9.42 km from Pukota"/>
    <n v="5"/>
  </r>
  <r>
    <n v="57"/>
    <x v="45"/>
    <s v="2026-01-06 09:19:06"/>
    <x v="5"/>
    <s v="OMARY SAID MTAJI"/>
    <s v="T861EBY: Harsh braking has been activated. At 06.01.2026 09:19:06 it moved with speed 52 km/h near 'Great North Road, Central Province, Zambia, 17.79 km from Mkushi River'."/>
    <s v="Great North Road, Zambia, Central Province, 17.79 km from Mkushi River"/>
    <n v="3"/>
  </r>
  <r>
    <n v="58"/>
    <x v="46"/>
    <s v="2026-01-06 07:41:27"/>
    <x v="5"/>
    <s v="ISSACK KONRADI KASIANO"/>
    <s v="T868EBW: Harsh braking has been activated. At 06.01.2026 07:41:27 it moved with speed 67 km/h near 'Great North Road, Muchinga Province, Zambia, 6.25 km from Musata'."/>
    <s v="Great North Road, Zambia, Muchinga Province, 6.25 km from Musata"/>
    <n v="8"/>
  </r>
  <r>
    <n v="59"/>
    <x v="47"/>
    <s v="2026-01-06 08:02:10"/>
    <x v="5"/>
    <s v="STEPHANO ABINELI ULOMI"/>
    <s v="T873EBY: Harsh braking has been activated. At 06.01.2026 08:02:10 it moved with speed 54 km/h near 'Morogoro Main Road, Dar Es Salaam, Tanzania'."/>
    <s v="Dar Es Salaam, Morogoro Main Road, Tanzania"/>
    <n v="7"/>
  </r>
  <r>
    <n v="60"/>
    <x v="48"/>
    <s v="2026-01-06 09:20:38"/>
    <x v="5"/>
    <s v="SWEETBERT RUKONGE MWEMEZI"/>
    <s v="T909EBW: Harsh braking has been activated. At 06.01.2026 09:20:38 it moved with speed 57 km/h near 'Iringa Road, Iringa, Tanzania, Matassi'."/>
    <s v="Iringa Road, Tanzania, Iringa, Matassi"/>
    <n v="4"/>
  </r>
  <r>
    <n v="61"/>
    <x v="49"/>
    <s v="2026-01-06 08:55:06"/>
    <x v="5"/>
    <s v="SEIF AMARY HAMAD"/>
    <s v="T939EBW: Harsh braking has been activated. At 06.01.2026 08:55:06 it moved with speed 52 km/h near 'Great North Road, Central Province, Zambia, 11.83 km from Bwale'."/>
    <s v="Great North Road, Zambia, Central Province, 11.83 km from Bwale"/>
    <n v="5"/>
  </r>
  <r>
    <n v="62"/>
    <x v="50"/>
    <s v="2026-01-07 10:48:19"/>
    <x v="6"/>
    <s v="MWAITA ALLY ISIHAKA"/>
    <s v="T178EBX: Harsh braking has been activated. At 07.01.2026 10:48:19 it moved with speed 54 km/h near 'Morogoro Main Road, Dar Es Salaam, Tanzania'."/>
    <s v="Dar Es Salaam, Morogoro Main Road, Tanzania"/>
    <n v="6"/>
  </r>
  <r>
    <n v="63"/>
    <x v="11"/>
    <s v="2026-01-07 15:29:06"/>
    <x v="6"/>
    <s v="HAMADI  MOHAMED KACHEM"/>
    <s v="T314DDJ: Harsh braking has been activated. At 07.01.2026 15:29:06 it moved with speed 57 km/h near 'Iringa Road, Morogoro, Kilosa, Tanzania, 14.97 km from Igagala'."/>
    <s v="Iringa Road, Tanzania, Morogoro, Kilosa, 14.97 km from Igagala"/>
    <n v="3"/>
  </r>
  <r>
    <n v="64"/>
    <x v="51"/>
    <s v="2026-01-07 12:37:46"/>
    <x v="6"/>
    <s v="DEOGRATIAS PETER NGHABI "/>
    <s v="T360DHG: Harsh braking has been activated. At 07.01.2026 12:37:46 it moved with speed 56 km/h near 'Great North Road, Central Province, Zambia, 2.88 km from Serenje'."/>
    <s v="Great North Road, Zambia, Central Province, 2.88 km from Serenje"/>
    <n v="4"/>
  </r>
  <r>
    <n v="65"/>
    <x v="7"/>
    <s v="2026-01-07 07:07:21"/>
    <x v="6"/>
    <s v="RASHIDI MUSTAFA ABDALLAH"/>
    <s v="T510EBY: Harsh braking has been activated. At 07.01.2026 07:07:21 it moved with speed 64 km/h near 'Great North Road, Muchinga Province, Zambia, 8.80 km from Mwezo'."/>
    <s v="Great North Road, Zambia, Muchinga Province, 8.80 km from Mwezo"/>
    <n v="8"/>
  </r>
  <r>
    <n v="66"/>
    <x v="6"/>
    <s v="2026-01-07 06:31:11"/>
    <x v="6"/>
    <s v="RAJABU HUSSEIN AHMAD"/>
    <s v="T712DYR: Harsh braking has been activated. At 07.01.2026 06:31:11 it moved with speed 60 km/h near 'Great North Road, Muchinga Province, Zambia, 13.15 km from Mkasi'."/>
    <s v="Great North Road, Zambia, Muchinga Province, 13.15 km from Mkasi"/>
    <n v="6"/>
  </r>
  <r>
    <n v="67"/>
    <x v="3"/>
    <s v="2026-01-07 13:14:49"/>
    <x v="6"/>
    <s v="KHALIDY MOHAMEDY KIDOMO"/>
    <s v="T724DYR: Harsh braking has been activated. At 07.01.2026 13:14:49 it moved with speed 58 km/h near 'T1, Mbeya, Tanzania, 2.52 km from Lunwa'."/>
    <s v="T1, Tanzania, Mbeya, 2.52 km from Lunwa"/>
    <n v="3"/>
  </r>
  <r>
    <n v="68"/>
    <x v="52"/>
    <s v="2026-01-07 11:27:18"/>
    <x v="6"/>
    <s v="ELIBAS EZEKIEL KITUNGWA"/>
    <s v="T907EBW: Harsh braking has been activated. At 07.01.2026 11:27:18 it moved with speed 69 km/h near 'Great North Road, Muchinga Province, Zambia, 1.68 km from Chifumbula'."/>
    <s v="Great North Road, Zambia, Muchinga Province, 1.68 km from Chifumbula"/>
    <n v="5"/>
  </r>
  <r>
    <n v="69"/>
    <x v="53"/>
    <s v="2026-01-08 09:17:31"/>
    <x v="7"/>
    <s v="OMAR SWALEH CHANINGA"/>
    <s v="T127EBX: Harsh braking has been activated. At 08.01.2026 09:17:31 it moved with speed 56 km/h near 'Great North Road, Central Province, Zambia, 2.15 km from Kanona'."/>
    <s v="Great North Road, Zambia, Central Province, 2.15 km from Kanona"/>
    <n v="3"/>
  </r>
  <r>
    <n v="70"/>
    <x v="27"/>
    <s v="2026-01-08 12:47:45"/>
    <x v="7"/>
    <s v="BAHATI ATHUMANI MDOE"/>
    <s v="T153EBX: Harsh braking has been activated. At 08.01.2026 12:47:45 it moved with speed 56 km/h near 'Iringa Road, Morogoro, Kilosa, Tanzania, 2.50 km from Msosa'."/>
    <s v="Iringa Road, Tanzania, Morogoro, Kilosa, 2.50 km from Msosa"/>
    <n v="4"/>
  </r>
  <r>
    <n v="71"/>
    <x v="7"/>
    <s v="2026-01-08 15:54:07"/>
    <x v="7"/>
    <s v="RASHIDI MUSTAFA ABDALLAH"/>
    <s v="T510EBY: Harsh braking has been activated. At 08.01.2026 15:54:07 it moved with speed 52 km/h near 'T3, Copperbelt Province, Zambia, 2.15 km from Tonde'."/>
    <s v="T3, Zambia, Copperbelt Province, 2.15 km from Tonde"/>
    <n v="3"/>
  </r>
  <r>
    <n v="72"/>
    <x v="54"/>
    <s v="2026-01-08 06:49:09"/>
    <x v="7"/>
    <s v="HAMIS MASOUD MWANKWALLE"/>
    <s v="T518EBY: Harsh braking has been activated. At 08.01.2026 06:49:09 it moved with speed 63 km/h near 'Iringa Road, Morogoro, Kilosa, Tanzania, 6.51 km from Igagala'."/>
    <s v="Iringa Road, Tanzania, Morogoro, Kilosa, 6.51 km from Igagala"/>
    <n v="18"/>
  </r>
  <r>
    <n v="73"/>
    <x v="6"/>
    <s v="2026-01-08 09:31:16"/>
    <x v="7"/>
    <s v="RAJABU HUSSEIN AHMAD"/>
    <s v="T712DYR: Harsh braking has been activated. At 08.01.2026 09:31:16 it moved with speed 60 km/h near 'Great North Road, Central Province, Zambia, 8.42 km from Ndabala'."/>
    <s v="Great North Road, Zambia, Central Province, 8.42 km from Ndabala"/>
    <n v="8"/>
  </r>
  <r>
    <n v="74"/>
    <x v="55"/>
    <s v="2026-01-08 11:16:22"/>
    <x v="7"/>
    <s v="STANLEY SAIMON MLOGANZALA"/>
    <s v="T720DYR: Harsh braking has been activated. At 08.01.2026 11:16:22 it moved with speed 54 km/h near 'Great North Road, Muchinga Province, Zambia, 4.12 km from Chifumbula'."/>
    <s v="Great North Road, Zambia, Muchinga Province, 4.12 km from Chifumbula"/>
    <n v="9"/>
  </r>
  <r>
    <n v="75"/>
    <x v="3"/>
    <s v="2026-01-08 08:52:37"/>
    <x v="7"/>
    <s v="KHALIDY MOHAMEDY KIDOMO"/>
    <s v="T724DYR: Harsh braking has been activated. At 08.01.2026 08:52:37 it moved with speed 56 km/h near 'Dar - Mbeya Highway, Iringa, Tanzania, 1.57 km from Igumbilo'."/>
    <s v="Dar - Mbeya Highway, Tanzania, Iringa, 1.57 km from Igumbilo"/>
    <n v="23"/>
  </r>
  <r>
    <n v="76"/>
    <x v="0"/>
    <s v="2026-01-08 10:01:08"/>
    <x v="7"/>
    <s v="ELIA JUMA NZOWA"/>
    <s v="T728DYR: Harsh braking has been activated. At 08.01.2026 10:01:08 it moved with speed 53 km/h near 'Great North Road, Central Province, Zambia, 6.60 km from Mkushi River'."/>
    <s v="Great North Road, Zambia, Central Province, 6.60 km from Mkushi River"/>
    <n v="5"/>
  </r>
  <r>
    <n v="77"/>
    <x v="56"/>
    <s v="2026-01-08 06:08:48"/>
    <x v="7"/>
    <s v="LEONIDAS KALUMUNA KAGENYI"/>
    <s v="T796DYR: Harsh braking has been activated. At 08.01.2026 06:08:48 it moved with speed 60 km/h near 'T1, Mbeya, Tanzania, 2.50 km from Lunwa'."/>
    <s v="T1, Tanzania, Mbeya, 2.50 km from Lunwa"/>
    <n v="4"/>
  </r>
  <r>
    <n v="78"/>
    <x v="52"/>
    <s v="2026-01-08 10:06:10"/>
    <x v="7"/>
    <s v="ELIBAS EZEKIEL KITUNGWA"/>
    <s v="T907EBW: Harsh braking has been activated. At 08.01.2026 10:06:10 it moved with speed 51 km/h near 'Great North Road, Muchinga Province, Zambia, 10.51 km from Godfrey Kunda'."/>
    <s v="Great North Road, Zambia, Muchinga Province, 10.51 km from Godfrey Kunda"/>
    <n v="8"/>
  </r>
  <r>
    <n v="79"/>
    <x v="57"/>
    <s v="2026-01-08 11:10:26"/>
    <x v="7"/>
    <s v="MOSES ELIBARIKI MSHANA"/>
    <s v="T954EBW: Harsh braking has been activated. At 08.01.2026 11:10:26 it moved with speed 55 km/h near 'T1, Njombe, Tanzania, Idofi'."/>
    <s v="T1, Tanzania, Njombe, Idofi"/>
    <n v="3"/>
  </r>
  <r>
    <m/>
    <x v="58"/>
    <s v="2026-01-09 09:12:16"/>
    <x v="8"/>
    <s v="ALLY JUMA ATHUMANI"/>
    <s v="T175EBX: Harsh braking has been activated. At 09.01.2026 09:12:16 it moved with speed 68 km/h near 'Iringa Road, Morogoro, Kilosa, Tanzania, 13.69 km from Maharaka'."/>
    <s v="Iringa Road, Tanzania, Morogoro, Kilosa, 13.69 km from Maharaka"/>
    <n v="5"/>
  </r>
  <r>
    <m/>
    <x v="59"/>
    <s v="2026-01-09 08:26:10"/>
    <x v="8"/>
    <s v="BAKARI MOHAMED SAID"/>
    <s v="T319EBY: Harsh braking has been activated. At 09.01.2026 08:26:10 it moved with speed 62 km/h near 'Great North Road, Muchinga Province, Zambia, 9.02 km from Musata'."/>
    <s v="Great North Road, Zambia, Muchinga Province, 9.02 km from Musata"/>
    <n v="5"/>
  </r>
  <r>
    <m/>
    <x v="60"/>
    <s v="2026-01-09 08:58:57"/>
    <x v="8"/>
    <s v="YUSUFU  SAMSON NICODEMUS"/>
    <s v="T331EBX: Harsh braking has been activated. At 09.01.2026 08:58:57 it moved with speed 51 km/h near 'T3, Copperbelt Province, Zambia, 3.27 km from Pukota'."/>
    <s v="T3, Zambia, Copperbelt Province, 3.27 km from Pukota"/>
    <n v="3"/>
  </r>
  <r>
    <m/>
    <x v="61"/>
    <s v="2026-01-09 12:57:36"/>
    <x v="8"/>
    <s v="JOSEPH WILLIAM NTANDU"/>
    <s v="T508EBY: Harsh braking has been activated. At 09.01.2026 12:57:36 it moved with speed 51 km/h near 'Rn1, Haut-Katanga, Democratic Republic of the Congo, 44.23 km from Lubumbashi'."/>
    <s v="Rn1, Democratic Republic of the Congo, Haut-Katanga, 44.23 km from Lubumbashi"/>
    <n v="4"/>
  </r>
  <r>
    <m/>
    <x v="62"/>
    <s v="2026-01-09 07:06:30"/>
    <x v="8"/>
    <s v="SAID SALUM MOHAMED"/>
    <s v="T521EBY: Harsh braking has been activated. At 09.01.2026 07:06:30 it moved with speed 53 km/h near 'Great North Road, Muchinga Province, Zambia, 10.36 km from Godfrey Kunda'."/>
    <s v="Great North Road, Zambia, Muchinga Province, 10.36 km from Godfrey Kunda"/>
    <n v="4"/>
  </r>
  <r>
    <m/>
    <x v="63"/>
    <s v="2026-01-09 15:58:55"/>
    <x v="8"/>
    <s v="ALLY HAMISI MPEMBA"/>
    <s v="T663DTQ: Harsh braking has been activated. At 09.01.2026 15:58:55 it moved with speed 65 km/h near 'T1, Morogoro, Tanzania, 2.77 km from Bwawani'."/>
    <s v="T1, Tanzania, Morogoro, 2.77 km from Bwawani"/>
    <n v="3"/>
  </r>
  <r>
    <m/>
    <x v="55"/>
    <s v="2026-01-09 10:47:58"/>
    <x v="8"/>
    <s v="STANLEY SAIMON MLOGANZALA"/>
    <s v="T720DYR: Harsh braking has been activated. At 09.01.2026 10:47:58 it moved with speed 66 km/h near 'Great North Road, Muchinga Province, Zambia, 10.65 km from Chinunda'."/>
    <s v="Great North Road, Zambia, Muchinga Province, 10.65 km from Chinunda"/>
    <n v="6"/>
  </r>
  <r>
    <m/>
    <x v="64"/>
    <s v="2026-01-09 08:13:30"/>
    <x v="8"/>
    <s v="KELNALDO MATHIS JUMA"/>
    <s v="T732EBX: Harsh braking has been activated. At 09.01.2026 08:13:30 it moved with speed 59 km/h near 'T3, Copperbelt Province, Zambia, 53.11 km from Ndola'."/>
    <s v="T3, Zambia, Copperbelt Province, 53.11 km from Ndola"/>
    <n v="3"/>
  </r>
  <r>
    <m/>
    <x v="56"/>
    <s v="2026-01-09 06:33:23"/>
    <x v="8"/>
    <s v="LEONIDAS KALUMUNA KAGENYI"/>
    <s v="T796DYR: Harsh braking has been activated. At 09.01.2026 06:33:23 it moved with speed 53 km/h near 'Iringa Road, Morogoro, Kilosa, Tanzania, 3.99 km from Tambuka Reli'."/>
    <s v="Iringa Road, Tanzania, Morogoro, Kilosa, 3.99 km from Tambuka Reli"/>
    <n v="5"/>
  </r>
  <r>
    <m/>
    <x v="65"/>
    <s v="2026-01-09 11:29:20"/>
    <x v="8"/>
    <s v="JAPHARY NASSORO JAPHARY"/>
    <s v="T803EBW: Harsh braking has been activated. At 09.01.2026 11:29:20 it moved with speed 57 km/h near 'Rn1, Haut-Katanga, Democratic Republic of the Congo, 4.56 km from Lwambo'."/>
    <s v="Rn1, Democratic Republic of the Congo, Haut-Katanga, 4.56 km from Lwambo"/>
    <n v="3"/>
  </r>
  <r>
    <m/>
    <x v="44"/>
    <s v="2026-01-09 08:44:04"/>
    <x v="8"/>
    <s v="HASSAN RAMADHANI SHABANI"/>
    <s v="T812EBW: Harsh braking has been activated. At 09.01.2026 08:44:04 it moved with speed 56 km/h near 'T1, Njombe, Tanzania, 2.36 km from Idofi'."/>
    <s v="T1, Tanzania, Njombe, 2.36 km from Idofi"/>
    <n v="3"/>
  </r>
  <r>
    <m/>
    <x v="66"/>
    <s v="2026-01-09 12:38:17"/>
    <x v="8"/>
    <s v="IDRISA IBRAHIM SAID"/>
    <s v="T871EBW: Harsh braking has been activated. At 09.01.2026 12:38:17 it moved with speed 61 km/h near 'Rn1, Haut-Katanga, Democratic Republic of the Congo, 21.03 km from Tumbwe'."/>
    <s v="Rn1, Democratic Republic of the Congo, Haut-Katanga, 21.03 km from Tumbwe"/>
    <n v="10"/>
  </r>
  <r>
    <m/>
    <x v="67"/>
    <s v="2026-01-09 17:14:30"/>
    <x v="8"/>
    <s v="ATHONNY PAULO MDEDE"/>
    <s v="T873EBW: Harsh braking has been activated. At 09.01.2026 17:14:30 it moved with speed 80 km/h near 'Iringa Road, Morogoro, Kilosa, Tanzania, 8.71 km from Igagala'."/>
    <s v="Iringa Road, Tanzania, Morogoro, Kilosa, 8.71 km from Igagala"/>
    <n v="3"/>
  </r>
  <r>
    <m/>
    <x v="47"/>
    <s v="2026-01-09 07:50:55"/>
    <x v="8"/>
    <s v="STEPHANO ABINELI ULOMI"/>
    <s v="T873EBY: Harsh braking has been activated. At 09.01.2026 07:50:55 it moved with speed 55 km/h near 'T2, Tanga, Handeni, Tanzania, Kitumbi'."/>
    <s v="T2, Tanzania, Tanga, Handeni, Kitumbi"/>
    <n v="7"/>
  </r>
  <r>
    <m/>
    <x v="52"/>
    <s v="2026-01-09 06:59:00"/>
    <x v="8"/>
    <s v="ELIBAS EZEKIEL KITUNGWA"/>
    <s v="T907EBW: Harsh braking has been activated. At 09.01.2026 06:59:00 it moved with speed 67 km/h near 'Great North Road, Central Province, Zambia, 5.36 km from Kapiri Mposhi'."/>
    <s v="Great North Road, Zambia, Central Province, 5.36 km from Kapiri Mposhi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1"/>
    <x v="0"/>
    <s v="01.01.2026 04:11:56 pm"/>
    <x v="0"/>
    <s v="SAIDI OMARI MTEA"/>
    <n v="88"/>
    <s v="Great North Road, Muchinga Province, Zambia, 8.58 km from Two Leopards"/>
    <n v="81"/>
    <n v="5"/>
  </r>
  <r>
    <n v="2"/>
    <x v="1"/>
    <s v="01.01.2026 06:36:40 am"/>
    <x v="0"/>
    <s v="ALPHONCE SIMO HORO"/>
    <n v="87"/>
    <s v="T1, Mbeya, Mbozi, Tanzania, 5.87 km from Idiga Songwe"/>
    <n v="81"/>
    <n v="6"/>
  </r>
  <r>
    <n v="3"/>
    <x v="2"/>
    <s v="01.01.2026 07:12:22 am"/>
    <x v="0"/>
    <s v="ABDALLAH RASHID MBWANA"/>
    <n v="92"/>
    <s v="Tanzania To Zambia Road, Iringa, Mufindi, Tanzania, 2.20 km from Ugwachanya"/>
    <n v="81"/>
    <n v="2"/>
  </r>
  <r>
    <n v="4"/>
    <x v="3"/>
    <s v="01.01.2026 10:46:23 am"/>
    <x v="0"/>
    <d v="1899-12-30T00:00:00"/>
    <n v="89"/>
    <s v="DANGER ZONE BUNGU-BUNGU TO TUMBWE - THEFTS!!!!!"/>
    <n v="81"/>
    <n v="1"/>
  </r>
  <r>
    <n v="5"/>
    <x v="4"/>
    <s v="02.01.2026 02:39:34 pm"/>
    <x v="1"/>
    <s v="AMIRI AMANI MAWAKA"/>
    <n v="92"/>
    <s v="Route De Lubumbashi, Haut-Katanga, Democratic Republic of the Congo, Mbalaka"/>
    <n v="81"/>
    <n v="13"/>
  </r>
  <r>
    <n v="6"/>
    <x v="5"/>
    <s v="02.01.2026 02:53:58 pm"/>
    <x v="1"/>
    <s v="JUMA SHUKURU JUMA"/>
    <n v="86"/>
    <s v="Great North Road, Muchinga Province, Zambia, 20.01 km from Katibunga"/>
    <n v="81"/>
    <n v="2"/>
  </r>
  <r>
    <n v="7"/>
    <x v="6"/>
    <s v="02.01.2026 03:31:29 pm"/>
    <x v="1"/>
    <s v="AFFIF ISMAIL KIZENGA"/>
    <n v="99"/>
    <s v="M3, Luapula Province, Zambia, 8.49 km from Kalundu"/>
    <n v="81"/>
    <n v="3"/>
  </r>
  <r>
    <n v="8"/>
    <x v="7"/>
    <s v="02.01.2026 04:28:47 pm"/>
    <x v="1"/>
    <s v="MUZAMIRU SAIDI NAHODA"/>
    <n v="95"/>
    <s v="DANGER ZONE BUNGU-BUNGU TO TUMBWE - THEFTS!!!!!"/>
    <n v="81"/>
    <n v="7"/>
  </r>
  <r>
    <n v="9"/>
    <x v="8"/>
    <s v="02.01.2026 05:12:11 pm"/>
    <x v="1"/>
    <s v="KHALIDY MOHAMEDY KIDOMO"/>
    <n v="86"/>
    <s v="Great North Road, Muchinga Province, Zambia, Isoka"/>
    <n v="81"/>
    <n v="1"/>
  </r>
  <r>
    <n v="10"/>
    <x v="9"/>
    <s v="02.01.2026 10:26:32 am"/>
    <x v="1"/>
    <s v="ALLY MBARAKA ALLY"/>
    <n v="92"/>
    <s v="Great North Road, Muchinga Province, Zambia, 10.10 km from Chinunda"/>
    <n v="81"/>
    <n v="3"/>
  </r>
  <r>
    <n v="11"/>
    <x v="10"/>
    <s v="02.01.2026 11:04:54 am"/>
    <x v="1"/>
    <s v="TWAHIR RASHID MSAKA"/>
    <n v="99"/>
    <s v="Great North Road, Muchinga Province, Zambia, 16.34 km from Mukukwe"/>
    <n v="81"/>
    <n v="29"/>
  </r>
  <r>
    <n v="12"/>
    <x v="11"/>
    <s v="03.01.2026 04:24:57 pm"/>
    <x v="2"/>
    <s v="MWALIMU OMARY KIANGA"/>
    <n v="90"/>
    <s v="ISOKA, ZAMBIA"/>
    <n v="81"/>
    <n v="6"/>
  </r>
  <r>
    <n v="13"/>
    <x v="12"/>
    <s v="03.01.2026 06:55:30 am"/>
    <x v="2"/>
    <s v="JOSEPHAT MARO KEBURE"/>
    <n v="96"/>
    <s v="T1, Mbeya, Mbozi, Tanzania, Mahenje Village"/>
    <n v="81"/>
    <n v="7"/>
  </r>
  <r>
    <n v="14"/>
    <x v="13"/>
    <s v="03.01.2026 11:56:56 am"/>
    <x v="2"/>
    <s v="EZEKIEL DONARD UYACHI"/>
    <n v="97"/>
    <s v="DANGER ZONE BUNGU-BUNGU TO TUMBWE - THEFTS!!!!!"/>
    <n v="81"/>
    <n v="5"/>
  </r>
  <r>
    <n v="15"/>
    <x v="14"/>
    <s v="03.01.2026 11:57:09 am"/>
    <x v="2"/>
    <s v="YUSUPH MOHAMEDI NG'ONG'OSI"/>
    <n v="88"/>
    <s v="DANGER ZONE BUNGU-BUNGU TO TUMBWE - THEFTS!!!!!"/>
    <n v="81"/>
    <n v="1"/>
  </r>
  <r>
    <n v="16"/>
    <x v="12"/>
    <s v="04.01.2026 06:54:06 am"/>
    <x v="3"/>
    <s v="JOSEPHAT MARO KEBURE"/>
    <n v="114"/>
    <s v="T1, Njombe, Tanzania, 1.25 km from Kinegemb"/>
    <n v="81"/>
    <n v="18"/>
  </r>
  <r>
    <n v="17"/>
    <x v="11"/>
    <s v="04.01.2026 07:56:31 am"/>
    <x v="3"/>
    <s v="MWALIMU OMARY KIANGA"/>
    <n v="91"/>
    <s v="Great North Road, Muchinga Province, Zambia, 13.35 km from Chikwanda"/>
    <n v="81"/>
    <n v="4"/>
  </r>
  <r>
    <n v="18"/>
    <x v="15"/>
    <s v="04.01.2026 01:39:34 pm"/>
    <x v="3"/>
    <s v="BOAZ GILIAD FYITI"/>
    <n v="91"/>
    <s v="KASUMBALESA - SAKANIA RD"/>
    <n v="81"/>
    <n v="2"/>
  </r>
  <r>
    <n v="19"/>
    <x v="16"/>
    <s v="04.01.2026 06:11:18 am"/>
    <x v="3"/>
    <s v="LUSEKELO JEREMIA MWAMBETE"/>
    <n v="100"/>
    <s v="Iringa Road, Morogoro, Tanzania, 3.58 km from Kipera"/>
    <n v="81"/>
    <n v="10"/>
  </r>
  <r>
    <n v="20"/>
    <x v="12"/>
    <s v="05.01.2026 06:51:19 am"/>
    <x v="4"/>
    <s v="JOSEPHAT MARO KEBURE"/>
    <s v="86 km/h"/>
    <s v="T1, Morogoro, Tanzania, 1.51 km from Maseyu"/>
    <s v="81 km/h"/>
    <n v="2"/>
  </r>
  <r>
    <n v="21"/>
    <x v="11"/>
    <s v="05.01.2026 19:27:29 pm"/>
    <x v="4"/>
    <s v="MWALIMU OMARY KIANGA"/>
    <s v="85 km/h"/>
    <s v="Fisenge Bypass, Copperbelt Province, Zambia, 33.31 km from Ndola"/>
    <s v="81 km/h"/>
    <n v="3"/>
  </r>
  <r>
    <n v="22"/>
    <x v="17"/>
    <s v="05.01.2026 14:02:41 pm"/>
    <x v="4"/>
    <s v="ALLY RAMADHANI ZANDA"/>
    <s v="91 km/h"/>
    <s v="Iringa Road, Morogoro, Kilosa, Tanzania, 15.33 km from Msimba"/>
    <s v="81 km/h"/>
    <n v="1"/>
  </r>
  <r>
    <n v="23"/>
    <x v="18"/>
    <s v="05.01.2026 19:20:48 pm"/>
    <x v="4"/>
    <s v="ALLY ADAM SAMSIMBAZI"/>
    <s v="89 km/h"/>
    <s v="M3, Northern Province, Zambia, 13.28 km from Luwingu"/>
    <s v="81 km/h"/>
    <n v="1"/>
  </r>
  <r>
    <n v="24"/>
    <x v="15"/>
    <s v="05.01.2026 18:30:58 pm"/>
    <x v="4"/>
    <s v="BOAZ GILIAD FYITI"/>
    <s v="90 km/h"/>
    <s v="M3, Luapula Province, Zambia, 9.19 km from Kalundu"/>
    <s v="81 km/h"/>
    <n v="1"/>
  </r>
  <r>
    <n v="25"/>
    <x v="19"/>
    <s v="05.01.2026 07:12:59 am"/>
    <x v="4"/>
    <s v="MUMBA YASSINI KHAMISI"/>
    <s v="86 km/h"/>
    <s v="Iringa Road, Iringa, Tanzania, 1.71 km from Mahenge"/>
    <s v="81 km/h"/>
    <n v="1"/>
  </r>
  <r>
    <n v="26"/>
    <x v="20"/>
    <s v="05.01.2026 08:33:29 am"/>
    <x v="4"/>
    <s v="MOHAMUD ALLY MWABUDA"/>
    <s v="86 km/h"/>
    <s v="T1, Mbeya, Tanzania, 3.57 km from Igawa"/>
    <s v="81 km/h"/>
    <n v="1"/>
  </r>
  <r>
    <n v="27"/>
    <x v="0"/>
    <s v="05.01.2026 14:34:35 pm"/>
    <x v="4"/>
    <s v="SAIDI OMARI MTEA"/>
    <s v="90 km/h"/>
    <s v="T1, Mbeya, Tanzania, 6.54 km from Igawa"/>
    <s v="81 km/h"/>
    <n v="2"/>
  </r>
  <r>
    <n v="28"/>
    <x v="21"/>
    <s v="06.01.2026 10:13:47 am"/>
    <x v="5"/>
    <s v="IDDY RAJAB IDDY"/>
    <s v="89 km/h"/>
    <s v="Great North Road, Central Province, Zambia, 4.39 km from Manjolo"/>
    <s v="81 km/h"/>
    <n v="1"/>
  </r>
  <r>
    <n v="29"/>
    <x v="22"/>
    <s v="06.01.2026 08:19:21 am"/>
    <x v="5"/>
    <s v="MUSIN KAOZY MTEBE"/>
    <s v="87 km/h"/>
    <s v="Great North Road, Central Province, Zambia, 12.45 km from Chitiwa"/>
    <s v="81 km/h"/>
    <n v="6"/>
  </r>
  <r>
    <n v="30"/>
    <x v="15"/>
    <s v="06.01.2026 08:44:44 am"/>
    <x v="5"/>
    <s v="BOAZ GILIAD FYITI"/>
    <s v="93 km/h"/>
    <s v="M3, Northern Province, Zambia, Chiwembe"/>
    <s v="81 km/h"/>
    <n v="1"/>
  </r>
  <r>
    <n v="31"/>
    <x v="23"/>
    <s v="06.01.2026 13:47:27 pm"/>
    <x v="5"/>
    <s v="RAJABU RASHIDI MALUPU"/>
    <s v="85 km/h"/>
    <s v="DIOMU SPEED AREA, ZAMBIA"/>
    <s v="81 km/h"/>
    <n v="1"/>
  </r>
  <r>
    <n v="32"/>
    <x v="24"/>
    <s v="06.01.2026 08:16:31 am"/>
    <x v="5"/>
    <s v="CHRISTIAN NKWELA MAPUNDA"/>
    <s v="93 km/h"/>
    <s v="KITWE DANGER ZONE!!, ZAMBIA"/>
    <s v="81 km/h"/>
    <n v="14"/>
  </r>
  <r>
    <n v="33"/>
    <x v="25"/>
    <s v="06.01.2026 11:15:57 am"/>
    <x v="5"/>
    <s v="STEPHANO ABINELI ULOMI"/>
    <s v="92 km/h"/>
    <s v="T2, Pwani, Bagamoyo, Tanzania, Mboga"/>
    <s v="81 km/h"/>
    <n v="3"/>
  </r>
  <r>
    <n v="34"/>
    <x v="26"/>
    <s v="07.01.2026 10:44:06 am"/>
    <x v="6"/>
    <s v="MWAITA ALLY ISIHAKA"/>
    <s v="99 km/h"/>
    <s v="KIBAMBA NEAR KIBAHA"/>
    <n v="81"/>
    <n v="63"/>
  </r>
  <r>
    <n v="35"/>
    <x v="27"/>
    <s v="07.01.2026 03:50:08 pm"/>
    <x v="6"/>
    <s v="SAIMON GEORGE KAAYA"/>
    <s v="88 km/h"/>
    <s v="Great North Road, Central Province, Zambia, 9.13 km from Serenje"/>
    <n v="81"/>
    <n v="1"/>
  </r>
  <r>
    <n v="36"/>
    <x v="28"/>
    <s v="07.01.2026 07:51:55 am"/>
    <x v="6"/>
    <s v="YAHYA HASSANI ADAM"/>
    <s v="92 km/h"/>
    <s v="Great North Road, Muchinga Province, Zambia, 6.57 km from Mwezo"/>
    <n v="81"/>
    <n v="1"/>
  </r>
  <r>
    <n v="37"/>
    <x v="22"/>
    <s v="07.01.2026 10:49:41 am"/>
    <x v="6"/>
    <s v="MUSIN KAOZY MTEBE"/>
    <s v="92 km/h"/>
    <s v="Great North Road, Muchinga Province, Zambia, 9.28 km from Two Leopards"/>
    <n v="81"/>
    <n v="8"/>
  </r>
  <r>
    <n v="38"/>
    <x v="3"/>
    <s v="07.01.2026 04:48:51 pm"/>
    <x v="6"/>
    <d v="1899-12-30T00:00:00"/>
    <s v="92 km/h"/>
    <s v="Great North Road, Muchinga Province, Zambia, 5.86 km from Rumbuka"/>
    <n v="81"/>
    <n v="1"/>
  </r>
  <r>
    <n v="39"/>
    <x v="23"/>
    <s v="07.01.2026 12:51:47 pm"/>
    <x v="6"/>
    <s v="RAJABU RASHIDI MALUPU"/>
    <s v="85 km/h"/>
    <s v="Great North Road, Muchinga Province, Zambia, 19.30 km from Mukukwe"/>
    <n v="81"/>
    <n v="1"/>
  </r>
  <r>
    <n v="40"/>
    <x v="24"/>
    <s v="07.01.2026 07:03:47 am"/>
    <x v="6"/>
    <s v="CHRISTIAN NKWELA MAPUNDA"/>
    <s v="100 km/h"/>
    <s v="Great North Road, Central Province, Zambia, 9.72 km from Serenje"/>
    <n v="81"/>
    <n v="28"/>
  </r>
  <r>
    <n v="41"/>
    <x v="29"/>
    <s v="07.01.2026 06:50:13 pm"/>
    <x v="6"/>
    <s v="JANUARY LAMECK AUGUSTINO"/>
    <s v="98 km/h"/>
    <s v="ISOKA, ZAMBIA"/>
    <n v="81"/>
    <n v="1"/>
  </r>
  <r>
    <n v="42"/>
    <x v="30"/>
    <s v="07.01.2026 07:06:47 am"/>
    <x v="6"/>
    <s v="SWEDI SALEHE MAJORO"/>
    <s v="85 km/h"/>
    <s v="Great North Road, Muchinga Province, Zambia, 9.49 km from Mwezo"/>
    <n v="81"/>
    <n v="1"/>
  </r>
  <r>
    <n v="43"/>
    <x v="27"/>
    <s v="08.01.2026 01:12:27 pm"/>
    <x v="7"/>
    <s v="SAIMON GEORGE KAAYA"/>
    <n v="86"/>
    <s v="Great North Road, Muchinga Province, Zambia, 16.00 km from Mukwikile"/>
    <n v="81"/>
    <n v="2"/>
  </r>
  <r>
    <n v="44"/>
    <x v="28"/>
    <s v="08.01.2026 07:17:09 am"/>
    <x v="7"/>
    <s v="YAHYA HASSANI ADAM"/>
    <n v="85"/>
    <s v="CHILONGA ZAMBIA"/>
    <n v="81"/>
    <n v="2"/>
  </r>
  <r>
    <n v="45"/>
    <x v="31"/>
    <s v="08.01.2026 01:36:18 pm"/>
    <x v="7"/>
    <s v="NASIBU SAIDY GUBWE"/>
    <n v="98"/>
    <s v="SERENJE"/>
    <n v="81"/>
    <n v="5"/>
  </r>
  <r>
    <n v="46"/>
    <x v="3"/>
    <s v="08.01.2026 07:44:16 am"/>
    <x v="7"/>
    <d v="1899-12-30T00:00:00"/>
    <n v="87"/>
    <s v="Great North Road, Muchinga Province, Zambia, 16.62 km from Mukukwe"/>
    <n v="81"/>
    <n v="1"/>
  </r>
  <r>
    <n v="47"/>
    <x v="32"/>
    <s v="08.01.2026 09:41:38 am"/>
    <x v="7"/>
    <s v="HAMIS MASOUD MWANKWALLE"/>
    <n v="88"/>
    <s v="Iringa Road, Morogoro, Tanzania, 4.47 km from Mtipule"/>
    <n v="81"/>
    <n v="1"/>
  </r>
  <r>
    <n v="48"/>
    <x v="15"/>
    <s v="08.01.2026 04:19:02 pm"/>
    <x v="7"/>
    <s v="BOAZ GILIAD FYITI"/>
    <n v="88"/>
    <s v="T1, Morogoro, Tanzania, 2.07 km from Bwawani"/>
    <n v="81"/>
    <n v="1"/>
  </r>
  <r>
    <n v="49"/>
    <x v="33"/>
    <s v="08.01.2026 11:57:37 am"/>
    <x v="7"/>
    <s v="ELIA JUMA NZOWA"/>
    <n v="102"/>
    <s v="KAPIRI DANGER ZONE"/>
    <n v="81"/>
    <n v="2"/>
  </r>
  <r>
    <n v="50"/>
    <x v="24"/>
    <s v="08.01.2026 08:37:21 am"/>
    <x v="7"/>
    <s v="CHRISTIAN NKWELA MAPUNDA"/>
    <n v="98"/>
    <s v="Great North Road, Muchinga Province, Zambia, 19.17 km from Mukukwe"/>
    <n v="81"/>
    <n v="5"/>
  </r>
  <r>
    <n v="51"/>
    <x v="6"/>
    <s v="08.01.2026 11:16:58 am"/>
    <x v="7"/>
    <s v="AFFIF ISMAIL KIZENGA"/>
    <n v="88"/>
    <s v="T1, Njombe, Tanzania, 7.00 km from Nyololo"/>
    <n v="81"/>
    <n v="1"/>
  </r>
  <r>
    <n v="52"/>
    <x v="34"/>
    <s v="08.01.2026 01:03:04 pm"/>
    <x v="7"/>
    <s v="ALLY RASHID SAID"/>
    <n v="88"/>
    <s v="Great North Road, Muchinga Province, Zambia, Rumbuka"/>
    <n v="81"/>
    <n v="2"/>
  </r>
  <r>
    <m/>
    <x v="35"/>
    <s v="09.01.2026 11:16:51 am"/>
    <x v="8"/>
    <s v="POTPHA PASCAL MTAKIMWA"/>
    <s v="88 km/h"/>
    <s v="DANGER ZONE BUNGU-BUNGU TO TUMBWE - THEFTS!!!!!"/>
    <s v="81 km/h"/>
    <s v="2"/>
  </r>
  <r>
    <m/>
    <x v="4"/>
    <s v="09.01.2026 05:37:47 pm"/>
    <x v="8"/>
    <s v="AMIRI AMANI MAWAKA"/>
    <s v="86 km/h"/>
    <s v="CHINGOLA, ZAMBIA"/>
    <s v="81 km/h"/>
    <s v="4"/>
  </r>
  <r>
    <m/>
    <x v="24"/>
    <s v="09.01.2026 06:11:17 am"/>
    <x v="8"/>
    <s v="CHRISTIAN NKWELA MAPUNDA"/>
    <s v="104 km/h"/>
    <s v="NAKONDE ZM SIDE"/>
    <s v="81 km/h"/>
    <s v="1"/>
  </r>
  <r>
    <m/>
    <x v="36"/>
    <s v="09.01.2026 10:45:07 am"/>
    <x v="8"/>
    <s v="GERALD RAPHAEL SALAMALA"/>
    <s v="86 km/h"/>
    <s v="DANGER ZONE BUNGU-BUNGU TO TUMBWE - THEFTS!!!!!"/>
    <s v="81 km/h"/>
    <s v="4"/>
  </r>
  <r>
    <m/>
    <x v="37"/>
    <s v="09.01.2026 06:35:28 am"/>
    <x v="8"/>
    <s v="ABDALLH SADI RAMADHANI "/>
    <s v="88 km/h"/>
    <s v="Rn39, Lualaba, Democratic Republic of the Congo, Postolo"/>
    <s v="81 km/h"/>
    <s v="4"/>
  </r>
  <r>
    <m/>
    <x v="38"/>
    <s v="09.01.2026 05:26:40 pm"/>
    <x v="8"/>
    <s v="GABRIEL PIUS BUKENE"/>
    <s v="87 km/h"/>
    <s v="DANGER ZONE BUNGU-BUNGU TO TUMBWE - THEFTS!!!!!"/>
    <s v="81 km/h"/>
    <s v="1"/>
  </r>
  <r>
    <m/>
    <x v="34"/>
    <s v="09.01.2026 12:09:04 pm"/>
    <x v="8"/>
    <s v="ALLY RASHID SAID"/>
    <s v="86 km/h"/>
    <s v="MKUSHI - MSHIMPOLU"/>
    <s v="81 km/h"/>
    <s v="3"/>
  </r>
  <r>
    <m/>
    <x v="39"/>
    <s v="09.01.2026 06:36:21 am"/>
    <x v="8"/>
    <s v="METHODY LEO GOBANYA"/>
    <s v="91 km/h"/>
    <s v="Rn39, Lualaba, Democratic Republic of the Congo, Kimilombe"/>
    <s v="81 km/h"/>
    <s v="1"/>
  </r>
  <r>
    <m/>
    <x v="40"/>
    <m/>
    <x v="9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s v="ELIAH YUSUPH MPANGO"/>
    <s v="IRENE SHIJA"/>
    <m/>
    <s v="2025-11-05 05:37:40"/>
    <x v="0"/>
    <s v="T1, Bwawani"/>
    <s v="2025-11-05 12:41:10"/>
    <s v="Lundamatwe, Iringa Road"/>
    <s v="7:03:30"/>
    <n v="310.623628"/>
    <x v="0"/>
  </r>
  <r>
    <x v="1"/>
    <s v="YUSUF ALLY MAWIMBI"/>
    <s v="IRENE SHIJA"/>
    <m/>
    <s v="2025-12-08 04:27:04"/>
    <x v="1"/>
    <s v="Iringa Road, Ruaha Mbuyumi"/>
    <s v="2025-12-08 08:03:45"/>
    <s v="Iringa Road, Kitu"/>
    <s v="3:36:41"/>
    <n v="160.33632299999999"/>
    <x v="0"/>
  </r>
  <r>
    <x v="2"/>
    <s v="ABDALLAH SAIDI RAMADHANI"/>
    <s v="LUSAJO KASUNGA"/>
    <m/>
    <s v="2025-12-08 04:55:27"/>
    <x v="1"/>
    <s v="IGUNGA"/>
    <s v="2025-12-08 23:01:20"/>
    <s v="Dar Es Salaam, Goba Road"/>
    <s v="4:49:11"/>
    <n v="212.578058"/>
    <x v="0"/>
  </r>
  <r>
    <x v="3"/>
    <n v="0"/>
    <s v="Martha GOLODI"/>
    <n v="0"/>
    <s v="2025-12-08 04:51:17"/>
    <x v="1"/>
    <s v="IGUNGA"/>
    <s v="2025-12-08 23:59:57"/>
    <s v="DAR ES SALAAM"/>
    <s v="9:54:16"/>
    <n v="447.02779399999997"/>
    <x v="0"/>
  </r>
  <r>
    <x v="4"/>
    <s v="LOCAL"/>
    <s v="PLASDUS MAHUMBA"/>
    <m/>
    <s v="2025-12-08 05:07:01"/>
    <x v="1"/>
    <s v="Morogoro, Dar Es Salaam Road"/>
    <s v="2025-12-08 05:59:07"/>
    <s v="T1, Bwawani"/>
    <s v="0:52:06"/>
    <n v="44.336284999999997"/>
    <x v="0"/>
  </r>
  <r>
    <x v="5"/>
    <s v="ALLY MBARAKA ALLY"/>
    <s v="Martha GOLODI"/>
    <n v="112705767"/>
    <s v="2025-12-08 04:27:57"/>
    <x v="1"/>
    <s v="Iringa Road, Ruaha Mbuyumi"/>
    <s v="2025-12-08 09:54:43"/>
    <s v="T1, Bwawani"/>
    <s v="5:26:46"/>
    <n v="240.744933"/>
    <x v="0"/>
  </r>
  <r>
    <x v="6"/>
    <s v="JOHN NICHOLAUS MASSAWE"/>
    <s v="IRENE SHIJA"/>
    <m/>
    <s v="2025-12-11 21:08:03"/>
    <x v="2"/>
    <s v="DANGER ZONE BUNGU-BUNGU TO TUMBWE - THEFTS!!!!!"/>
    <s v="2025-12-11 23:15:13"/>
    <s v="DANGER ZONE BUNGU-BUNGU TO TUMBWE - THEFTS!!!!!"/>
    <s v="0:58:08"/>
    <n v="10.448693"/>
    <x v="1"/>
  </r>
  <r>
    <x v="7"/>
    <s v="JUMA ATHUMANI MTENGUKA"/>
    <s v="Ayoub BENESTA"/>
    <n v="119402905"/>
    <s v="2025-12-11 21:06:08"/>
    <x v="2"/>
    <s v="DANGER ZONE BUNGU-BUNGU TO TUMBWE - THEFTS!!!!!"/>
    <s v="2025-12-11 23:29:52"/>
    <s v="DANGER ZONE BUNGU-BUNGU TO TUMBWE - THEFTS!!!!!"/>
    <s v="1:10:17"/>
    <n v="10.263168"/>
    <x v="1"/>
  </r>
  <r>
    <x v="8"/>
    <s v="ISMAIL KISANDU RUBASHA"/>
    <s v="SADI KIMWAGA"/>
    <m/>
    <s v="2025-12-11 04:34:16"/>
    <x v="2"/>
    <s v="MAKAMBAKO"/>
    <s v="2025-12-11 20:21:04"/>
    <s v="Morogoro Main Road, 1.53 km from Karabaka"/>
    <s v="5:42:25"/>
    <n v="230.86238399999999"/>
    <x v="0"/>
  </r>
  <r>
    <x v="9"/>
    <s v="OMARY SAID MTAJI"/>
    <s v="SADI KIMWAGA"/>
    <m/>
    <s v="2025-12-11 21:10:24"/>
    <x v="2"/>
    <s v="DANGER ZONE BUNGU-BUNGU TO TUMBWE - THEFTS!!!!!"/>
    <s v="2025-12-11 23:22:30"/>
    <s v="DANGER ZONE BUNGU-BUNGU TO TUMBWE - THEFTS!!!!!"/>
    <s v="1:04:31"/>
    <n v="10.672359"/>
    <x v="1"/>
  </r>
  <r>
    <x v="10"/>
    <s v="ISSA MOHAMED KIMWAGA"/>
    <s v="SADI KIMWAGA"/>
    <s v="117-626-539"/>
    <s v="2025-12-11 21:04:34"/>
    <x v="2"/>
    <s v="DANGER ZONE BUNGU-BUNGU TO TUMBWE - THEFTS!!!!!"/>
    <s v="2025-12-11 23:23:07"/>
    <s v="DANGER ZONE BUNGU-BUNGU TO TUMBWE - THEFTS!!!!!"/>
    <s v="1:12:04"/>
    <n v="10.600410999999999"/>
    <x v="1"/>
  </r>
  <r>
    <x v="11"/>
    <s v="MOHAMED SAID HAKUNGWA"/>
    <s v="IRENE SHIJA"/>
    <s v="113-254-319"/>
    <s v="2025-12-12 05:33:08"/>
    <x v="3"/>
    <s v="ILULA SOKONI"/>
    <s v="2025-12-12 07:07:52"/>
    <s v="Iringa Road, 1.43 km from Kware"/>
    <s v="1:34:44"/>
    <n v="59.231285"/>
    <x v="0"/>
  </r>
  <r>
    <x v="12"/>
    <s v="DIMALETI NELSON MWAMBIPILE"/>
    <s v="SADI KIMWAGA"/>
    <m/>
    <s v="2025-12-12 05:38:38"/>
    <x v="3"/>
    <s v="M1, 17.55 km from Gvh Mwantende"/>
    <s v="2025-12-12 20:06:32"/>
    <s v="M1, 5.30 km from Mzuzu"/>
    <s v="1:35:34"/>
    <n v="35.146008999999999"/>
    <x v="0"/>
  </r>
  <r>
    <x v="13"/>
    <s v="JAMES JOSEPH NJAU"/>
    <s v="IRENE SHIJA"/>
    <s v="118-477-685"/>
    <s v="2025-12-12 05:41:08"/>
    <x v="3"/>
    <s v="Iringa Road, Ruaha Mbuyumi"/>
    <s v="2025-12-12 19:01:53"/>
    <s v="Regional Hospital Road, 2.42 km from Mbeya"/>
    <s v="10:23:22"/>
    <n v="406.02940599999999"/>
    <x v="0"/>
  </r>
  <r>
    <x v="14"/>
    <s v="OMARY SEIF MGUBIRI"/>
    <s v="Ayoub BENESTA"/>
    <s v="118-408-829"/>
    <s v="2025-12-12 05:32:18"/>
    <x v="3"/>
    <s v="Iringa Road, Tambuka Reli"/>
    <s v="2025-12-12 07:38:48"/>
    <s v="Iringa Road, Ruaha Mbuyumi"/>
    <s v="1:52:40"/>
    <n v="75.318943000000004"/>
    <x v="0"/>
  </r>
  <r>
    <x v="15"/>
    <s v="DENIS MUHAGAMA KAPINGA"/>
    <s v="SADI KIMWAGA"/>
    <s v="116-325-268"/>
    <s v="2025-12-12 05:21:31"/>
    <x v="3"/>
    <s v="DAR ES SALAAM"/>
    <s v="2025-12-12 07:12:32"/>
    <s v="Morogoro Main Road, 1.25 km from Karabaka"/>
    <s v="1:51:01"/>
    <n v="54.516919000000001"/>
    <x v="0"/>
  </r>
  <r>
    <x v="16"/>
    <s v="GERVAS STEPHEN MWANGOSI"/>
    <s v="LUSAJO KASUNGA"/>
    <m/>
    <s v="2025-12-12 05:39:39"/>
    <x v="3"/>
    <s v="IFUNDA, IRINGA"/>
    <s v="2025-12-12 09:32:22"/>
    <s v="Iringa Road, Ruaha Mbuyumi"/>
    <s v="3:52:43"/>
    <n v="146.889636"/>
    <x v="0"/>
  </r>
  <r>
    <x v="17"/>
    <s v="MAKERE GACHUMA MAKERE"/>
    <s v="Martha GOLODI"/>
    <n v="111992398"/>
    <s v="2025-12-12 05:21:03"/>
    <x v="3"/>
    <s v="T1, 1.32 km from Igomelo"/>
    <s v="2025-12-12 21:54:04"/>
    <s v="Morogoro, Dar Es Salaam Road"/>
    <s v="8:28:06"/>
    <n v="391.38638700000001"/>
    <x v="0"/>
  </r>
  <r>
    <x v="18"/>
    <s v="BRUNO WILLY MWAJILA"/>
    <s v="Martha GOLODI"/>
    <s v="126-452-225"/>
    <s v="2025-12-13 05:40:33"/>
    <x v="4"/>
    <s v="Iringa Road, Ruaha Mbuyumi"/>
    <s v="2025-12-13 07:17:36"/>
    <s v="Iringa Road, Mikumi"/>
    <s v="1:37:03"/>
    <n v="74.128510000000006"/>
    <x v="0"/>
  </r>
  <r>
    <x v="19"/>
    <s v="MOHAMED MAKANDA MUHOGO"/>
    <s v="Ayoub BENESTA"/>
    <n v="122904229"/>
    <s v="2025-12-13 05:32:01"/>
    <x v="4"/>
    <s v="Iringa Road, Kikwaraza"/>
    <s v="2025-12-13 08:05:53"/>
    <s v="Morogoro, Dar Es Salaam Road"/>
    <s v="2:33:52"/>
    <n v="121.42974100000001"/>
    <x v="0"/>
  </r>
  <r>
    <x v="20"/>
    <s v="ISAYA JOHN MSENA"/>
    <s v="IRENE SHIJA"/>
    <n v="113485485"/>
    <s v="2025-12-13 05:25:19"/>
    <x v="4"/>
    <s v="T1, Bwawani"/>
    <s v="2025-12-13 20:52:11"/>
    <s v="DAR ES SALAAM"/>
    <s v="1:59:22"/>
    <n v="63.914397000000001"/>
    <x v="0"/>
  </r>
  <r>
    <x v="21"/>
    <s v="ISAYA MSHUKURU MMBANDO"/>
    <s v="LUSAJO KASUNGA"/>
    <n v="124048907"/>
    <s v="2025-12-13 04:47:28"/>
    <x v="4"/>
    <s v="Iringa Road, 1.26 km from Ruaha Mbuyumi"/>
    <s v="2025-12-13 21:05:43"/>
    <s v="DAR ES SALAAM"/>
    <s v="7:20:33"/>
    <n v="250.11808099999999"/>
    <x v="0"/>
  </r>
  <r>
    <x v="22"/>
    <s v="POTPHA PASCAL MTAKIMWA"/>
    <s v="Ayoub BENESTA"/>
    <s v="120-448-110"/>
    <s v="2025-12-13 05:39:02"/>
    <x v="4"/>
    <s v="Tanzam Road, 2.52 km from Uyole"/>
    <s v="2025-12-13 08:28:00"/>
    <s v="T1, 2.44 km from Igando"/>
    <s v="2:48:58"/>
    <n v="122.06547399999999"/>
    <x v="0"/>
  </r>
  <r>
    <x v="23"/>
    <s v="IBRAHIMU SELEMANI SENGAMBA"/>
    <s v="LUSAJO KASUNGA"/>
    <m/>
    <s v="2025-12-13 05:26:05"/>
    <x v="4"/>
    <s v="T1, Bwawani"/>
    <s v="2025-12-13 23:44:31"/>
    <s v="SALISLA"/>
    <s v="5:01:23"/>
    <n v="142.63509400000001"/>
    <x v="0"/>
  </r>
  <r>
    <x v="24"/>
    <s v="JUMA KOBA SAID"/>
    <s v="LUSAJO KASUNGA"/>
    <s v="120-026-526"/>
    <s v="2025-12-13 05:37:04"/>
    <x v="4"/>
    <s v="Iringa Road, Ruaha Mbuyumi"/>
    <s v="2025-12-13 07:40:50"/>
    <s v="Iringa Road, Kikwaraza"/>
    <s v="2:03:46"/>
    <n v="76.014949000000001"/>
    <x v="0"/>
  </r>
  <r>
    <x v="25"/>
    <s v="EZEKIEL MASANJA LUGANDU"/>
    <s v="PLASDUS MAHUMBA"/>
    <m/>
    <s v="2025-12-13 05:31:18"/>
    <x v="4"/>
    <s v="Iringa Road, Kikwaraza"/>
    <s v="2025-12-13 07:48:35"/>
    <s v="Morogoro, Iringa Road"/>
    <s v="2:17:17"/>
    <n v="113.406888"/>
    <x v="0"/>
  </r>
  <r>
    <x v="26"/>
    <s v="RAMADHANI SAID NCHIMBI"/>
    <s v="PLASDUS MAHUMBA"/>
    <m/>
    <s v="2025-12-13 05:34:59"/>
    <x v="4"/>
    <s v="Iringa Road, Ruaha Mbuyumi"/>
    <s v="2025-12-13 09:08:19"/>
    <s v="Iringa Road, 2.48 km from Mangaye"/>
    <s v="3:33:20"/>
    <n v="146.65039999999999"/>
    <x v="0"/>
  </r>
  <r>
    <x v="22"/>
    <s v="POTPHA PASCAL MTAKIMWA"/>
    <s v="Ayoub BENESTA"/>
    <s v="120-448-110"/>
    <s v="2025-12-14 05:03:04"/>
    <x v="5"/>
    <s v="Iringa Road, 2.20 km from Ruaha Mbuyumi"/>
    <s v="2025-12-14 23:28:28"/>
    <s v="DAR ES SALAAM"/>
    <s v="4:20:04"/>
    <n v="203.05127300000001"/>
    <x v="0"/>
  </r>
  <r>
    <x v="27"/>
    <s v="PETER BENJAMIN KINGU"/>
    <s v="Ayoub BENESTA"/>
    <n v="113857625"/>
    <s v="2025-12-14 05:39:29"/>
    <x v="5"/>
    <s v="T1, Mdaula"/>
    <s v="2025-12-14 23:34:22"/>
    <s v="IPOGOLO IRINGA"/>
    <s v="1:27:57"/>
    <n v="43.931033999999997"/>
    <x v="0"/>
  </r>
  <r>
    <x v="28"/>
    <s v="ALLY SAID MANDINGO"/>
    <s v="LUSAJO KASUNGA"/>
    <s v="115-904-280"/>
    <s v="2025-12-15 05:40:46"/>
    <x v="6"/>
    <s v="IFUNDA, IRINGA"/>
    <s v="2025-12-15 11:13:05"/>
    <s v="Iringa Road, Kikwaraza"/>
    <s v="5:27:12"/>
    <n v="222.41073600000001"/>
    <x v="0"/>
  </r>
  <r>
    <x v="29"/>
    <s v="NASIBU SAIDY GUBWE"/>
    <s v="LUSAJO KASUNGA"/>
    <s v="144-695-674"/>
    <s v="2025-12-15 05:28:19"/>
    <x v="6"/>
    <s v="Tanzania To Zambia Road, Mafinga"/>
    <s v="2025-12-15 06:54:14"/>
    <s v="Tanzania To Zambia Road, Tanangozi"/>
    <s v="1:25:55"/>
    <n v="54.517226999999998"/>
    <x v="0"/>
  </r>
  <r>
    <x v="30"/>
    <s v="HAFIDHI ABDALLAH NASSIR"/>
    <s v="PLASDUS MAHUMBA"/>
    <m/>
    <s v="2025-12-15 05:39:27"/>
    <x v="6"/>
    <s v="Tanzania To Zambia Road, Changarawe"/>
    <s v="2025-12-15 07:13:23"/>
    <s v="Tanzania To Zambia Road, Tanangozi"/>
    <s v="1:33:56"/>
    <n v="58.772666999999998"/>
    <x v="0"/>
  </r>
  <r>
    <x v="31"/>
    <s v="SEIF AMARY HAMAD"/>
    <s v="IRENE SHIJA"/>
    <s v="121-656-582"/>
    <s v="2025-12-15 05:32:48"/>
    <x v="6"/>
    <s v="IFUNDA, IRINGA"/>
    <s v="2025-12-15 19:14:21"/>
    <s v="T1, Mdaula"/>
    <s v="3:38:29"/>
    <n v="147.39236600000001"/>
    <x v="0"/>
  </r>
  <r>
    <x v="32"/>
    <s v="AHMED SHAMSHU MOHAMED"/>
    <s v="Ayoub BENESTA"/>
    <s v="116-005-034"/>
    <s v="2025-12-15 20:57:52"/>
    <x v="6"/>
    <s v="Morogoro Main Road, 1.22 km from Karabaka"/>
    <s v="2025-12-15 23:59:42"/>
    <s v="Dar Es Salaam, Morogoro Main Road"/>
    <s v="0:47:52"/>
    <n v="23.925775999999999"/>
    <x v="1"/>
  </r>
  <r>
    <x v="33"/>
    <s v="SALUM KITENGE ALLY"/>
    <s v="SADI KIMWAGA"/>
    <s v="114-626-732"/>
    <s v="2025-12-15 20:47:41"/>
    <x v="6"/>
    <s v="GALCO ICD MBOZI"/>
    <s v="2025-12-15 23:41:53"/>
    <s v="Morogoro Main Road, 1.25 km from Karabaka"/>
    <s v="2:17:21"/>
    <n v="60.929727"/>
    <x v="1"/>
  </r>
  <r>
    <x v="34"/>
    <m/>
    <m/>
    <m/>
    <s v="2025-12-16 05:24:24"/>
    <x v="7"/>
    <s v="T1, Bwawani"/>
    <s v="2025-12-16 06:50:55"/>
    <s v="T1, 4.29 km from Vigwaza"/>
    <s v="1:26:31"/>
    <n v="62.275067999999997"/>
    <x v="0"/>
  </r>
  <r>
    <x v="35"/>
    <s v="MUSSA MASASI MRINDOKO"/>
    <s v="IRENE SHIJA"/>
    <m/>
    <s v="2025-12-16 05:49:15"/>
    <x v="7"/>
    <s v="Iringa Road, Melela Mlandizi"/>
    <s v="2025-12-16 08:54:33"/>
    <s v="T1, Msolwa"/>
    <s v="3:05:18"/>
    <n v="118.03503600000001"/>
    <x v="0"/>
  </r>
  <r>
    <x v="28"/>
    <s v="ALLY SAID MANDINGO"/>
    <s v="LUSAJO KASUNGA"/>
    <s v="115-904-280"/>
    <s v="2025-12-16 05:24:33"/>
    <x v="7"/>
    <s v="T1, Bwawani"/>
    <s v="2025-12-16 07:46:29"/>
    <s v="Morogoro Main Road, 1.55 km from Karabaka"/>
    <s v="2:21:56"/>
    <n v="93.449494000000001"/>
    <x v="0"/>
  </r>
  <r>
    <x v="12"/>
    <s v="DIMALETI NELSON MWAMBIPILE"/>
    <s v="SADI KIMWAGA"/>
    <m/>
    <s v="2025-12-16 05:45:34"/>
    <x v="7"/>
    <s v="Iringa Road, Mikumi"/>
    <s v="2025-12-16 18:59:46"/>
    <s v="DAR ES SALAAM"/>
    <s v="1:12:05"/>
    <n v="53.338915"/>
    <x v="0"/>
  </r>
  <r>
    <x v="36"/>
    <s v="YAHYA HASSANI ADAM"/>
    <s v="Martha GOLODI"/>
    <m/>
    <s v="2025-12-16 05:52:41"/>
    <x v="7"/>
    <s v="Iringa Road, Ruaha Mbuyumi"/>
    <s v="2025-12-16 20:04:24"/>
    <s v="DAR ES SALAAM"/>
    <s v="0:55:32"/>
    <n v="46.443035999999999"/>
    <x v="0"/>
  </r>
  <r>
    <x v="37"/>
    <s v="MANENO MOHAMED KAKIMA"/>
    <s v="PLASDUS MAHUMBA"/>
    <s v="120-607-456"/>
    <s v="2025-12-16 05:52:09"/>
    <x v="7"/>
    <s v="IPOGOLO IRINGA"/>
    <s v="2025-12-16 08:29:09"/>
    <s v="Iringa Road, Ruaha Mbuyumi"/>
    <s v="2:37:00"/>
    <n v="108.91116599999999"/>
    <x v="0"/>
  </r>
  <r>
    <x v="38"/>
    <s v="HAMADI RASHID DOWILE"/>
    <s v="IRENE SHIJA"/>
    <m/>
    <s v="2025-12-16 05:37:29"/>
    <x v="7"/>
    <s v="T1, Kongolo Mkola"/>
    <s v="2025-12-16 10:39:41"/>
    <s v="IFUNDA, IRINGA"/>
    <s v="5:02:12"/>
    <n v="242.526059"/>
    <x v="0"/>
  </r>
  <r>
    <x v="39"/>
    <s v="MARTIN PAUL MPINGA"/>
    <s v="LUSAJO KASUNGA"/>
    <m/>
    <s v="2025-12-16 05:42:00"/>
    <x v="7"/>
    <s v="T1, Bwawani"/>
    <s v="2025-12-16 23:13:08"/>
    <s v="DAR ES SALAAM"/>
    <s v="2:23:36"/>
    <n v="53.441285999999998"/>
    <x v="0"/>
  </r>
  <r>
    <x v="40"/>
    <s v="HAMUDU MAJID MARUZUKU"/>
    <s v="PLASDUS MAHUMBA"/>
    <m/>
    <s v="2025-12-16 05:54:12"/>
    <x v="7"/>
    <s v="MAKAMBAKO"/>
    <s v="2025-12-16 09:42:13"/>
    <s v="IPOGOLO IRINGA"/>
    <s v="3:48:01"/>
    <n v="155.27661699999999"/>
    <x v="0"/>
  </r>
  <r>
    <x v="41"/>
    <s v="JOSEPH SEBASTIAN FULGENCE"/>
    <s v="PLASDUS MAHUMBA"/>
    <n v="119289718"/>
    <s v="2025-12-16 05:59:42"/>
    <x v="7"/>
    <s v="Iringa Road, Melela Mlandizi"/>
    <s v="2025-12-16 07:38:54"/>
    <s v="T1, Mikese"/>
    <s v="1:39:12"/>
    <n v="63.252614000000001"/>
    <x v="0"/>
  </r>
  <r>
    <x v="42"/>
    <s v="NASIBU HOSENI MWAHEMBA"/>
    <s v="Ayoub BENESTA"/>
    <s v="127-601-623"/>
    <s v="2025-12-16 05:49:18"/>
    <x v="7"/>
    <s v="Iringa Road, Tambuka Reli"/>
    <s v="2025-12-16 08:28:41"/>
    <s v="Morogoro, T1"/>
    <s v="2:39:23"/>
    <n v="117.14623"/>
    <x v="0"/>
  </r>
  <r>
    <x v="43"/>
    <s v="ISSACK KONRADI KASIANO"/>
    <s v="SADI KIMWAGA"/>
    <s v="115-570-633"/>
    <s v="2025-12-16 05:43:57"/>
    <x v="7"/>
    <s v="IPOGOLO IRINGA"/>
    <s v="2025-12-16 08:31:47"/>
    <s v="Iringa Road, Ruaha Mbuyumi"/>
    <s v="2:47:50"/>
    <n v="108.942999"/>
    <x v="0"/>
  </r>
  <r>
    <x v="31"/>
    <s v="SEIF AMARY HAMAD"/>
    <s v="IRENE SHIJA"/>
    <s v="121-656-582"/>
    <s v="2025-12-16 05:52:48"/>
    <x v="7"/>
    <s v="T1, Mdaula"/>
    <s v="2025-12-16 05:56:48"/>
    <s v="T1, Mdaula"/>
    <s v="0:04:00"/>
    <n v="0.107756"/>
    <x v="0"/>
  </r>
  <r>
    <x v="44"/>
    <s v="SHABANI HARUNA SEMENTA"/>
    <s v="IRENE SHIJA"/>
    <m/>
    <s v="2025-12-16 05:59:49"/>
    <x v="7"/>
    <s v="Iringa Road, 1.27 km from Ruaha Mbuyumi"/>
    <s v="2025-12-16 20:26:27"/>
    <s v="DAR ES SALAAM"/>
    <s v="8:18:59"/>
    <n v="332.70789200000002"/>
    <x v="0"/>
  </r>
  <r>
    <x v="37"/>
    <s v="MANENO MOHAMED KAKIMA"/>
    <s v="PLASDUS MAHUMBA"/>
    <s v="120-607-456"/>
    <s v="2025-12-17 05:29:57"/>
    <x v="8"/>
    <s v="Old Morogoro Road, Kongowe"/>
    <s v="2025-12-17 06:21:01"/>
    <s v="DAR ES SALAAM"/>
    <s v="0:51:04"/>
    <n v="34.915393999999999"/>
    <x v="0"/>
  </r>
  <r>
    <x v="45"/>
    <s v="FADHILI SAIDI MTULILA"/>
    <s v="IRENE SHIJA"/>
    <m/>
    <s v="2025-12-17 05:19:47"/>
    <x v="8"/>
    <s v="Morogoro, Dar Es Salaam Road"/>
    <s v="2025-12-17 06:21:04"/>
    <s v="T1, Bwawani"/>
    <s v="1:01:17"/>
    <n v="44.282147999999999"/>
    <x v="0"/>
  </r>
  <r>
    <x v="46"/>
    <s v="HAMISI ABDALLAH HAMISI"/>
    <s v="Martha GOLODI"/>
    <m/>
    <s v="2025-12-17 05:36:58"/>
    <x v="8"/>
    <s v="T1, 1.87 km from Uyole"/>
    <s v="2025-12-17 06:07:08"/>
    <s v="Regional Hospital Road, 2.39 km from Mbeya"/>
    <s v="0:30:10"/>
    <n v="12.807361"/>
    <x v="0"/>
  </r>
  <r>
    <x v="40"/>
    <s v="HAMUDU MAJID MARUZUKU"/>
    <s v="PLASDUS MAHUMBA"/>
    <m/>
    <s v="2025-12-17 05:20:52"/>
    <x v="8"/>
    <s v="Morogoro, Dar Es Salaam Road"/>
    <s v="2025-12-17 06:22:47"/>
    <s v="T1, Bwawani"/>
    <s v="1:01:55"/>
    <n v="44.274293999999998"/>
    <x v="0"/>
  </r>
  <r>
    <x v="47"/>
    <s v="MTAVYA BAKARI MTAVYA"/>
    <s v="IRENE SHIJA"/>
    <n v="116290170"/>
    <s v="2025-12-17 05:37:00"/>
    <x v="8"/>
    <s v="T1, 1.87 km from Uyole"/>
    <s v="2025-12-17 06:06:23"/>
    <s v="Tanzam Road, 2.37 km from Mbeya"/>
    <s v="0:29:23"/>
    <n v="12.827775000000001"/>
    <x v="0"/>
  </r>
  <r>
    <x v="43"/>
    <s v="ISSACK KONRADI KASIANO"/>
    <s v="SADI KIMWAGA"/>
    <s v="115-570-633"/>
    <s v="2025-12-17 05:04:10"/>
    <x v="8"/>
    <s v="Morogoro Main Road, Kongowe"/>
    <s v="2025-12-17 07:02:06"/>
    <s v="DAR ES SALAAM"/>
    <s v="1:39:44"/>
    <n v="51.867216999999997"/>
    <x v="0"/>
  </r>
  <r>
    <x v="48"/>
    <s v="MOHAMED SAID BAKILI"/>
    <s v="Ayoub BENESTA"/>
    <s v="134-626-356"/>
    <s v="2025-12-17 05:38:39"/>
    <x v="8"/>
    <s v="Morogoro, T1"/>
    <s v="2025-12-17 11:13:22"/>
    <s v="Iringa Road, Ruaha Mbuyumi"/>
    <s v="5:34:43"/>
    <n v="192.08577"/>
    <x v="0"/>
  </r>
  <r>
    <x v="49"/>
    <s v="AHMED SAID LUWANDA"/>
    <s v="IRENE SHIJA"/>
    <s v="114-131-687"/>
    <s v="2025-12-18 05:23:58"/>
    <x v="9"/>
    <s v="Tanzam Road, 2.42 km from Mbeya"/>
    <s v="2025-12-18 19:47:29"/>
    <s v="IPOGOLO IRINGA"/>
    <s v="2:57:30"/>
    <n v="96.904903000000004"/>
    <x v="0"/>
  </r>
  <r>
    <x v="50"/>
    <s v="MUHSIN JUMA ATHUMAN"/>
    <s v="PLASDUS MAHUMBA"/>
    <s v="123-367-227"/>
    <s v="2025-12-18 05:22:10"/>
    <x v="9"/>
    <s v="IFUNDA, IRINGA"/>
    <s v="2025-12-18 22:02:36"/>
    <s v="DAR ES SALAAM"/>
    <s v="2:56:40"/>
    <n v="68.340610999999996"/>
    <x v="0"/>
  </r>
  <r>
    <x v="51"/>
    <s v="STEVEN OCTAVIAN MILANZI"/>
    <s v="SADI KIMWAGA"/>
    <n v="0"/>
    <s v="2025-12-19 05:40:42"/>
    <x v="10"/>
    <s v="T1, 1.28 km from Ubenazomozi"/>
    <s v="2025-12-19 06:35:53"/>
    <s v="T1, 1.88 km from Maseyu"/>
    <s v="0:55:11"/>
    <n v="26.537927"/>
    <x v="0"/>
  </r>
  <r>
    <x v="49"/>
    <s v="AHMED SAID LUWANDA"/>
    <s v="IRENE SHIJA"/>
    <s v="114-131-687"/>
    <s v="2025-12-19 05:28:33"/>
    <x v="10"/>
    <s v="IPOGOLO IRINGA"/>
    <s v="2025-12-19 07:13:08"/>
    <s v="Iringa Road, 4.25 km from Comfort"/>
    <s v="1:44:35"/>
    <n v="60.588228000000001"/>
    <x v="0"/>
  </r>
  <r>
    <x v="52"/>
    <s v="HUSSEIN MALIKI MTALY "/>
    <s v="LUSAJO KASUNGA"/>
    <m/>
    <s v="2025-12-19 05:19:41"/>
    <x v="10"/>
    <s v="INYALA, MBEYA"/>
    <s v="2025-12-19 06:02:09"/>
    <s v="T1, 2.81 km from Itewe"/>
    <s v="0:36:49"/>
    <n v="9.0811489999999999"/>
    <x v="0"/>
  </r>
  <r>
    <x v="53"/>
    <e v="#N/A"/>
    <e v="#N/A"/>
    <e v="#N/A"/>
    <s v="2025-12-21 05:39:42"/>
    <x v="11"/>
    <s v="Iringa Road, Kikwaraza"/>
    <s v="2025-12-21 05:55:09"/>
    <s v="Iringa Road, Mikumi"/>
    <s v="0:15:27"/>
    <n v="2.4499909999999998"/>
    <x v="0"/>
  </r>
  <r>
    <x v="16"/>
    <s v="GERVAS STEPHEN MWANGOSI"/>
    <s v="LUSAJO KASUNGA"/>
    <m/>
    <s v="2025-12-21 05:18:01"/>
    <x v="11"/>
    <s v="Tanzania To Zambia Road, Muwimbi"/>
    <s v="2025-12-21 08:10:34"/>
    <s v="MAKAMBAKO"/>
    <s v="2:52:33"/>
    <n v="108.85830799999999"/>
    <x v="0"/>
  </r>
  <r>
    <x v="54"/>
    <s v="EZEKIEL AIZACK KIHANZA"/>
    <s v="PLASDUS MAHUMBA"/>
    <n v="115168665"/>
    <s v="2025-12-21 05:33:37"/>
    <x v="11"/>
    <s v="Morogoro Main Road, 29.40 km from Dar Es Salaam"/>
    <s v="2025-12-21 06:07:58"/>
    <s v="Dar Es Salaam, Morogoro Road"/>
    <s v="0:34:21"/>
    <n v="21.635770999999998"/>
    <x v="0"/>
  </r>
  <r>
    <x v="55"/>
    <s v="GWAMAKA PETER MWASAGA"/>
    <s v="PLASDUS MAHUMBA"/>
    <n v="113511931"/>
    <s v="2025-12-21 05:18:32"/>
    <x v="11"/>
    <s v="Tanzania To Zambia Road, Muwimbi"/>
    <s v="2025-12-21 08:34:08"/>
    <s v="MAKAMBAKO"/>
    <s v="3:15:36"/>
    <n v="109.454043"/>
    <x v="0"/>
  </r>
  <r>
    <x v="56"/>
    <s v="HAMIS BUNDALA IZINA"/>
    <s v="PLASDUS MAHUMBA"/>
    <s v="115-917-447"/>
    <s v="2025-12-21 05:43:49"/>
    <x v="11"/>
    <s v="Tanzania To Zambia Road, 3.16 km from Mafinga"/>
    <s v="2025-12-21 06:37:44"/>
    <s v="IFUNDA, IRINGA"/>
    <s v="0:53:55"/>
    <n v="34.106003000000001"/>
    <x v="0"/>
  </r>
  <r>
    <x v="57"/>
    <s v="JAPHARY NASSORO JAPHARY"/>
    <s v="Martha GOLODI"/>
    <m/>
    <s v="2025-12-21 05:24:15"/>
    <x v="11"/>
    <s v="Tanzania To Zambia Road, 2.14 km from Mafinga"/>
    <s v="2025-12-21 19:53:38"/>
    <s v="TUNDUMA PARKING"/>
    <s v="2:29:49"/>
    <n v="86.581147000000001"/>
    <x v="0"/>
  </r>
  <r>
    <x v="58"/>
    <s v="ZAIDI HUSSEIN ATHUMANI"/>
    <s v="Ayoub BENESTA"/>
    <n v="114135704"/>
    <s v="2025-12-22 05:37:02"/>
    <x v="12"/>
    <s v="IGURUSI"/>
    <s v="2025-12-22 06:32:37"/>
    <s v="T1, Makwenje"/>
    <s v="0:55:35"/>
    <n v="28.766401999999999"/>
    <x v="0"/>
  </r>
  <r>
    <x v="59"/>
    <s v="FARAJA COSMAS THOMAS"/>
    <s v="LUSAJO KASUNGA"/>
    <n v="132843198"/>
    <s v="2025-12-22 20:43:15"/>
    <x v="12"/>
    <s v="Rn39, 4.08 km from Fungurume"/>
    <s v="2025-12-22 22:25:21"/>
    <s v="Rn39, 3.57 km from Kafwaya"/>
    <s v="0:15:26"/>
    <n v="2.1904530000000002"/>
    <x v="1"/>
  </r>
  <r>
    <x v="60"/>
    <s v="AZIZI AMIRY SIMBAMBILI"/>
    <s v="Ayoub BENESTA"/>
    <n v="114465623"/>
    <s v="2025-12-22 23:03:00"/>
    <x v="12"/>
    <s v="Rn39, 4.01 km from Fungurume"/>
    <s v="2025-12-22 23:32:27"/>
    <s v="Rn39, 3.65 km from Kafwaya"/>
    <s v="0:22:15"/>
    <n v="2.4639199999999999"/>
    <x v="1"/>
  </r>
  <r>
    <x v="61"/>
    <s v="ENOCK ADRIANO MUSHI"/>
    <s v="IRENE SHIJA"/>
    <s v="125-578-209"/>
    <s v="2025-12-22 05:39:20"/>
    <x v="12"/>
    <s v="Morogoro Main Road, Mwendapole B"/>
    <s v="2025-12-22 07:28:37"/>
    <s v="CHALINZE"/>
    <s v="1:49:17"/>
    <n v="64.147908999999999"/>
    <x v="0"/>
  </r>
  <r>
    <x v="62"/>
    <s v="STANLEY EVANS MABWETE"/>
    <s v="Martha GOLODI"/>
    <m/>
    <s v="2025-12-22 23:47:40"/>
    <x v="12"/>
    <s v="Rn39, 3.97 km from Fungurume"/>
    <s v="2025-12-22 23:59:15"/>
    <s v="Rn39, 3.60 km from Kafwaya"/>
    <s v="0:11:35"/>
    <n v="2.447673"/>
    <x v="1"/>
  </r>
  <r>
    <x v="63"/>
    <s v="MISTWAHI AMRI SAID"/>
    <s v="Martha GOLODI"/>
    <s v="111-211-329"/>
    <s v="2025-12-22 22:17:05"/>
    <x v="12"/>
    <s v="Great North Road, 7.28 km from Chimpati"/>
    <s v="2025-12-22 23:29:21"/>
    <s v="SERENJE"/>
    <s v="0:49:46"/>
    <n v="28.464822999999999"/>
    <x v="1"/>
  </r>
  <r>
    <x v="64"/>
    <s v="SAID ATHUMANI NONGWA"/>
    <s v="LUSAJO KASUNGA"/>
    <s v="112-943-811"/>
    <s v="2025-12-22 22:16:56"/>
    <x v="12"/>
    <s v="Great North Road, 7.31 km from Chimpati"/>
    <s v="2025-12-22 23:30:17"/>
    <s v="SERENJE"/>
    <s v="0:47:40"/>
    <n v="28.331242"/>
    <x v="1"/>
  </r>
  <r>
    <x v="65"/>
    <s v="REGNALD BEATUS TEMU"/>
    <s v="PLASDUS MAHUMBA"/>
    <n v="112037462"/>
    <s v="2025-12-22 05:22:04"/>
    <x v="12"/>
    <s v="Iringa Road, Doma"/>
    <s v="2025-12-22 07:54:05"/>
    <s v="KIDAYI 'A'"/>
    <s v="2:32:01"/>
    <n v="104.240729"/>
    <x v="0"/>
  </r>
  <r>
    <x v="66"/>
    <s v="ABDUL HASSAN SADICK"/>
    <s v="PLASDUS MAHUMBA"/>
    <n v="128340084"/>
    <s v="2025-12-22 21:48:41"/>
    <x v="12"/>
    <s v="Rn39, 3.99 km from Fungurume"/>
    <s v="2025-12-22 22:36:15"/>
    <s v="Rn39, 3.63 km from Kafwaya"/>
    <s v="0:22:19"/>
    <n v="2.5259900000000002"/>
    <x v="1"/>
  </r>
  <r>
    <x v="67"/>
    <s v="GERVAS ANDREA GERVAS"/>
    <s v="LUSAJO KASUNGA"/>
    <m/>
    <s v="2025-12-22 22:37:22"/>
    <x v="12"/>
    <s v="Rn39, 4.06 km from Fungurume"/>
    <s v="2025-12-22 22:54:44"/>
    <s v="Rn39, 3.59 km from Kafwaya"/>
    <s v="0:17:22"/>
    <n v="2.0639910000000001"/>
    <x v="1"/>
  </r>
  <r>
    <x v="68"/>
    <s v="THADEUS CHARLES HONGOLI"/>
    <s v="IRENE SHIJA"/>
    <m/>
    <s v="2025-12-22 22:17:12"/>
    <x v="12"/>
    <s v="Great North Road, 7.32 km from Chimpati"/>
    <s v="2025-12-22 23:41:43"/>
    <s v="SERENJE"/>
    <s v="1:01:07"/>
    <n v="28.708667999999999"/>
    <x v="1"/>
  </r>
  <r>
    <x v="69"/>
    <s v="FRANCIS ERNEST KIBULA"/>
    <s v="IRENE SHIJA"/>
    <m/>
    <s v="2025-12-23 20:46:15"/>
    <x v="13"/>
    <s v="Morogoro, T1"/>
    <s v="2025-12-23 20:56:20"/>
    <s v="Morogoro, T1"/>
    <s v="0:10:05"/>
    <n v="0.138013"/>
    <x v="1"/>
  </r>
  <r>
    <x v="70"/>
    <s v="WILLIAM MATHIAS NJAMA"/>
    <s v="LUSAJO KASUNGA"/>
    <n v="0"/>
    <s v="2025-12-23 05:15:57"/>
    <x v="13"/>
    <s v="Regional Hospital Road, 2.44 km from Mbeya"/>
    <s v="2025-12-23 06:44:08"/>
    <s v="T1, 7.02 km from Idiga Songwe"/>
    <s v="1:14:50"/>
    <n v="32.532786000000002"/>
    <x v="0"/>
  </r>
  <r>
    <x v="71"/>
    <s v="METHOD JAMES LWENA"/>
    <s v="IRENE SHIJA"/>
    <m/>
    <s v="2025-12-23 05:05:43"/>
    <x v="13"/>
    <s v="Iringa Road, Doma"/>
    <s v="2025-12-23 18:47:49"/>
    <s v="MAKAMBAKO"/>
    <s v="0:09:27"/>
    <n v="0.35700700000000002"/>
    <x v="0"/>
  </r>
  <r>
    <x v="53"/>
    <e v="#N/A"/>
    <e v="#N/A"/>
    <e v="#N/A"/>
    <s v="2025-12-23 05:16:29"/>
    <x v="13"/>
    <s v="Regional Hospital Road, 2.41 km from Mbeya"/>
    <s v="2025-12-23 08:43:56"/>
    <s v="TUNDUMA BORDER TZ SIDE"/>
    <s v="3:19:58"/>
    <n v="91.245497999999998"/>
    <x v="0"/>
  </r>
  <r>
    <x v="72"/>
    <s v="EDWARD LEONARD MANGASTAR"/>
    <s v="Martha GOLODI"/>
    <m/>
    <s v="2025-12-23 20:35:52"/>
    <x v="13"/>
    <s v="T3, 4.24 km from Momba"/>
    <s v="2025-12-23 21:02:08"/>
    <s v="T3, 5.00 km from Konkola"/>
    <s v="0:08:31"/>
    <n v="0.77136800000000005"/>
    <x v="1"/>
  </r>
  <r>
    <x v="73"/>
    <s v="WILLIAM JIBABA KADUMA"/>
    <s v="LUSAJO KASUNGA"/>
    <n v="115839578"/>
    <s v="2025-12-23 21:46:26"/>
    <x v="13"/>
    <s v="Regional Hospital Road, 2.44 km from Mbeya"/>
    <s v="2025-12-23 21:53:55"/>
    <s v="Tanzam Road, 2.33 km from Mbeya"/>
    <s v="0:07:29"/>
    <n v="0.26555299999999998"/>
    <x v="1"/>
  </r>
  <r>
    <x v="74"/>
    <s v="ABDALLAH SALUM MGALILWA"/>
    <s v="SADI KIMWAGA"/>
    <n v="115674277"/>
    <s v="2025-12-23 21:08:49"/>
    <x v="13"/>
    <s v="GALCO ICD MBOZI"/>
    <s v="2025-12-23 23:18:37"/>
    <s v="DAR ES SALAAM"/>
    <s v="1:04:33"/>
    <n v="7.6339790000000001"/>
    <x v="1"/>
  </r>
  <r>
    <x v="75"/>
    <s v="MOHAMEDI ATHUMANI MKALI"/>
    <s v="SADI KIMWAGA"/>
    <n v="114739251"/>
    <s v="2025-12-23 05:32:47"/>
    <x v="13"/>
    <s v="Iringa Road, Ruaha Mbuyumi"/>
    <s v="2025-12-23 22:47:25"/>
    <s v="MBAGALA YARD"/>
    <s v="4:42:34"/>
    <n v="94.820757999999998"/>
    <x v="0"/>
  </r>
  <r>
    <x v="76"/>
    <s v="ALLY KASSIM MWAYAWALE"/>
    <s v="Martha GOLODI"/>
    <m/>
    <s v="2025-12-23 20:33:20"/>
    <x v="13"/>
    <s v="T3, 4.21 km from Momba"/>
    <s v="2025-12-23 21:00:41"/>
    <s v="T3, 4.99 km from Konkola"/>
    <s v="0:09:08"/>
    <n v="0.82888200000000001"/>
    <x v="1"/>
  </r>
  <r>
    <x v="0"/>
    <s v="ELIAH YUSUPH MPANGO"/>
    <s v="IRENE SHIJA"/>
    <n v="134869925"/>
    <s v="2025-12-24 05:37:21"/>
    <x v="14"/>
    <s v="Tanzam Road, 2.37 km from Mbeya"/>
    <s v="2025-12-24 21:06:16"/>
    <s v="NAKONDE ZM SIDE"/>
    <s v="0:30:42"/>
    <n v="14.719815000000001"/>
    <x v="0"/>
  </r>
  <r>
    <x v="73"/>
    <s v="WILLIAM JIBABA KADUMA"/>
    <s v="LUSAJO KASUNGA"/>
    <n v="115839578"/>
    <s v="2025-12-24 04:44:06"/>
    <x v="14"/>
    <s v="Tanzam Road, 2.34 km from Mbeya"/>
    <s v="2025-12-24 06:46:18"/>
    <s v="T1, Mahenje Village"/>
    <s v="2:02:12"/>
    <n v="53.162039"/>
    <x v="0"/>
  </r>
  <r>
    <x v="77"/>
    <s v="GODFREY CYPRIAN GAMBA"/>
    <s v="PLASDUS MAHUMBA"/>
    <n v="105544707"/>
    <s v="2025-12-24 21:49:33"/>
    <x v="14"/>
    <s v="Morogoro Main Road, Bamba, Kongowe"/>
    <s v="2025-12-24 22:53:09"/>
    <s v="Dar Es Salaam, Morogoro Road"/>
    <s v="1:03:36"/>
    <n v="30.12255"/>
    <x v="1"/>
  </r>
  <r>
    <x v="78"/>
    <s v="ABDUL BAKARI PESA"/>
    <s v="Martha GOLODI"/>
    <s v="113-245-190"/>
    <s v="2025-12-24 05:39:42"/>
    <x v="14"/>
    <s v="Iringa Road, 1.37 km from Ruaha Mbuyumi"/>
    <s v="2025-12-24 23:07:45"/>
    <s v="MBAGALA YARD"/>
    <s v="5:40:08"/>
    <n v="136.59847500000001"/>
    <x v="0"/>
  </r>
  <r>
    <x v="79"/>
    <s v="BOAZI GWILA MAKALANGA"/>
    <s v="Ayoub BENESTA"/>
    <n v="0"/>
    <s v="2025-12-25 05:22:25"/>
    <x v="15"/>
    <s v="T2, 2.70 km from Mbwewe"/>
    <s v="2025-12-25 20:04:13"/>
    <s v="CHALINZE"/>
    <s v="2:05:49"/>
    <n v="73.803197999999995"/>
    <x v="0"/>
  </r>
  <r>
    <x v="80"/>
    <s v="HAMISI MOHAMEDI MLAWA"/>
    <s v="IRENE SHIJA"/>
    <n v="0"/>
    <s v="2025-12-25 05:33:13"/>
    <x v="15"/>
    <s v="Iringa Road, 2.78 km from Kidoma"/>
    <s v="2025-12-25 10:33:11"/>
    <s v="IPOGOLO IRINGA"/>
    <s v="4:59:58"/>
    <n v="180.01298199999999"/>
    <x v="0"/>
  </r>
  <r>
    <x v="81"/>
    <s v="PATRICK CLEMENT COROGO"/>
    <s v="LUSAJO KASUNGA"/>
    <m/>
    <s v="2025-12-26 22:30:32"/>
    <x v="16"/>
    <s v="Tanzam Road, 2.33 km from Mbeya"/>
    <s v="2025-12-26 23:15:19"/>
    <s v="Tanzam Road, 2.32 km from Mbeya"/>
    <s v="0:10:02"/>
    <n v="0.48681000000000002"/>
    <x v="1"/>
  </r>
  <r>
    <x v="82"/>
    <s v="RAMADHANI MBEZI OMARY"/>
    <s v="Martha GOLODI"/>
    <s v="120-025-465"/>
    <s v="2025-12-26 21:22:29"/>
    <x v="16"/>
    <s v="Iringa Road, 3.77 km from Matassi"/>
    <s v="2025-12-26 21:40:28"/>
    <s v="Iringa Road, Mahenge"/>
    <s v="0:17:59"/>
    <n v="3.883702"/>
    <x v="1"/>
  </r>
  <r>
    <x v="83"/>
    <s v="RAMADHAN RAHIBU SULEIMAN"/>
    <s v="SADI KIMWAGA"/>
    <m/>
    <s v="2025-12-26 21:20:52"/>
    <x v="16"/>
    <s v="Iringa Road, 3.78 km from Matassi"/>
    <s v="2025-12-26 21:35:43"/>
    <s v="Iringa Road, Mahenge"/>
    <s v="0:14:51"/>
    <n v="3.8294329999999999"/>
    <x v="1"/>
  </r>
  <r>
    <x v="84"/>
    <s v="HASSANI MABROUCK TUNZA"/>
    <s v="SADI KIMWAGA"/>
    <m/>
    <s v="2025-12-26 21:23:23"/>
    <x v="16"/>
    <s v="Iringa Road, 3.75 km from Matassi"/>
    <s v="2025-12-26 21:41:03"/>
    <s v="Iringa Road, Mahenge"/>
    <s v="0:17:40"/>
    <n v="3.8818260000000002"/>
    <x v="1"/>
  </r>
  <r>
    <x v="79"/>
    <s v="BOAZI GWILA MAKALANGA"/>
    <s v="Ayoub BENESTA"/>
    <n v="0"/>
    <s v="2025-12-27 05:16:40"/>
    <x v="17"/>
    <s v="ILULA SOKONI"/>
    <s v="2025-12-27 19:41:16"/>
    <s v="Tanzam Road, 1.57 km from Mbalizi"/>
    <s v="7:24:06"/>
    <n v="279.78127499999999"/>
    <x v="0"/>
  </r>
  <r>
    <x v="85"/>
    <s v="MAJUTO SHABANI HAMISI"/>
    <s v="PLASDUS MAHUMBA"/>
    <n v="112243224"/>
    <s v="2025-12-27 05:34:13"/>
    <x v="17"/>
    <s v="Iringa Road, Masukanzi"/>
    <s v="2025-12-27 20:02:57"/>
    <s v="Regional Hospital Road, 2.37 km from Mbeya"/>
    <s v="1:05:18"/>
    <n v="34.88796"/>
    <x v="0"/>
  </r>
  <r>
    <x v="86"/>
    <s v="SAID ASUMAN MUHOGO"/>
    <s v="Martha GOLODI"/>
    <m/>
    <s v="2025-12-27 05:02:35"/>
    <x v="17"/>
    <s v="KIBAHA"/>
    <s v="2025-12-27 06:14:42"/>
    <s v="MBAGALA YARD"/>
    <s v="1:12:07"/>
    <n v="44.242766000000003"/>
    <x v="0"/>
  </r>
  <r>
    <x v="17"/>
    <s v="MAKERE GACHUMA MAKERE"/>
    <s v="Martha GOLODI"/>
    <n v="111992398"/>
    <s v="2025-12-27 05:30:53"/>
    <x v="17"/>
    <s v="Tanzam Road, 2.42 km from Mbeya"/>
    <s v="2025-12-27 05:59:35"/>
    <s v="IWAMBI, MBEYA"/>
    <s v="0:28:42"/>
    <n v="8.0610119999999998"/>
    <x v="0"/>
  </r>
  <r>
    <x v="79"/>
    <s v="BOAZI GWILA MAKALANGA"/>
    <s v="Ayoub BENESTA"/>
    <n v="0"/>
    <s v="2025-12-28 05:10:10"/>
    <x v="18"/>
    <s v="Tanzam Road, 1.57 km from Mbalizi"/>
    <s v="2025-12-28 06:41:29"/>
    <s v="T1, Mlowo"/>
    <s v="1:31:19"/>
    <n v="44.432997"/>
    <x v="0"/>
  </r>
  <r>
    <x v="87"/>
    <s v="BASASI ABDALH BASASI"/>
    <s v="PLASDUS MAHUMBA"/>
    <m/>
    <s v="2025-12-28 05:15:08"/>
    <x v="18"/>
    <s v="MAKAMBAKO"/>
    <s v="2025-12-28 08:05:24"/>
    <s v="T1, 3.82 km from Lunwa"/>
    <s v="2:33:20"/>
    <n v="112.799755"/>
    <x v="0"/>
  </r>
  <r>
    <x v="88"/>
    <s v="HASSAN ABDALLAH JUMA"/>
    <s v="Ayoub BENESTA"/>
    <s v="115-774-107"/>
    <s v="2025-12-29 20:44:19"/>
    <x v="19"/>
    <s v="KITWE DANGER ZONE!!, ZAMBIA"/>
    <s v="2025-12-29 21:03:56"/>
    <s v="KITWE DANGER ZONE!!, ZAMBIA"/>
    <s v="0:19:37"/>
    <n v="2.1928390000000002"/>
    <x v="1"/>
  </r>
  <r>
    <x v="89"/>
    <s v="SAID ALLY MVUGALO"/>
    <s v="IRENE SHIJA"/>
    <s v="137-308-407"/>
    <s v="2025-12-29 22:03:22"/>
    <x v="19"/>
    <s v="Kansoko Mine Road, 17.04 km from Kapata"/>
    <s v="2025-12-29 22:16:02"/>
    <s v="Rue De La Kamoa Mine, 17.46 km from Kapata"/>
    <s v="0:12:40"/>
    <n v="1.2627090000000001"/>
    <x v="1"/>
  </r>
  <r>
    <x v="90"/>
    <s v="HASSAN RAMADHANI ALLY"/>
    <s v="PLASDUS MAHUMBA"/>
    <m/>
    <s v="2025-12-29 20:43:52"/>
    <x v="19"/>
    <s v="KITWE DANGER ZONE!!, ZAMBIA"/>
    <s v="2025-12-29 21:00:37"/>
    <s v="KITWE DANGER ZONE!!, ZAMBIA"/>
    <s v="0:16:45"/>
    <n v="2.3260209999999999"/>
    <x v="1"/>
  </r>
  <r>
    <x v="68"/>
    <s v="THADEUS CHARLES HONGOLI"/>
    <s v="IRENE SHIJA"/>
    <m/>
    <s v="2025-12-29 05:39:15"/>
    <x v="19"/>
    <s v="Morogoro, T1"/>
    <s v="2025-12-29 21:44:58"/>
    <s v="Morogoro Main Road, 1.25 km from Karabaka"/>
    <s v="1:22:06"/>
    <n v="49.245170000000002"/>
    <x v="0"/>
  </r>
  <r>
    <x v="89"/>
    <s v="SAID ALLY MVUGALO"/>
    <s v="IRENE SHIJA"/>
    <s v="137-308-407"/>
    <s v="2025-12-30 05:26:20"/>
    <x v="20"/>
    <s v="Rue De La Kamoa Mine, 17.48 km from Kapata"/>
    <s v="2025-12-30 06:12:36"/>
    <s v="Kansoko Mine Road, 17.04 km from Kapata"/>
    <s v="0:40:08"/>
    <n v="4.2506149999999998"/>
    <x v="0"/>
  </r>
  <r>
    <x v="23"/>
    <s v="IBRAHIMU SELEMANI SENGAMBA"/>
    <s v="LUSAJO KASUNGA"/>
    <m/>
    <s v="2025-12-31 05:39:51"/>
    <x v="21"/>
    <s v="Tanzam Road, 2.39 km from Mbeya"/>
    <s v="2025-12-31 06:08:26"/>
    <s v="IWAMBI, MBEYA"/>
    <s v="0:28:35"/>
    <n v="7.818676"/>
    <x v="0"/>
  </r>
  <r>
    <x v="37"/>
    <s v="MANENO MOHAMED KAKIMA"/>
    <s v="PLASDUS MAHUMBA"/>
    <s v="120-607-456"/>
    <s v="2025-12-31 21:20:52"/>
    <x v="21"/>
    <s v="Regional Hospital Road, 2.41 km from Mbeya"/>
    <s v="2025-12-31 22:29:01"/>
    <s v="Tanzam Road, Songwe Viwandani"/>
    <s v="0:55:40"/>
    <n v="24.701564000000001"/>
    <x v="2"/>
  </r>
  <r>
    <x v="91"/>
    <s v="BAZIL PHILIPO PETER"/>
    <s v="PLASDUS MAHUMBA"/>
    <n v="112996850"/>
    <s v="2025-12-31 05:04:35"/>
    <x v="21"/>
    <s v="R708, Dar Es Salaam"/>
    <s v="2025-12-31 07:46:14"/>
    <s v="Dar Es Salaam, Morogoro Road"/>
    <s v="2:41:39"/>
    <n v="55.924473999999996"/>
    <x v="0"/>
  </r>
  <r>
    <x v="92"/>
    <s v="ATHUMANI SHABAN KAUNDU"/>
    <s v="Martha GOLODI"/>
    <s v="129-839-317"/>
    <s v="2025-12-31 04:56:42"/>
    <x v="21"/>
    <s v="R708, Dar Es Salaam"/>
    <s v="2025-12-31 06:27:20"/>
    <s v="DAR ES SALAAM"/>
    <s v="1:30:38"/>
    <n v="32.248040000000003"/>
    <x v="1"/>
  </r>
  <r>
    <x v="93"/>
    <s v="ALLY RASHID SAID"/>
    <s v="Martha GOLODI"/>
    <s v="115-075-187"/>
    <s v="2025-12-31 05:12:14"/>
    <x v="21"/>
    <s v="KIBAHA"/>
    <s v="2025-12-31 06:39:37"/>
    <s v="T1, 4.23 km from Vigwaza"/>
    <s v="1:27:23"/>
    <n v="47.280965000000002"/>
    <x v="0"/>
  </r>
  <r>
    <x v="94"/>
    <s v="SWEDI SALEHE MAJORO"/>
    <s v="Martha GOLODI"/>
    <s v="138-321-932"/>
    <s v="2025-12-31 05:29:44"/>
    <x v="21"/>
    <s v="Dar Es Salaam, Morogoro Main Road"/>
    <s v="2025-12-31 08:23:59"/>
    <s v="T1, Mdaula"/>
    <s v="2:54:15"/>
    <n v="91.065461999999997"/>
    <x v="0"/>
  </r>
  <r>
    <x v="95"/>
    <s v="MELKIZEDEKI BEATUS DUMA"/>
    <s v="SADI KIMWAGA"/>
    <s v="113-838-809"/>
    <s v="2025-12-31 05:38:21"/>
    <x v="21"/>
    <s v="Iringa Road, Kikwaraza"/>
    <s v="2025-12-31 09:44:44"/>
    <s v="Lundamatwe, Iringa Road"/>
    <s v="3:55:54"/>
    <n v="145.16068899999999"/>
    <x v="0"/>
  </r>
  <r>
    <x v="85"/>
    <s v="MAJUTO SHABANI HAMISI"/>
    <s v="PLASDUS MAHUMBA"/>
    <n v="112243224"/>
    <s v="2026-01-01 05:20:17"/>
    <x v="22"/>
    <s v="Great North Road, Mutumbo"/>
    <s v="2026-01-01 19:23:08"/>
    <s v="ZRA KAPIRI"/>
    <s v="3:14:15"/>
    <n v="128.06440799999999"/>
    <x v="0"/>
  </r>
  <r>
    <x v="96"/>
    <s v="ABUBAKAR JUMA YUSUPH"/>
    <s v="IRENE SHIJA"/>
    <m/>
    <s v="2026-01-01 20:28:09"/>
    <x v="22"/>
    <s v="Regional Hospital Road, 2.41 km from Mbeya"/>
    <s v="2026-01-01 20:52:57"/>
    <s v="IWAMBI, MBEYA"/>
    <s v="0:24:48"/>
    <n v="6.6016940000000002"/>
    <x v="1"/>
  </r>
  <r>
    <x v="97"/>
    <s v="SALUM MGANGA MADENI"/>
    <s v="SADI KIMWAGA"/>
    <s v="112-525-920"/>
    <s v="2026-01-02 05:21:32"/>
    <x v="23"/>
    <s v="Dar - Mbeya Highway, Ndiuka"/>
    <s v="2026-01-02 10:08:29"/>
    <s v="Iringa Road, Kikwaraza"/>
    <s v="4:46:57"/>
    <n v="182.632822"/>
    <x v="0"/>
  </r>
  <r>
    <x v="98"/>
    <s v="KHERI HASSAN MILANZI"/>
    <s v="LUSAJO KASUNGA"/>
    <s v="128-127-178"/>
    <s v="2026-01-02 05:25:32"/>
    <x v="23"/>
    <s v="IPOGOLO IRINGA"/>
    <s v="2026-01-02 20:39:49"/>
    <s v="Morogoro Main Road, Miyomboni"/>
    <s v="4:44:37"/>
    <n v="188.89341099999999"/>
    <x v="0"/>
  </r>
  <r>
    <x v="99"/>
    <s v="_x000a_AGATHA TOMAS KENJO"/>
    <s v="IRENE SHIJA"/>
    <s v="156-487-198"/>
    <s v="2026-01-02 05:30:05"/>
    <x v="23"/>
    <s v="Dar - Mbeya Highway, Ndiuka"/>
    <s v="2026-01-02 07:48:15"/>
    <s v="Iringa Road, Mtandika 'B'"/>
    <s v="2:18:10"/>
    <n v="87.584637999999998"/>
    <x v="0"/>
  </r>
  <r>
    <x v="100"/>
    <s v="ISIHAKA IDRISA HAMIDU"/>
    <s v="SADI KIMWAGA"/>
    <s v="112-800-034"/>
    <s v="2026-01-02 05:30:32"/>
    <x v="23"/>
    <s v="Dar - Mbeya Highway, Ndiuka"/>
    <s v="2026-01-02 07:41:58"/>
    <s v="Iringa Road, Mtandika 'B'"/>
    <s v="2:11:26"/>
    <n v="87.640090000000001"/>
    <x v="0"/>
  </r>
  <r>
    <x v="101"/>
    <s v="JUMA JAFARI KASELE"/>
    <s v="LUSAJO KASUNGA"/>
    <m/>
    <s v="2026-01-02 05:31:44"/>
    <x v="23"/>
    <s v="Dar - Mbeya Highway, Ndiuka"/>
    <s v="2026-01-02 10:49:43"/>
    <s v="Iringa Road, Doma"/>
    <s v="5:17:59"/>
    <n v="232.85548199999999"/>
    <x v="0"/>
  </r>
  <r>
    <x v="102"/>
    <s v="ALPHONCE SIMO HORO"/>
    <s v="SADI KIMWAGA"/>
    <m/>
    <s v="2026-01-02 05:38:34"/>
    <x v="23"/>
    <s v="ILULA SOKONI"/>
    <s v="2026-01-02 19:54:09"/>
    <s v="Dar Es Salaam, Morogoro Road"/>
    <s v="2:33:24"/>
    <n v="96.555781999999994"/>
    <x v="0"/>
  </r>
  <r>
    <x v="103"/>
    <s v="JUMANNE ALLY MUHINA"/>
    <s v="PLASDUS MAHUMBA"/>
    <m/>
    <s v="2026-01-02 20:56:50"/>
    <x v="23"/>
    <s v="Regional Hospital Road, 2.40 km from Mbeya"/>
    <s v="2026-01-02 21:01:25"/>
    <s v="Tanzam Road, 2.37 km from Mbeya"/>
    <s v="0:04:35"/>
    <n v="0.220777"/>
    <x v="1"/>
  </r>
  <r>
    <x v="94"/>
    <s v="SWEDI SALEHE MAJORO"/>
    <s v="Martha GOLODI"/>
    <s v="138-321-932"/>
    <s v="2026-01-03 05:09:56"/>
    <x v="24"/>
    <s v="Regional Hospital Road, 2.44 km from Mbeya"/>
    <s v="2026-01-03 07:28:01"/>
    <s v="T1, 4.36 km from Ivugula"/>
    <s v="1:57:32"/>
    <n v="44.399059999999999"/>
    <x v="0"/>
  </r>
  <r>
    <x v="29"/>
    <s v="NASIBU SAIDY GUBWE"/>
    <s v="LUSAJO KASUNGA"/>
    <s v="144-695-674"/>
    <s v="2026-01-03 05:11:22"/>
    <x v="24"/>
    <s v="Regional Hospital Road, 2.43 km from Mbeya"/>
    <s v="2026-01-03 07:27:26"/>
    <s v="T1, 4.62 km from Ivugula"/>
    <s v="1:53:51"/>
    <n v="44.087378999999999"/>
    <x v="0"/>
  </r>
  <r>
    <x v="104"/>
    <s v="JOSEPH XZAVIER MPILUKA"/>
    <s v="Martha GOLODI"/>
    <m/>
    <s v="2026-01-03 20:47:07"/>
    <x v="24"/>
    <s v="KITWE DANGER ZONE!!, ZAMBIA"/>
    <s v="2026-01-03 21:47:10"/>
    <s v="SABINA TRUCK PARK"/>
    <s v="1:00:03"/>
    <n v="32.635668000000003"/>
    <x v="1"/>
  </r>
  <r>
    <x v="81"/>
    <s v="PATRICK CLEMENT COROGO"/>
    <s v="LUSAJO KASUNGA"/>
    <m/>
    <s v="2026-01-03 20:47:20"/>
    <x v="24"/>
    <s v="KITWE DANGER ZONE!!, ZAMBIA"/>
    <s v="2026-01-03 21:41:13"/>
    <s v="SABINA TRUCK PARK"/>
    <s v="0:53:53"/>
    <n v="32.617367000000002"/>
    <x v="1"/>
  </r>
  <r>
    <x v="23"/>
    <s v="IBRAHIMU SELEMANI SENGAMBA"/>
    <s v="LUSAJO KASUNGA"/>
    <m/>
    <s v="2026-01-03 21:08:44"/>
    <x v="24"/>
    <s v="T3, 3.96 km from Bancroft"/>
    <s v="2026-01-03 22:24:13"/>
    <s v="T3, 3.55 km from Momba"/>
    <s v="0:22:00"/>
    <n v="11.737944000000001"/>
    <x v="1"/>
  </r>
  <r>
    <x v="32"/>
    <s v="AHMED SHAMSHU MOHAMED"/>
    <s v="Ayoub BENESTA"/>
    <s v="116-005-034"/>
    <s v="2026-01-03 21:54:32"/>
    <x v="24"/>
    <s v="M5, 10.95 km from Mufulira"/>
    <s v="2026-01-03 22:48:56"/>
    <s v="MOKAMBO ZM SIDE"/>
    <s v="0:54:24"/>
    <n v="4.3575679999999997"/>
    <x v="1"/>
  </r>
  <r>
    <x v="105"/>
    <s v="YUSUPH SELEMANI SHOO"/>
    <s v="Martha GOLODI"/>
    <m/>
    <s v="2026-01-04 04:34:01"/>
    <x v="25"/>
    <s v="T1, Kongolo Mkola"/>
    <s v="2026-01-04 20:09:10"/>
    <s v="TUNDUMA PARKING"/>
    <s v="1:58:27"/>
    <n v="46.862701999999999"/>
    <x v="0"/>
  </r>
  <r>
    <x v="106"/>
    <s v="ROBERT TULIA CHANDO"/>
    <s v="LUSAJO KASUNGA"/>
    <n v="112361642"/>
    <s v="2026-01-05 21:37:33"/>
    <x v="26"/>
    <s v="Great North Road, Nakonde"/>
    <s v="2026-01-05 21:52:59"/>
    <s v="NAKONDE ZM SIDE"/>
    <s v="0:15:26"/>
    <s v="6.60 km"/>
    <x v="1"/>
  </r>
  <r>
    <x v="107"/>
    <s v="HAROUB OMARY JAKA "/>
    <s v="PLASDUS MAHUMBA"/>
    <n v="112536620"/>
    <s v="2026-01-06 05:39:14"/>
    <x v="27"/>
    <s v="Tanzania To Zambia Road, Mafinga"/>
    <s v="2026-01-06 09:14:55"/>
    <s v="Iringa Road, Mahenge"/>
    <s v="3:35:41"/>
    <s v="147.33 km"/>
    <x v="0"/>
  </r>
  <r>
    <x v="108"/>
    <s v="ABDALLAH HAMISI MKUMBO"/>
    <s v="SADI KIMWAGA"/>
    <n v="117168492"/>
    <s v="2026-01-06 22:33:21"/>
    <x v="27"/>
    <s v="T1, Vigwaza"/>
    <s v="2026-01-06 23:48:44"/>
    <s v="T2, Lunga"/>
    <s v="1:15:23"/>
    <s v="51.56 km"/>
    <x v="1"/>
  </r>
  <r>
    <x v="109"/>
    <s v="RAMADHANI AYOUB ATHUMANI"/>
    <s v="LUSAJO KASUNGA"/>
    <s v="111-019-703"/>
    <s v="2026-01-07 05:38:39"/>
    <x v="28"/>
    <s v="IFUNDA, IRINGA"/>
    <s v="2026-01-07 10:06:50"/>
    <s v="Iringa Road, 1.40 km from Igagala"/>
    <s v="4:28:11"/>
    <s v="173.81 km"/>
    <x v="0"/>
  </r>
  <r>
    <x v="110"/>
    <s v="YASIN BAKARI NYALU"/>
    <s v="Ayoub BENESTA"/>
    <s v="137-423-243"/>
    <s v="2026-01-07 05:22:55"/>
    <x v="28"/>
    <s v="T1, Bwawani"/>
    <s v="2026-01-07 09:21:32"/>
    <s v="DAR ES SALAAM"/>
    <s v="3:40:44"/>
    <s v="139.94 km"/>
    <x v="0"/>
  </r>
  <r>
    <x v="111"/>
    <s v="HUMUDI SAID AMORI"/>
    <s v="PLASDUS MAHUMBA"/>
    <s v="114-113-778"/>
    <s v="2026-01-07 05:32:29"/>
    <x v="28"/>
    <s v="T1, Bwawani"/>
    <s v="2026-01-07 07:32:00"/>
    <s v="KIPERA FUEL SPOT"/>
    <s v="1:59:31"/>
    <s v="69.87 km"/>
    <x v="0"/>
  </r>
  <r>
    <x v="112"/>
    <s v="EZEKIEL AMBAKISYE MWAMBENE"/>
    <s v="PLASDUS MAHUMBA"/>
    <s v="118-416-929"/>
    <s v="2026-01-08 05:08:17"/>
    <x v="29"/>
    <s v="T8, Luala"/>
    <s v="2026-01-08 08:41:35"/>
    <s v="T8, 1.64 km from Kiwanja"/>
    <s v="3:33:18"/>
    <n v="59.878726"/>
    <x v="0"/>
  </r>
  <r>
    <x v="113"/>
    <s v="AMOS KASEKE KUYOKWA"/>
    <s v="PLASDUS MAHUMBA"/>
    <s v="128-765-964"/>
    <s v="2026-01-08 05:25:52"/>
    <x v="29"/>
    <s v="Tanzam Road, 2.73 km from Mbeya"/>
    <s v="2026-01-08 08:53:19"/>
    <s v="T1, 2.28 km from Iyai"/>
    <s v="3:27:27"/>
    <n v="137.26956200000001"/>
    <x v="0"/>
  </r>
  <r>
    <x v="114"/>
    <s v="SHAIBU SAIDI MKILALU"/>
    <s v="LUSAJO KASUNGA"/>
    <n v="114491314"/>
    <s v="2026-01-08 04:55:44"/>
    <x v="29"/>
    <s v="Morogoro Main Road, 1.51 km from Karabaka"/>
    <s v="2026-01-08 06:38:50"/>
    <s v="CHALINZE"/>
    <s v="1:43:06"/>
    <n v="56.785907999999999"/>
    <x v="0"/>
  </r>
  <r>
    <x v="109"/>
    <s v="RAMADHANI AYOUB ATHUMANI"/>
    <s v="LUSAJO KASUNGA"/>
    <s v="111-019-703"/>
    <s v="2026-01-08 05:34:35"/>
    <x v="29"/>
    <s v="Morogoro Main Road, 1.52 km from Karabaka"/>
    <s v="2026-01-08 06:38:50"/>
    <s v="Dar Es Salaam, Morogoro Road"/>
    <s v="0:55:44"/>
    <n v="32.015659999999997"/>
    <x v="0"/>
  </r>
  <r>
    <x v="115"/>
    <s v="LEONIDAS KALUMUNA KAGENYI"/>
    <s v="LUSAJO KASUNGA"/>
    <n v="0"/>
    <s v="2026-01-08 05:44:33"/>
    <x v="29"/>
    <s v="T1, Kongolo Mkola"/>
    <s v="2026-01-08 07:56:24"/>
    <s v="T1, Mayale"/>
    <s v="2:11:51"/>
    <n v="97.211089000000001"/>
    <x v="0"/>
  </r>
  <r>
    <x v="116"/>
    <s v="MOSES ELIBARIKI MSHANA"/>
    <s v="IRENE SHIJA"/>
    <n v="112986618"/>
    <s v="2026-01-08 05:26:56"/>
    <x v="29"/>
    <s v="ILULA SOKONI"/>
    <s v="2026-01-08 19:23:07"/>
    <s v="Tanzam Road, 2.37 km from Mbeya"/>
    <s v="1:47:43"/>
    <n v="49.559441999999997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n v="1"/>
    <x v="0"/>
    <s v="2026-01-01 06:56:42"/>
    <x v="0"/>
    <s v="2026-01-01 07:26:43"/>
    <s v="T930EBW =&gt; IDLING. At 01.01.2026 06:56:42 it moved with speed 0 km/h near 'T2, Tanga, Handeni, Tanzania, 1.45 km from Ugweno'."/>
    <s v="T2, 1.45 km from Ugweno"/>
    <n v="4"/>
  </r>
  <r>
    <n v="2"/>
    <x v="1"/>
    <s v="2026-01-01 06:57:50"/>
    <x v="0"/>
    <s v="2026-01-01 07:27:55"/>
    <s v="T867EBY =&gt; IDLING. At 01.01.2026 06:57:50 it moved with speed 0 km/h near 'T2, Tanga, Handeni, Tanzania, 1.43 km from Ugweno'."/>
    <s v="T2, 1.43 km from Ugweno"/>
    <n v="4"/>
  </r>
  <r>
    <n v="3"/>
    <x v="2"/>
    <s v="2026-01-01 07:36:20"/>
    <x v="0"/>
    <s v="2026-01-01 08:06:20"/>
    <s v="T439DHG =&gt; IDLING. At 01.01.2026 07:36:20 it moved with speed 0 km/h near 'Great North Road, Muchinga Province, Zambia, 5.18 km from Two Leopards'."/>
    <s v="Great North Road, 5.18 km from Two Leopards"/>
    <n v="5"/>
  </r>
  <r>
    <n v="4"/>
    <x v="3"/>
    <s v="2026-01-01 07:51:55"/>
    <x v="0"/>
    <s v="2026-01-01 08:21:59"/>
    <s v="T378DHG =&gt; IDLING. At 01.01.2026 07:51:55 it moved with speed 0 km/h near 'T3, Copperbelt Province, Zambia, 51.96 km from Ndola'."/>
    <s v="T3, 51.96 km from Ndola"/>
    <n v="3"/>
  </r>
  <r>
    <n v="5"/>
    <x v="4"/>
    <s v="2026-01-01 07:59:46"/>
    <x v="0"/>
    <s v="2026-01-01 08:29:48"/>
    <s v="T517EBY =&gt; IDLING. At 01.01.2026 07:59:46 it moved with speed 0 km/h near 'Mbala - Nakonde Road, Muchinga Province, Zambia, 5.25 km from Mwezo'."/>
    <s v="Mbala - Nakonde Road, 5.25 km from Mwezo"/>
    <n v="4"/>
  </r>
  <r>
    <n v="6"/>
    <x v="5"/>
    <s v="2026-01-01 08:08:53"/>
    <x v="0"/>
    <s v="2026-01-01 08:38:56"/>
    <s v="T799DYR =&gt; IDLING. At 01.01.2026 08:08:53 it moved with speed 0 km/h near 'Morogoro Main Road, Pwani, Kibaha, Tanzania, Mwendapole B'."/>
    <s v="Morogoro Main Road, Mwendapole B"/>
    <n v="3"/>
  </r>
  <r>
    <n v="7"/>
    <x v="6"/>
    <s v="2026-01-01 08:21:22"/>
    <x v="0"/>
    <s v="2026-01-01 08:51:25"/>
    <s v="T792EBW =&gt; IDLING. At 01.01.2026 08:21:22 it moved with speed 0 km/h near 'Great North Road, Central Province, Zambia, 11.45 km from Kanona'."/>
    <s v="Great North Road, 11.45 km from Kanona"/>
    <n v="3"/>
  </r>
  <r>
    <n v="8"/>
    <x v="7"/>
    <s v="2026-01-01 08:31:35"/>
    <x v="0"/>
    <s v="2026-01-01 09:01:38"/>
    <s v="T737DEB =&gt; IDLING. At 01.01.2026 08:31:35 it moved with speed 0 km/h near 'Rn1, Lualaba, Democratic Republic of the Congo, 2.56 km from Kaidi'."/>
    <s v="Rn1, 2.56 km from Kaidi"/>
    <n v="3"/>
  </r>
  <r>
    <n v="9"/>
    <x v="8"/>
    <s v="2026-01-01 08:44:44"/>
    <x v="0"/>
    <s v="2026-01-01 09:14:45"/>
    <s v="T514EBY =&gt; IDLING. At 01.01.2026 08:44:44 it moved with speed 0 km/h near 'T1, Mbeya, Tanzania, Kongolo Mkola'."/>
    <s v="T1, Kongolo Mkola"/>
    <n v="4"/>
  </r>
  <r>
    <n v="10"/>
    <x v="9"/>
    <s v="2026-01-01 09:00:49"/>
    <x v="0"/>
    <s v="2026-01-01 09:30:52"/>
    <s v="T907EBW =&gt; IDLING. At 01.01.2026 09:00:49 it moved with speed 0 km/h near 'Tanzam Road, Mbeya, Kalobe, Tanzania, 2.40 km from Mbeya'."/>
    <s v="Tanzam Road, 2.40 km from Mbeya"/>
    <n v="3"/>
  </r>
  <r>
    <n v="11"/>
    <x v="10"/>
    <s v="2026-01-01 09:16:10"/>
    <x v="0"/>
    <s v="2026-01-01 09:46:13"/>
    <s v="T934EBW =&gt; IDLING. At 01.01.2026 09:16:10 it moved with speed 0 km/h near 'Great North Road, Muchinga Province, Zambia, Kalungu'."/>
    <s v="Great North Road, Kalungu"/>
    <n v="4"/>
  </r>
  <r>
    <n v="12"/>
    <x v="11"/>
    <s v="2026-01-01 09:36:51"/>
    <x v="0"/>
    <s v="2026-01-01 10:06:54"/>
    <s v="T799EBW =&gt; IDLING. At 01.01.2026 09:36:51 it moved with speed 0 km/h near 'Regional Hospital Road, Mbeya, Nzovwe, Tanzania, 2.40 km from Mbeya'."/>
    <s v="Regional Hospital Road, 2.40 km from Mbeya"/>
    <n v="4"/>
  </r>
  <r>
    <n v="13"/>
    <x v="12"/>
    <s v="2026-01-01 09:41:56"/>
    <x v="0"/>
    <s v="2026-01-01 10:11:56"/>
    <s v="T871EBW =&gt; IDLING. At 01.01.2026 09:41:56 it moved with speed 0 km/h near 'Great North Road, Muchinga Province, Zambia, Kalungu'."/>
    <s v="Great North Road, Kalungu"/>
    <n v="4"/>
  </r>
  <r>
    <n v="14"/>
    <x v="13"/>
    <s v="2026-01-01 09:43:10"/>
    <x v="0"/>
    <s v="2026-01-01 10:13:11"/>
    <s v="T491DYR =&gt; IDLING. At 01.01.2026 09:43:10 it moved with speed 0 km/h near 'T1, Pwani, Bagamoyo, Tanzania, 1.76 km from Vigwaza'."/>
    <s v="T1, 1.76 km from Vigwaza"/>
    <n v="3"/>
  </r>
  <r>
    <n v="15"/>
    <x v="14"/>
    <s v="2026-01-01 09:44:22"/>
    <x v="0"/>
    <s v="2026-01-01 10:14:26"/>
    <s v="T378ECN =&gt; IDLING. At 01.01.2026 09:44:22 it moved with speed 0 km/h near 'Great North Road, Muchinga Province, Zambia, Kalungu'."/>
    <s v="Great North Road, Kalungu"/>
    <n v="4"/>
  </r>
  <r>
    <n v="16"/>
    <x v="15"/>
    <s v="2026-01-01 10:34:13"/>
    <x v="0"/>
    <s v="2026-01-01 11:04:13"/>
    <s v="T591DTQ =&gt; IDLING. At 01.01.2026 10:34:13 it moved with speed 0 km/h near 'Tanzania To Zambia Road, Iringa, Mufindi, Tanzania, 1.83 km from Ifunda'."/>
    <s v="Tanzania To Zambia Road, 1.83 km from Ifunda"/>
    <n v="3"/>
  </r>
  <r>
    <n v="17"/>
    <x v="16"/>
    <s v="2026-01-01 11:18:32"/>
    <x v="0"/>
    <s v="2026-01-01 11:48:33"/>
    <s v="T382ECN =&gt; IDLING. At 01.01.2026 11:18:32 it moved with speed 0 km/h near 'T1, Njombe, Tanzania, Igawa'."/>
    <s v="T1, Igawa"/>
    <n v="3"/>
  </r>
  <r>
    <n v="18"/>
    <x v="17"/>
    <s v="2026-01-01 11:55:03"/>
    <x v="0"/>
    <s v="2026-01-01 12:25:07"/>
    <s v="T396ECN =&gt; IDLING. At 01.01.2026 11:55:03 it moved with speed 0 km/h near 'Great North Road, Muchinga Province, Zambia, 6.12 km from Kalungu'."/>
    <s v="Great North Road, 6.12 km from Kalungu"/>
    <n v="3"/>
  </r>
  <r>
    <n v="19"/>
    <x v="18"/>
    <s v="2026-01-01 11:57:14"/>
    <x v="0"/>
    <s v="2026-01-01 12:27:17"/>
    <s v="T416DCT =&gt; IDLING. At 01.01.2026 11:57:14 it moved with speed 0 km/h near 'T1, Mbeya, Tanzania, Mambi'."/>
    <s v="T1, Mambi"/>
    <n v="3"/>
  </r>
  <r>
    <n v="20"/>
    <x v="19"/>
    <s v="2026-01-01 12:03:25"/>
    <x v="0"/>
    <s v="2026-01-01 12:33:29"/>
    <s v="T728DYR =&gt; IDLING. At 01.01.2026 12:03:25 it moved with speed 0 km/h near 'T1, Njombe, Tanzania, 1.47 km from Nyololo'."/>
    <s v="T1, 1.47 km from Nyololo"/>
    <n v="4"/>
  </r>
  <r>
    <n v="21"/>
    <x v="20"/>
    <s v="2026-01-01 12:12:25"/>
    <x v="0"/>
    <s v="2026-01-01 12:42:29"/>
    <s v="T905EBW =&gt; IDLING. At 01.01.2026 12:12:25 it moved with speed 0 km/h near 'T1, Mbeya, Tanzania, 1.09 km from Lunwa'."/>
    <s v="T1, 1.09 km from Lunwa"/>
    <n v="5"/>
  </r>
  <r>
    <n v="22"/>
    <x v="21"/>
    <s v="2026-01-01 12:20:33"/>
    <x v="0"/>
    <s v="2026-01-01 12:50:36"/>
    <s v="T337EBX =&gt; IDLING. At 01.01.2026 12:20:33 it moved with speed 0 km/h near 'Tanzania To Zambia Road, Iringa, Mufindi, Tanzania, 1.78 km from Ifunda'."/>
    <s v="Tanzania To Zambia Road, 1.78 km from Ifunda"/>
    <n v="3"/>
  </r>
  <r>
    <n v="23"/>
    <x v="22"/>
    <s v="2026-01-01 12:28:41"/>
    <x v="0"/>
    <s v="2026-01-01 12:58:43"/>
    <s v="T266EBX =&gt; IDLING. At 01.01.2026 12:28:41 it moved with speed 0 km/h near 'Great North Road, Central Province, Zambia, 1.88 km from Mkushi River'."/>
    <s v="Great North Road, 1.88 km from Mkushi River"/>
    <n v="3"/>
  </r>
  <r>
    <n v="24"/>
    <x v="23"/>
    <s v="2026-01-01 12:47:07"/>
    <x v="0"/>
    <s v="2026-01-01 13:17:11"/>
    <s v="T326ECN =&gt; IDLING. At 01.01.2026 12:47:07 it moved with speed 0 km/h near 'Great North Road, Muchinga Province, Zambia, 7.97 km from Mwezo'."/>
    <s v="Great North Road, 7.97 km from Mwezo"/>
    <n v="3"/>
  </r>
  <r>
    <n v="25"/>
    <x v="24"/>
    <s v="2026-01-01 12:53:47"/>
    <x v="0"/>
    <s v="2026-01-01 13:23:48"/>
    <s v="T431DHG =&gt; IDLING. At 01.01.2026 12:53:47 it moved with speed 0 km/h near 'Iringa Road, Iringa, Tanzania, Mtandika 'A''."/>
    <s v="Iringa Road, Mtandika 'A'"/>
    <n v="3"/>
  </r>
  <r>
    <n v="26"/>
    <x v="25"/>
    <s v="2026-01-01 14:27:59"/>
    <x v="0"/>
    <s v="2026-01-01 14:58:02"/>
    <s v="T595DTQ =&gt; IDLING. At 01.01.2026 14:27:59 it moved with speed 0 km/h near 'Tanzania To Zambia Road, Iringa, Mufindi, Tanzania, Kinyanambo'."/>
    <s v="Tanzania To Zambia Road, Kinyanambo"/>
    <n v="4"/>
  </r>
  <r>
    <n v="27"/>
    <x v="26"/>
    <s v="2026-01-01 14:54:04"/>
    <x v="0"/>
    <s v="2026-01-01 15:24:07"/>
    <s v="T772DYR =&gt; IDLING. At 01.01.2026 14:54:04 it moved with speed 0 km/h near 'Tanzam Road, Mbeya, Kalobe, Tanzania, 2.33 km from Mbeya'."/>
    <s v="Tanzam Road, 2.33 km from Mbeya"/>
    <n v="4"/>
  </r>
  <r>
    <n v="28"/>
    <x v="27"/>
    <s v="2026-01-01 15:29:29"/>
    <x v="0"/>
    <s v="2026-01-01 15:59:30"/>
    <s v="T564DEB =&gt; IDLING. At 01.01.2026 15:29:29 it moved with speed 0 km/h near 'Great North Road, Muchinga Province, Zambia, Kalungu'."/>
    <s v="Great North Road, Kalungu"/>
    <n v="3"/>
  </r>
  <r>
    <n v="29"/>
    <x v="28"/>
    <s v="2026-01-01 15:33:22"/>
    <x v="0"/>
    <s v="2026-01-01 16:03:26"/>
    <s v="T299DCT =&gt; IDLING. At 01.01.2026 15:33:22 it moved with speed 0 km/h near 'Great North Road, Muchinga Province, Zambia, Kalungu'."/>
    <s v="Great North Road, Kalungu"/>
    <n v="3"/>
  </r>
  <r>
    <n v="30"/>
    <x v="29"/>
    <s v="2026-01-01 15:35:57"/>
    <x v="0"/>
    <s v="2026-01-01 16:06:02"/>
    <s v="T584DTQ =&gt; IDLING. At 01.01.2026 15:35:57 it moved with speed 0 km/h near 'Tanzania To Zambia Road, Iringa, Mufindi, Tanzania, 1.65 km from Ifunda'."/>
    <s v="Tanzania To Zambia Road, 1.65 km from Ifunda"/>
    <n v="3"/>
  </r>
  <r>
    <n v="31"/>
    <x v="30"/>
    <s v="2026-01-01 15:52:04"/>
    <x v="0"/>
    <s v="2026-01-01 16:22:06"/>
    <s v="T720DYR =&gt; IDLING. At 01.01.2026 15:52:04 it moved with speed 0 km/h near 'Tanzam Road, Mbeya, Kalobe, Tanzania, 2.31 km from Mbeya'."/>
    <s v="Tanzam Road, 2.31 km from Mbeya"/>
    <n v="4"/>
  </r>
  <r>
    <n v="32"/>
    <x v="31"/>
    <s v="2026-01-01 16:37:13"/>
    <x v="0"/>
    <s v="2026-01-01 17:07:13"/>
    <s v="T724DYR =&gt; IDLING. At 01.01.2026 16:37:13 it moved with speed 0 km/h near 'Great North Road, Central Province, Zambia, 10.41 km from Tanemeka'."/>
    <s v="Great North Road, 10.41 km from Tanemeka"/>
    <n v="3"/>
  </r>
  <r>
    <n v="33"/>
    <x v="32"/>
    <s v="2026-01-01 16:47:44"/>
    <x v="0"/>
    <s v="2026-01-01 17:17:46"/>
    <s v="T712DYR =&gt; IDLING. At 01.01.2026 16:47:44 it moved with speed 0 km/h near 'Tanzam Road, Mbeya, Kalobe, Tanzania, 2.29 km from Mbeya'."/>
    <s v="Tanzam Road, 2.29 km from Mbeya"/>
    <n v="4"/>
  </r>
  <r>
    <n v="34"/>
    <x v="33"/>
    <s v="2026-01-02 05:06:31"/>
    <x v="1"/>
    <s v="2026-01-02 05:36:31"/>
    <s v="T373DHG =&gt; IDLING. At 02.01.2026 05:06:31 it moved with speed 0 km/h near 'Iringa Road, Lundamatwe, Iringa, Tanzania'."/>
    <s v="Lundamatwe, Iringa Road"/>
    <n v="4"/>
  </r>
  <r>
    <n v="35"/>
    <x v="19"/>
    <s v="2026-01-02 06:24:32"/>
    <x v="1"/>
    <s v="2026-01-02 06:54:36"/>
    <s v="T728DYR =&gt; IDLING. At 02.01.2026 06:24:32 it moved with speed 0 km/h near 'Tanzam Road, Mbeya, Kalobe, Tanzania, 2.31 km from Mbeya'."/>
    <s v="Tanzam Road, 2.31 km from Mbeya"/>
    <n v="4"/>
  </r>
  <r>
    <n v="36"/>
    <x v="20"/>
    <s v="2026-01-02 06:29:52"/>
    <x v="1"/>
    <s v="2026-01-02 06:59:52"/>
    <s v="T905EBW =&gt; IDLING. At 02.01.2026 06:29:52 it moved with speed 0 km/h near 'Tanzam Road, Mbeya, Kalobe, Tanzania, 2.37 km from Mbeya'."/>
    <s v="Tanzam Road, 2.37 km from Mbeya"/>
    <n v="3"/>
  </r>
  <r>
    <n v="37"/>
    <x v="34"/>
    <s v="2026-01-02 06:30:24"/>
    <x v="1"/>
    <s v="2026-01-02 07:00:28"/>
    <s v="T444DHG =&gt; IDLING. At 02.01.2026 06:30:24 it moved with speed 0 km/h near 'T1, Mbeya, Tanzania, 4.97 km from Mswiswi'."/>
    <s v="T1, 4.97 km from Mswiswi"/>
    <n v="6"/>
  </r>
  <r>
    <n v="38"/>
    <x v="35"/>
    <s v="2026-01-02 07:06:29"/>
    <x v="1"/>
    <s v="2026-01-02 07:36:30"/>
    <s v="T960DSX =&gt; IDLING. At 02.01.2026 07:06:29 it moved with speed 0 km/h near 'T1, Mbeya, Tanzania, 4.80 km from Makwenje'."/>
    <s v="T1, 4.80 km from Makwenje"/>
    <n v="7"/>
  </r>
  <r>
    <n v="39"/>
    <x v="36"/>
    <s v="2026-01-02 07:49:59"/>
    <x v="1"/>
    <s v="2026-01-02 08:19:59"/>
    <s v="T588DTQ =&gt; IDLING. At 02.01.2026 07:49:59 it moved with speed 0 km/h near 'T1, Mbeya, Tanzania, Makwenje'."/>
    <s v="T1, Makwenje"/>
    <n v="4"/>
  </r>
  <r>
    <n v="40"/>
    <x v="13"/>
    <s v="2026-01-02 08:29:55"/>
    <x v="1"/>
    <s v="2026-01-02 08:59:59"/>
    <s v="T491DYR =&gt; IDLING. At 02.01.2026 08:29:55 it moved with speed 0 km/h near 'Iringa Road, Iringa, Tanzania, 1.19 km from Ruaha Mbuyumi'."/>
    <s v="Iringa Road, 1.19 km from Ruaha Mbuyumi"/>
    <n v="4"/>
  </r>
  <r>
    <n v="41"/>
    <x v="37"/>
    <s v="2026-01-02 08:35:41"/>
    <x v="1"/>
    <s v="2026-01-02 09:05:45"/>
    <s v="T585DYR =&gt; IDLING. At 02.01.2026 08:35:41 it moved with speed 0 km/h near 'T3, Copperbelt Province, Zambia, 4.87 km from Konkola'."/>
    <s v="T3, 4.87 km from Konkola"/>
    <n v="3"/>
  </r>
  <r>
    <n v="42"/>
    <x v="38"/>
    <s v="2026-01-02 08:36:50"/>
    <x v="1"/>
    <s v="2026-01-02 09:06:50"/>
    <s v="T977EBW =&gt; IDLING. At 02.01.2026 08:36:50 it moved with speed 0 km/h near 'Tanzam Road, Mbeya, Kalobe, Tanzania, 2.38 km from Mbeya'."/>
    <s v="Tanzam Road, 2.38 km from Mbeya"/>
    <n v="3"/>
  </r>
  <r>
    <n v="43"/>
    <x v="39"/>
    <s v="2026-01-02 08:45:56"/>
    <x v="1"/>
    <s v="2026-01-02 09:16:00"/>
    <s v="T793DDS =&gt; IDLING. At 02.01.2026 08:45:56 it moved with speed 0 km/h near 'T3, Copperbelt Province, Zambia, 4.95 km from Konkola'."/>
    <s v="T3, 4.95 km from Konkola"/>
    <n v="3"/>
  </r>
  <r>
    <n v="44"/>
    <x v="40"/>
    <s v="2026-01-02 08:57:28"/>
    <x v="1"/>
    <s v="2026-01-02 09:27:28"/>
    <s v="T332DHG =&gt; IDLING. At 02.01.2026 08:57:28 it moved with speed 0 km/h near 'T3, Copperbelt Province, Zambia, 4.98 km from Konkola'."/>
    <s v="T3, 4.98 km from Konkola"/>
    <n v="3"/>
  </r>
  <r>
    <n v="45"/>
    <x v="41"/>
    <s v="2026-01-02 09:56:43"/>
    <x v="1"/>
    <s v="2026-01-02 10:26:46"/>
    <s v="T774EBW =&gt; IDLING. At 02.01.2026 09:56:43 it moved with speed 0 km/h near 'Great North Road, Central Province, Zambia, 3.30 km from Mkushi'."/>
    <s v="Great North Road, 3.30 km from Mkushi"/>
    <n v="3"/>
  </r>
  <r>
    <n v="46"/>
    <x v="42"/>
    <s v="2026-01-02 10:08:29"/>
    <x v="1"/>
    <s v="2026-01-02 10:38:31"/>
    <s v="T794DDS =&gt; IDLING. At 02.01.2026 10:08:29 it moved with speed 0 km/h near 'Iringa Road, Morogoro, Kilosa, Tanzania, Kikwaraza'."/>
    <s v="Iringa Road, Kikwaraza"/>
    <n v="4"/>
  </r>
  <r>
    <n v="47"/>
    <x v="43"/>
    <s v="2026-01-02 10:14:00"/>
    <x v="1"/>
    <s v="2026-01-02 10:44:02"/>
    <s v="T515EBY =&gt; IDLING. At 02.01.2026 10:14:00 it moved with speed 0 km/h near 'Rn38, Haut-Katanga, Democratic Republic of the Congo, 2.95 km from Kampemba Ii'."/>
    <s v="Rn38, 2.95 km from Kampemba Ii"/>
    <n v="3"/>
  </r>
  <r>
    <n v="48"/>
    <x v="44"/>
    <s v="2026-01-02 10:16:28"/>
    <x v="1"/>
    <s v="2026-01-02 10:46:32"/>
    <s v="T746DEB =&gt; IDLING. At 02.01.2026 10:16:28 it moved with speed 0 km/h near 'Iringa Road, Morogoro, Kilosa, Tanzania, Tambuka Reli'."/>
    <s v="Iringa Road, Tambuka Reli"/>
    <n v="3"/>
  </r>
  <r>
    <n v="49"/>
    <x v="45"/>
    <s v="2026-01-02 10:22:01"/>
    <x v="1"/>
    <s v="2026-01-02 10:52:04"/>
    <s v="T696DEB =&gt; IDLING. At 02.01.2026 10:22:01 it moved with speed 0 km/h near 'T3, Copperbelt Province, Zambia, 4.76 km from Momba'."/>
    <s v="T3, 4.76 km from Momba"/>
    <n v="7"/>
  </r>
  <r>
    <n v="50"/>
    <x v="46"/>
    <s v="2026-01-02 10:40:26"/>
    <x v="1"/>
    <s v="2026-01-02 11:10:27"/>
    <s v="T796DYR =&gt; IDLING. At 02.01.2026 10:40:26 it moved with speed 0 km/h near 'Rn38, Haut-Katanga, Democratic Republic of the Congo, 2.95 km from Kampemba Ii'."/>
    <s v="Rn38, 2.95 km from Kampemba Ii"/>
    <n v="4"/>
  </r>
  <r>
    <n v="51"/>
    <x v="21"/>
    <s v="2026-01-02 11:06:28"/>
    <x v="1"/>
    <s v="2026-01-02 11:36:32"/>
    <s v="T337EBX =&gt; IDLING. At 02.01.2026 11:06:28 it moved with speed 0 km/h near 'Tanzam Road, Mbeya, Kalobe, Tanzania, 2.32 km from Mbeya'."/>
    <s v="Tanzam Road, 2.32 km from Mbeya"/>
    <n v="3"/>
  </r>
  <r>
    <n v="52"/>
    <x v="47"/>
    <s v="2026-01-02 11:07:32"/>
    <x v="1"/>
    <s v="2026-01-02 11:37:34"/>
    <s v="T785EBW =&gt; IDLING. At 02.01.2026 11:07:32 it moved with speed 0 km/h near 'T2, Tanga, Handeni, Tanzania, Mkata'."/>
    <s v="T2, Mkata"/>
    <n v="5"/>
  </r>
  <r>
    <n v="53"/>
    <x v="48"/>
    <s v="2026-01-02 11:38:58"/>
    <x v="1"/>
    <s v="2026-01-02 12:09:00"/>
    <s v="T980EBW =&gt; IDLING. At 02.01.2026 11:38:58 it moved with speed 0 km/h near 'Tanzam Road, Mbeya, Tanzania, Iwambi'."/>
    <s v="Tanzam Road, Iwambi"/>
    <n v="3"/>
  </r>
  <r>
    <n v="54"/>
    <x v="49"/>
    <s v="2026-01-02 11:58:30"/>
    <x v="1"/>
    <s v="2026-01-02 12:28:33"/>
    <s v="T732DEB =&gt; IDLING. At 02.01.2026 11:58:30 it moved with speed 0 km/h near 'M3, Luapula Province, Zambia, Chipili'."/>
    <s v="M3, Chipili"/>
    <n v="3"/>
  </r>
  <r>
    <n v="55"/>
    <x v="50"/>
    <s v="2026-01-02 12:00:05"/>
    <x v="1"/>
    <s v="2026-01-02 12:30:08"/>
    <s v="T882EBW =&gt; IDLING. At 02.01.2026 12:00:05 it moved with speed 0 km/h near 'Great North Road, Muchinga Province, Zambia, 3.90 km from Chinkumba'."/>
    <s v="Great North Road, 3.90 km from Chinkumba"/>
    <n v="3"/>
  </r>
  <r>
    <n v="56"/>
    <x v="51"/>
    <s v="2026-01-02 12:06:06"/>
    <x v="1"/>
    <s v="2026-01-02 12:36:10"/>
    <s v="T406DHG =&gt; IDLING. At 02.01.2026 12:06:06 it moved with speed 0 km/h near 'T1, Njombe, Makete, Tanzania, Mabadaga'."/>
    <s v="T1, Mabadaga"/>
    <n v="3"/>
  </r>
  <r>
    <n v="57"/>
    <x v="29"/>
    <s v="2026-01-02 12:16:10"/>
    <x v="1"/>
    <s v="2026-01-02 12:46:13"/>
    <s v="T584DTQ =&gt; IDLING. At 02.01.2026 12:16:10 it moved with speed 0 km/h near 'Iringa Road, Morogoro, Tanzania, 1.67 km from Melela Mlandizi'."/>
    <s v="Iringa Road, 1.67 km from Melela Mlandizi"/>
    <n v="3"/>
  </r>
  <r>
    <n v="58"/>
    <x v="52"/>
    <s v="2026-01-02 12:19:37"/>
    <x v="1"/>
    <s v="2026-01-02 12:49:38"/>
    <s v="T331EBX =&gt; IDLING. At 02.01.2026 12:19:37 it moved with speed 0 km/h near 'Iringa Road, Iringa, Tanzania, Ruaha Mbuyumi'."/>
    <s v="Iringa Road, Ruaha Mbuyumi"/>
    <n v="3"/>
  </r>
  <r>
    <n v="59"/>
    <x v="18"/>
    <s v="2026-01-02 12:31:40"/>
    <x v="1"/>
    <s v="2026-01-02 13:01:43"/>
    <s v="T416DCT =&gt; IDLING. At 02.01.2026 12:31:40 it moved with speed 0 km/h near 'Iringa Road, Morogoro, Tanzania, 3.23 km from Kipera'."/>
    <s v="Iringa Road, 3.23 km from Kipera"/>
    <n v="3"/>
  </r>
  <r>
    <n v="60"/>
    <x v="53"/>
    <s v="2026-01-02 12:37:51"/>
    <x v="1"/>
    <s v="2026-01-02 13:07:54"/>
    <s v="T838EBY =&gt; IDLING. At 02.01.2026 12:37:51 it moved with speed 0 km/h near 'Iringa Road, Iringa, Tanzania, 1.15 km from Ruaha Mbuyumi'."/>
    <s v="Iringa Road, 1.15 km from Ruaha Mbuyumi"/>
    <n v="3"/>
  </r>
  <r>
    <n v="61"/>
    <x v="54"/>
    <s v="2026-01-02 12:50:55"/>
    <x v="1"/>
    <s v="2026-01-02 13:20:57"/>
    <s v="T941EBW =&gt; IDLING. At 02.01.2026 12:50:55 it moved with speed 0 km/h near 'Iringa Road, Morogoro, Kilosa, Tanzania, Tambuka Reli'."/>
    <s v="Iringa Road, Tambuka Reli"/>
    <n v="3"/>
  </r>
  <r>
    <n v="62"/>
    <x v="55"/>
    <s v="2026-01-02 13:44:52"/>
    <x v="1"/>
    <s v="2026-01-02 14:14:56"/>
    <s v="T645DHL =&gt; IDLING. At 02.01.2026 13:44:52 it moved with speed 0 km/h near 'Iringa Road, Morogoro, Tanzania, 3.23 km from Kipera'."/>
    <s v="Iringa Road, 3.23 km from Kipera"/>
    <n v="3"/>
  </r>
  <r>
    <n v="63"/>
    <x v="56"/>
    <s v="2026-01-02 14:15:36"/>
    <x v="1"/>
    <s v="2026-01-02 14:45:36"/>
    <s v="T315EBX =&gt; IDLING. At 02.01.2026 14:15:36 it moved with speed 0 km/h near 'Oxford Road, Copperbelt Province, Zambia, 3.17 km from Kitwe'."/>
    <s v="Oxford Road, 3.17 km from Kitwe"/>
    <n v="3"/>
  </r>
  <r>
    <n v="64"/>
    <x v="57"/>
    <s v="2026-01-02 14:28:22"/>
    <x v="1"/>
    <s v="2026-01-02 15:12:24"/>
    <s v="T221EBX =&gt; IDLING. At 02.01.2026 14:28:22 it moved with speed 0 km/h near 'Rn1, Haut-Katanga, Democratic Republic of the Congo, 9.45 km from Kasumbalesa'."/>
    <s v="Rn1, 9.45 km from Kasumbalesa"/>
    <n v="3"/>
  </r>
  <r>
    <n v="65"/>
    <x v="58"/>
    <s v="2026-01-02 14:37:31"/>
    <x v="1"/>
    <s v="2026-01-02 15:07:35"/>
    <s v="T713DYR =&gt; IDLING. At 02.01.2026 14:37:31 it moved with speed 0 km/h near 'Rn1, Haut-Katanga, Democratic Republic of the Congo, 9.30 km from Kasumbalesa'."/>
    <s v="Rn1, 9.30 km from Kasumbalesa"/>
    <n v="4"/>
  </r>
  <r>
    <n v="66"/>
    <x v="59"/>
    <s v="2026-01-02 14:41:38"/>
    <x v="1"/>
    <s v="2026-01-02 15:11:39"/>
    <s v="T945DSX =&gt; IDLING. At 02.01.2026 14:41:38 it moved with speed 0 km/h near 'Rn1, Haut-Katanga, Democratic Republic of the Congo, 9.30 km from Kasumbalesa'."/>
    <s v="Rn1, 9.30 km from Kasumbalesa"/>
    <n v="3"/>
  </r>
  <r>
    <n v="67"/>
    <x v="60"/>
    <s v="2026-01-02 14:50:43"/>
    <x v="1"/>
    <s v="2026-01-02 15:20:45"/>
    <s v="T510EBY =&gt; IDLING. At 02.01.2026 14:50:43 it moved with speed 0 km/h near 'Tanzam Road, Mbeya, Kalobe, Tanzania, 2.33 km from Mbeya'."/>
    <s v="Tanzam Road, 2.33 km from Mbeya"/>
    <n v="3"/>
  </r>
  <r>
    <n v="68"/>
    <x v="61"/>
    <s v="2026-01-02 14:52:33"/>
    <x v="1"/>
    <s v="2026-01-02 15:22:35"/>
    <s v="T319EBY =&gt; IDLING. At 02.01.2026 14:52:33 it moved with speed 0 km/h near 'Tanzam Road, Mbeya, Kalobe, Tanzania, 2.32 km from Mbeya'."/>
    <s v="Tanzam Road, 2.32 km from Mbeya"/>
    <n v="3"/>
  </r>
  <r>
    <n v="69"/>
    <x v="62"/>
    <s v="2026-01-02 15:34:32"/>
    <x v="1"/>
    <s v="2026-01-02 16:04:35"/>
    <s v="T588DYR =&gt; IDLING. At 02.01.2026 15:34:32 it moved with speed 0 km/h near 'Rn1, Haut-Katanga, Democratic Republic of the Congo, 11.67 km from Sumbilili'."/>
    <s v="Rn1, 11.67 km from Sumbilili"/>
    <n v="3"/>
  </r>
  <r>
    <n v="70"/>
    <x v="63"/>
    <s v="2026-01-02 16:43:47"/>
    <x v="1"/>
    <s v="2026-01-02 17:13:50"/>
    <s v="T335EBX =&gt; IDLING. At 02.01.2026 16:43:47 it moved with speed 0 km/h near 'T3, Copperbelt Province, Zambia, 2.02 km from Momba'."/>
    <s v="T3, 2.02 km from Momba"/>
    <n v="3"/>
  </r>
  <r>
    <n v="71"/>
    <x v="64"/>
    <s v="2026-01-02 17:17:21"/>
    <x v="1"/>
    <s v="2026-01-02 17:47:24"/>
    <s v="T704DYR =&gt; IDLING. At 02.01.2026 17:17:21 it moved with speed 0 km/h near 'Rn1, Haut-Katanga, Democratic Republic of the Congo, 8.28 km from Kasumbalesa'."/>
    <s v="Rn1, 8.28 km from Kasumbalesa"/>
    <n v="3"/>
  </r>
  <r>
    <n v="72"/>
    <x v="65"/>
    <s v="2026-01-03 06:29:57"/>
    <x v="2"/>
    <s v="2026-01-03 06:59:57"/>
    <s v="T750EBX =&gt; IDLING. At 03.01.2026 06:29:57 it moved with speed 0 km/h near 'T1, Pwani, Bagamoyo, Tanzania, Ruvu Darajani'."/>
    <s v="T1, Ruvu Darajani"/>
    <n v="3"/>
  </r>
  <r>
    <n v="73"/>
    <x v="56"/>
    <s v="2026-01-03 07:11:31"/>
    <x v="2"/>
    <s v="2026-01-03 07:41:32"/>
    <s v="T315EBX =&gt; IDLING. At 03.01.2026 07:11:31 it moved with speed 0 km/h near 'T3, Copperbelt Province, Zambia, 4.78 km from Momba'."/>
    <s v="T3, 4.78 km from Momba"/>
    <n v="4"/>
  </r>
  <r>
    <n v="74"/>
    <x v="66"/>
    <s v="2026-01-03 07:22:31"/>
    <x v="2"/>
    <s v="2026-01-03 07:52:32"/>
    <s v="T735DYR =&gt; IDLING. At 03.01.2026 07:22:31 it moved with speed 0 km/h near 'T3, Copperbelt Province, Zambia, 4.53 km from Momba'."/>
    <s v="T3, 4.53 km from Momba"/>
    <n v="3"/>
  </r>
  <r>
    <n v="75"/>
    <x v="67"/>
    <s v="2026-01-03 07:32:38"/>
    <x v="2"/>
    <s v="2026-01-03 08:02:40"/>
    <s v="T511EBY =&gt; IDLING. At 03.01.2026 07:32:38 it moved with speed 0 km/h near 'T1, Morogoro, Tanzania, Bwawani'."/>
    <s v="T1, Bwawani"/>
    <n v="3"/>
  </r>
  <r>
    <n v="76"/>
    <x v="68"/>
    <s v="2026-01-03 07:43:35"/>
    <x v="2"/>
    <s v="2026-01-03 08:13:38"/>
    <s v="T586DYR =&gt; IDLING. At 03.01.2026 07:43:35 it moved with speed 0 km/h near 'T1, Mbeya, Tanzania, Ilolo'."/>
    <s v="T1, Ilolo"/>
    <n v="3"/>
  </r>
  <r>
    <n v="77"/>
    <x v="63"/>
    <s v="2026-01-03 07:46:30"/>
    <x v="2"/>
    <s v="2026-01-03 08:16:34"/>
    <s v="T335EBX =&gt; IDLING. At 03.01.2026 07:46:30 it moved with speed 0 km/h near 'T3, Copperbelt Province, Zambia, 4.49 km from Momba'."/>
    <s v="T3, 4.49 km from Momba"/>
    <n v="4"/>
  </r>
  <r>
    <n v="78"/>
    <x v="69"/>
    <s v="2026-01-03 08:25:15"/>
    <x v="2"/>
    <s v="2026-01-03 08:55:18"/>
    <s v="T651DTQ =&gt; IDLING. At 03.01.2026 08:25:15 it moved with speed 0 km/h near 'Iringa Road, Morogoro, Tanzania, 3.22 km from Kipera'."/>
    <s v="Iringa Road, 3.22 km from Kipera"/>
    <n v="3"/>
  </r>
  <r>
    <n v="79"/>
    <x v="70"/>
    <s v="2026-01-03 08:35:28"/>
    <x v="2"/>
    <s v="2026-01-03 09:05:29"/>
    <s v="T965EBW =&gt; IDLING. At 03.01.2026 08:35:28 it moved with speed 0 km/h near 'Dar Es Salaam Road, Morogoro, Tanzania'."/>
    <s v="Morogoro, Dar Es Salaam Road"/>
    <n v="3"/>
  </r>
  <r>
    <n v="80"/>
    <x v="71"/>
    <s v="2026-01-03 08:57:10"/>
    <x v="2"/>
    <s v="2026-01-03 09:27:10"/>
    <s v="T952DSX =&gt; IDLING. At 03.01.2026 08:57:10 it moved with speed 0 km/h near 'Iringa Road, Iringa, Tanzania, 1.16 km from Ruaha Mbuyumi'."/>
    <s v="Iringa Road, 1.16 km from Ruaha Mbuyumi"/>
    <n v="3"/>
  </r>
  <r>
    <n v="81"/>
    <x v="72"/>
    <s v="2026-01-03 09:19:54"/>
    <x v="2"/>
    <s v="2026-01-03 09:49:57"/>
    <s v="T804DYR =&gt; IDLING. At 03.01.2026 09:19:54 it moved with speed 0 km/h near 'T1, Njombe, Tanzania, 1.53 km from Nyololo'."/>
    <s v="T1, 1.53 km from Nyololo"/>
    <n v="4"/>
  </r>
  <r>
    <n v="82"/>
    <x v="73"/>
    <s v="2026-01-03 09:32:42"/>
    <x v="2"/>
    <s v="2026-01-03 10:02:44"/>
    <s v="T520EBY =&gt; IDLING. At 03.01.2026 09:32:42 it moved with speed 0 km/h near 'Great North Road, Central Province, Zambia, 17.75 km from Mkushi River'."/>
    <s v="Great North Road, 17.75 km from Mkushi River"/>
    <n v="4"/>
  </r>
  <r>
    <n v="83"/>
    <x v="74"/>
    <s v="2026-01-03 09:35:40"/>
    <x v="2"/>
    <s v="2026-01-03 10:05:40"/>
    <s v="T180EBX =&gt; IDLING. At 03.01.2026 09:35:40 it moved with speed 0 km/h near 'Great North Road, Central Province, Zambia, 16.27 km from Mkushi River'."/>
    <s v="Great North Road, 16.27 km from Mkushi River"/>
    <n v="4"/>
  </r>
  <r>
    <n v="84"/>
    <x v="75"/>
    <s v="2026-01-03 09:58:03"/>
    <x v="2"/>
    <s v="2026-01-03 10:28:06"/>
    <s v="T754DEB =&gt; IDLING. At 03.01.2026 09:58:03 it moved with speed 0 km/h near 'T3, Copperbelt Province, Zambia, 1.77 km from Momba'."/>
    <s v="T3, 1.77 km from Momba"/>
    <n v="4"/>
  </r>
  <r>
    <n v="85"/>
    <x v="76"/>
    <s v="2026-01-03 10:19:56"/>
    <x v="2"/>
    <s v="2026-01-03 10:50:00"/>
    <s v="T890EBW =&gt; IDLING. At 03.01.2026 10:19:56 it moved with speed 0 km/h near 'Great North Road, Central Province, Zambia, 2.69 km from Chimpati'."/>
    <s v="Great North Road, 2.69 km from Chimpati"/>
    <n v="3"/>
  </r>
  <r>
    <n v="86"/>
    <x v="77"/>
    <s v="2026-01-03 10:26:10"/>
    <x v="2"/>
    <s v="2026-01-03 10:56:10"/>
    <s v="T856EBY =&gt; IDLING. At 03.01.2026 10:26:10 it moved with speed 0 km/h near 'Great North Road, Central Province, Zambia, 15.02 km from Chitiwa'."/>
    <s v="Great North Road, 15.02 km from Chitiwa"/>
    <n v="5"/>
  </r>
  <r>
    <n v="87"/>
    <x v="27"/>
    <s v="2026-01-03 10:26:17"/>
    <x v="2"/>
    <s v="2026-01-03 10:56:21"/>
    <s v="T564DEB =&gt; IDLING. At 03.01.2026 10:26:17 it moved with speed 0 km/h near 'Great North Road, Central Province, Zambia, 15.00 km from Chitiwa'."/>
    <s v="Great North Road, 15.00 km from Chitiwa"/>
    <n v="5"/>
  </r>
  <r>
    <n v="88"/>
    <x v="12"/>
    <s v="2026-01-03 10:45:22"/>
    <x v="2"/>
    <s v="2026-01-03 11:15:24"/>
    <s v="T871EBW =&gt; IDLING. At 03.01.2026 10:45:22 it moved with speed 0 km/h near 'Ndola - Kitwe Dual-Carriageway, Copperbelt Province, Zambia, 33.18 km from Ndola'."/>
    <s v="Ndola - Kitwe Dual-Carriageway, 33.18 km from Ndola"/>
    <n v="5"/>
  </r>
  <r>
    <n v="89"/>
    <x v="36"/>
    <s v="2026-01-03 10:57:49"/>
    <x v="2"/>
    <s v="2026-01-03 11:27:51"/>
    <s v="T588DTQ =&gt; IDLING. At 03.01.2026 10:57:49 it moved with speed 0 km/h near 'Iringa Road, Iringa, Tanzania, Ruaha Mbuyumi'."/>
    <s v="Iringa Road, Ruaha Mbuyumi"/>
    <n v="3"/>
  </r>
  <r>
    <n v="90"/>
    <x v="78"/>
    <s v="2026-01-03 11:07:49"/>
    <x v="2"/>
    <s v="2026-01-03 11:37:53"/>
    <s v="T590DTQ =&gt; IDLING. At 03.01.2026 11:07:49 it moved with speed 0 km/h near 'Tanzam Road, Mbeya, Kalobe, Tanzania, 2.88 km from Mbeya'."/>
    <s v="Tanzam Road, 2.88 km from Mbeya"/>
    <n v="3"/>
  </r>
  <r>
    <n v="91"/>
    <x v="4"/>
    <s v="2026-01-03 11:18:40"/>
    <x v="2"/>
    <s v="2026-01-03 11:48:43"/>
    <s v="T517EBY =&gt; IDLING. At 03.01.2026 11:18:40 it moved with speed 0 km/h near 'Ndola - Kitwe Dual-Carriageway, Copperbelt Province, Zambia, 33.18 km from Ndola'."/>
    <s v="Ndola - Kitwe Dual-Carriageway, 33.18 km from Ndola"/>
    <n v="6"/>
  </r>
  <r>
    <n v="92"/>
    <x v="79"/>
    <s v="2026-01-03 11:51:01"/>
    <x v="2"/>
    <s v="2026-01-03 12:21:01"/>
    <s v="T875EBY =&gt; IDLING. At 03.01.2026 11:51:01 it moved with speed 0 km/h near 'Tanzam Road, Mbeya, Ilomba, Tanzania, Soweto Street - Mbeya'."/>
    <s v="Tanzam Road, Soweto Street - Mbeya"/>
    <n v="4"/>
  </r>
  <r>
    <n v="93"/>
    <x v="53"/>
    <s v="2026-01-03 12:26:31"/>
    <x v="2"/>
    <s v="2026-01-03 12:56:34"/>
    <s v="T838EBY =&gt; IDLING. At 03.01.2026 12:26:31 it moved with speed 0 km/h near 'T1, Njombe, Tanzania, Igawa'."/>
    <s v="T1, Igawa"/>
    <n v="3"/>
  </r>
  <r>
    <n v="94"/>
    <x v="13"/>
    <s v="2026-01-03 13:10:04"/>
    <x v="2"/>
    <s v="2026-01-03 13:40:06"/>
    <s v="T491DYR =&gt; IDLING. At 03.01.2026 13:10:04 it moved with speed 0 km/h near 'T1, Mbeya, Tanzania, Kongolo Mkola'."/>
    <s v="T1, Kongolo Mkola"/>
    <n v="4"/>
  </r>
  <r>
    <n v="95"/>
    <x v="5"/>
    <s v="2026-01-03 13:20:57"/>
    <x v="2"/>
    <s v="2026-01-03 13:50:58"/>
    <s v="T799DYR =&gt; IDLING. At 03.01.2026 13:20:57 it moved with speed 0 km/h near 'T1, Njombe, Tanzania, Igawa'."/>
    <s v="T1, Igawa"/>
    <n v="4"/>
  </r>
  <r>
    <n v="96"/>
    <x v="52"/>
    <s v="2026-01-03 13:23:49"/>
    <x v="2"/>
    <s v="2026-01-03 13:53:53"/>
    <s v="T331EBX =&gt; IDLING. At 03.01.2026 13:23:49 it moved with speed 0 km/h near 'T1, Mbeya, Tanzania, Kongolo Mkola'."/>
    <s v="T1, Kongolo Mkola"/>
    <n v="3"/>
  </r>
  <r>
    <n v="97"/>
    <x v="23"/>
    <s v="2026-01-03 15:00:56"/>
    <x v="2"/>
    <s v="2026-01-03 15:30:56"/>
    <s v="T326ECN =&gt; IDLING. At 03.01.2026 15:00:56 it moved with speed 0 km/h near 'Ndola - Kitwe Dual-Carriageway, Copperbelt Province, Zambia, 33.19 km from Ndola'."/>
    <s v="Ndola - Kitwe Dual-Carriageway, 33.19 km from Ndola"/>
    <n v="4"/>
  </r>
  <r>
    <n v="98"/>
    <x v="28"/>
    <s v="2026-01-03 15:16:30"/>
    <x v="2"/>
    <s v="2026-01-03 15:46:33"/>
    <s v="T299DCT =&gt; IDLING. At 03.01.2026 15:16:30 it moved with speed 0 km/h near 'Ndola - Kitwe Dual-Carriageway, Copperbelt Province, Zambia, 33.18 km from Ndola'."/>
    <s v="Ndola - Kitwe Dual-Carriageway, 33.18 km from Ndola"/>
    <n v="3"/>
  </r>
  <r>
    <n v="99"/>
    <x v="80"/>
    <s v="2026-01-03 15:24:55"/>
    <x v="2"/>
    <s v="2026-01-03 15:54:59"/>
    <s v="T153EBX =&gt; IDLING. At 03.01.2026 15:24:55 it moved with speed 0 km/h near 'Great North Road, Muchinga Province, Zambia, Chisoso'."/>
    <s v="Great North Road, Chisoso"/>
    <n v="3"/>
  </r>
  <r>
    <n v="100"/>
    <x v="81"/>
    <s v="2026-01-03 15:25:52"/>
    <x v="2"/>
    <s v="2026-01-03 15:55:56"/>
    <s v="T129EBX =&gt; IDLING. At 03.01.2026 15:25:52 it moved with speed 0 km/h near 'Great North Road, Muchinga Province, Zambia, Chisoso'."/>
    <s v="Great North Road, Chisoso"/>
    <n v="3"/>
  </r>
  <r>
    <n v="101"/>
    <x v="82"/>
    <s v="2026-01-03 15:27:04"/>
    <x v="2"/>
    <s v="2026-01-03 15:57:06"/>
    <s v="T318EBX =&gt; IDLING. At 03.01.2026 15:27:04 it moved with speed 0 km/h near 'Great North Road, Muchinga Province, Zambia, Chisoso'."/>
    <s v="Great North Road, Chisoso"/>
    <n v="3"/>
  </r>
  <r>
    <n v="102"/>
    <x v="50"/>
    <s v="2026-01-03 17:04:01"/>
    <x v="2"/>
    <s v="2026-01-03 17:34:01"/>
    <s v="T882EBW =&gt; IDLING. At 03.01.2026 17:04:01 it moved with speed 0 km/h near 'Ndola - Kitwe Dual-Carriageway, Copperbelt Province, Zambia, 33.20 km from Ndola'."/>
    <s v="Ndola - Kitwe Dual-Carriageway, 33.20 km from Ndola"/>
    <n v="3"/>
  </r>
  <r>
    <n v="103"/>
    <x v="83"/>
    <s v="2026-01-03 17:04:21"/>
    <x v="2"/>
    <s v="2026-01-03 17:34:21"/>
    <s v="T224EBX =&gt; IDLING. At 03.01.2026 17:04:21 it moved with speed 0 km/h near 'Tanzam Road, Mbeya, Kalobe, Tanzania, 2.37 km from Mbeya'."/>
    <s v="Tanzam Road, 2.37 km from Mbeya"/>
    <n v="3"/>
  </r>
  <r>
    <n v="104"/>
    <x v="56"/>
    <s v="2026-01-04 07:02:04"/>
    <x v="3"/>
    <s v="2026-01-04 07:32:08"/>
    <s v="T315EBX =&gt; IDLING. At 04.01.2026 07:02:04 it moved with speed 0 km/h near 'T3, Copperbelt Province, Zambia, 4.38 km from Konkola'."/>
    <s v="T3, 4.38 km from Konkola"/>
    <n v="3"/>
  </r>
  <r>
    <n v="105"/>
    <x v="84"/>
    <s v="2026-01-04 08:07:23"/>
    <x v="3"/>
    <s v="2026-01-04 08:37:27"/>
    <s v="T350DHG =&gt; IDLING. At 04.01.2026 08:07:23 it moved with speed 0 km/h near 'Iringa Road, Iringa, Tanzania, Masukanzi'."/>
    <s v="Iringa Road, Masukanzi"/>
    <n v="3"/>
  </r>
  <r>
    <n v="106"/>
    <x v="85"/>
    <s v="2026-01-04 10:46:09"/>
    <x v="3"/>
    <s v="2026-01-04 11:16:11"/>
    <s v="T509EBY =&gt; IDLING. At 04.01.2026 10:46:09 it moved with speed 0 km/h near 'Rn39, Lualaba, Democratic Republic of the Congo, 3.76 km from Kafwaya'."/>
    <s v="Rn39, 3.76 km from Kafwaya"/>
    <n v="3"/>
  </r>
  <r>
    <n v="107"/>
    <x v="4"/>
    <s v="2026-01-04 10:36:23"/>
    <x v="3"/>
    <s v="2026-01-04 11:06:24"/>
    <s v="T517EBY =&gt; IDLING. At 04.01.2026 10:36:23 it moved with speed 0 km/h near 'T3, Copperbelt Province, Zambia, 4.07 km from Momba'."/>
    <s v="T3, 4.07 km from Momba"/>
    <n v="3"/>
  </r>
  <r>
    <n v="108"/>
    <x v="86"/>
    <s v="2026-01-04 09:41:05"/>
    <x v="3"/>
    <s v="2026-01-04 10:11:08"/>
    <s v="T583DTQ =&gt; IDLING. At 04.01.2026 09:41:05 it moved with speed 0 km/h near 'T1, Morogoro, Tanzania, Bwawani'."/>
    <s v="T1, Bwawani"/>
    <n v="3"/>
  </r>
  <r>
    <n v="109"/>
    <x v="87"/>
    <s v="2026-01-04 12:08:32"/>
    <x v="3"/>
    <s v="2026-01-04 12:38:33"/>
    <s v="T598DTQ =&gt; IDLING. At 04.01.2026 12:08:32 it moved with speed 0 km/h near 'T3, Copperbelt Province, Zambia, 7.20 km from Konkola'."/>
    <s v="T3, 7.20 km from Konkola"/>
    <n v="3"/>
  </r>
  <r>
    <n v="110"/>
    <x v="88"/>
    <s v="2026-01-04 08:44:21"/>
    <x v="3"/>
    <s v="2026-01-04 09:14:21"/>
    <s v="T712EBX =&gt; IDLING. At 04.01.2026 08:44:21 it moved with speed 0 km/h near 'T3, Copperbelt Province, Zambia, 5.32 km from Bancroft'."/>
    <s v="T3, 5.32 km from Bancroft"/>
    <n v="3"/>
  </r>
  <r>
    <n v="111"/>
    <x v="89"/>
    <s v="2026-01-04 11:13:28"/>
    <x v="3"/>
    <s v="2026-01-04 11:43:32"/>
    <s v="T733EBX =&gt; IDLING. At 04.01.2026 11:13:28 it moved with speed 0 km/h near 'Ndola - Kitwe Dual-Carriageway, Copperbelt Province, Zambia, 33.18 km from Ndola'."/>
    <s v="Ndola - Kitwe Dual-Carriageway, 33.18 km from Ndola"/>
    <n v="6"/>
  </r>
  <r>
    <n v="112"/>
    <x v="90"/>
    <s v="2026-01-04 12:19:14"/>
    <x v="3"/>
    <s v="2026-01-04 12:49:15"/>
    <s v="T734EBX =&gt; IDLING. At 04.01.2026 12:19:14 it moved with speed 0 km/h near 'Iringa Road, Morogoro, Tanzania, 3.15 km from Kipera'."/>
    <s v="Iringa Road, 3.15 km from Kipera"/>
    <n v="3"/>
  </r>
  <r>
    <n v="113"/>
    <x v="65"/>
    <s v="2026-01-04 09:41:06"/>
    <x v="3"/>
    <s v="2026-01-04 10:11:08"/>
    <s v="T750EBX =&gt; IDLING. At 04.01.2026 09:41:06 it moved with speed 0 km/h near 'Tanzania To Zambia Road, Iringa, Mufindi, Tanzania, Kibena'."/>
    <s v="Tanzania To Zambia Road, Kibena"/>
    <n v="4"/>
  </r>
  <r>
    <n v="114"/>
    <x v="75"/>
    <s v="2026-01-04 08:08:30"/>
    <x v="3"/>
    <s v="2026-01-04 08:38:32"/>
    <s v="T754DEB =&gt; IDLING. At 04.01.2026 08:08:30 it moved with speed 0 km/h near 'T3, Copperbelt Province, Zambia, 4.76 km from Konkola'."/>
    <s v="T3, 4.76 km from Konkola"/>
    <n v="3"/>
  </r>
  <r>
    <n v="115"/>
    <x v="91"/>
    <s v="2026-01-04 18:24:04"/>
    <x v="3"/>
    <s v="2026-01-04 18:54:06"/>
    <s v="T778DYR =&gt; IDLING. At 04.01.2026 18:24:04 it moved with speed 0 km/h near 'Tanzam Road, Mbeya, Ilomba, Tanzania, 1.67 km from Soweto Street - Mbeya'."/>
    <s v="Tanzam Road, 1.67 km from Soweto Street - Mbeya"/>
    <n v="3"/>
  </r>
  <r>
    <n v="116"/>
    <x v="92"/>
    <s v="2026-01-04 09:57:41"/>
    <x v="3"/>
    <s v="2026-01-04 10:27:43"/>
    <s v="T797EBW =&gt; IDLING. At 04.01.2026 09:57:41 it moved with speed 0 km/h near 'Ndola - Kitwe Dual-Carriageway, Copperbelt Province, Zambia, 33.21 km from Ndola'."/>
    <s v="Ndola - Kitwe Dual-Carriageway, 33.21 km from Ndola"/>
    <n v="5"/>
  </r>
  <r>
    <n v="117"/>
    <x v="93"/>
    <s v="2026-01-04 10:12:28"/>
    <x v="3"/>
    <s v="2026-01-04 10:42:31"/>
    <s v="T820DDS =&gt; IDLING. At 04.01.2026 10:12:28 it moved with speed 0 km/h near 'Great North Road, Muchinga Province, Zambia, 4.11 km from Isoka'."/>
    <s v="Great North Road, 4.11 km from Isoka"/>
    <n v="3"/>
  </r>
  <r>
    <n v="118"/>
    <x v="94"/>
    <s v="2026-01-04 10:52:56"/>
    <x v="3"/>
    <s v="2026-01-04 11:22:57"/>
    <s v="T862EBY =&gt; IDLING. At 04.01.2026 10:52:56 it moved with speed 0 km/h near 'Ndola - Kitwe Dual-Carriageway, Copperbelt Province, Zambia, 33.24 km from Ndola'."/>
    <s v="Ndola - Kitwe Dual-Carriageway, 33.24 km from Ndola"/>
    <n v="3"/>
  </r>
  <r>
    <n v="119"/>
    <x v="1"/>
    <s v="2026-01-04 06:15:10"/>
    <x v="3"/>
    <s v="2026-01-04 06:45:12"/>
    <s v="T867EBY =&gt; IDLING. At 04.01.2026 06:15:10 it moved with speed 0 km/h near 'Tanzam Road, Mbeya, Kalobe, Tanzania, 2.37 km from Mbeya'."/>
    <s v="Tanzam Road, 2.37 km from Mbeya"/>
    <n v="5"/>
  </r>
  <r>
    <n v="120"/>
    <x v="50"/>
    <s v="2026-01-04 08:44:26"/>
    <x v="3"/>
    <s v="2026-01-04 09:44:49"/>
    <s v="T882EBW =&gt; IDLING. At 04.01.2026 08:44:26 it moved with speed 0 km/h near 'T3, Copperbelt Province, Zambia, 5.34 km from Bancroft'."/>
    <s v="T3, 5.34 km from Bancroft"/>
    <n v="4"/>
  </r>
  <r>
    <n v="121"/>
    <x v="0"/>
    <s v="2026-01-04 07:17:19"/>
    <x v="3"/>
    <s v="2026-01-04 07:47:20"/>
    <s v="T930EBW =&gt; IDLING. At 04.01.2026 07:17:19 it moved with speed 0 km/h near 'T1, Mbeya, Tanzania, Makwenje'."/>
    <s v="T1, Makwenje"/>
    <n v="5"/>
  </r>
  <r>
    <n v="122"/>
    <x v="95"/>
    <s v="2026-01-04 11:58:28"/>
    <x v="3"/>
    <s v="2026-01-04 12:28:31"/>
    <s v="T964EBW =&gt; IDLING. At 04.01.2026 11:58:28 it moved with speed 0 km/h near 'T1, Njombe, Tanzania, Igawa'."/>
    <s v="T1, Igawa"/>
    <n v="3"/>
  </r>
  <r>
    <n v="123"/>
    <x v="96"/>
    <s v="2026-01-05 10:53:07"/>
    <x v="4"/>
    <s v="2026-01-05 11:23:09"/>
    <s v="T188EBX =&gt; IDLING. At 05.01.2026 10:53:07 it moved with speed 0 km/h near 'Ndola - Kitwe Dual-Carriageway, Copperbelt Province, Zambia, 33.20 km from Ndola'."/>
    <s v="Ndola - Kitwe Dual-Carriageway, 33.20 km from Ndola"/>
    <n v="5"/>
  </r>
  <r>
    <n v="124"/>
    <x v="97"/>
    <s v="2026-01-05 10:21:51"/>
    <x v="4"/>
    <s v="2026-01-05 10:51:52"/>
    <s v="T227EBX =&gt; IDLING. At 05.01.2026 10:21:51 it moved with speed 0 km/h near 'M3, Luapula Province, Zambia, 2.77 km from Chembe'."/>
    <s v="M3, 2.77 km from Chembe"/>
    <n v="3"/>
  </r>
  <r>
    <n v="125"/>
    <x v="98"/>
    <s v="2026-01-05 10:38:11"/>
    <x v="4"/>
    <s v="2026-01-05 11:08:11"/>
    <s v="T276DDJ =&gt; IDLING. At 05.01.2026 10:38:11 it moved with speed 0 km/h near 'Ndola - Kitwe Dual-Carriageway, Copperbelt Province, Zambia, 33.19 km from Ndola'."/>
    <s v="Ndola - Kitwe Dual-Carriageway, 33.19 km from Ndola"/>
    <n v="3"/>
  </r>
  <r>
    <n v="126"/>
    <x v="99"/>
    <s v="2026-01-05 09:58:20"/>
    <x v="4"/>
    <s v="2026-01-05 10:28:22"/>
    <s v="T282EBY =&gt; IDLING. At 05.01.2026 09:58:20 it moved with speed 0 km/h near 'T3, Copperbelt Province, Zambia, 6.57 km from Bancroft'."/>
    <s v="T3, 6.57 km from Bancroft"/>
    <n v="3"/>
  </r>
  <r>
    <n v="127"/>
    <x v="100"/>
    <s v="2026-01-05 10:02:32"/>
    <x v="4"/>
    <s v="2026-01-05 10:32:33"/>
    <s v="T402ECN =&gt; IDLING. At 05.01.2026 10:02:32 it moved with speed 0 km/h near 'T1, Mbeya, Uyole, Tanzania, Itewe'."/>
    <s v="T1, Itewe"/>
    <n v="5"/>
  </r>
  <r>
    <n v="128"/>
    <x v="101"/>
    <s v="2026-01-05 10:33:09"/>
    <x v="4"/>
    <s v="2026-01-05 11:03:10"/>
    <s v="T427DHG =&gt; IDLING. At 05.01.2026 10:33:09 it moved with speed 0 km/h near 'M3, Luapula Province, Zambia, 2.83 km from Chembe'."/>
    <s v="M3, 2.83 km from Chembe"/>
    <n v="5"/>
  </r>
  <r>
    <n v="129"/>
    <x v="102"/>
    <s v="2026-01-05 09:06:16"/>
    <x v="4"/>
    <s v="2026-01-05 09:36:18"/>
    <s v="T499DYR =&gt; IDLING. At 05.01.2026 09:06:16 it moved with speed 0 km/h near 'Iringa Road, Morogoro, Tanzania, Doma'."/>
    <s v="Iringa Road, Doma"/>
    <n v="3"/>
  </r>
  <r>
    <n v="130"/>
    <x v="43"/>
    <s v="2026-01-05 10:33:19"/>
    <x v="4"/>
    <s v="2026-01-05 11:03:20"/>
    <s v="T515EBY =&gt; IDLING. At 05.01.2026 10:33:19 it moved with speed 0 km/h near 'M3, Luapula Province, Zambia, 2.75 km from Chembe'."/>
    <s v="M3, 2.75 km from Chembe"/>
    <n v="3"/>
  </r>
  <r>
    <n v="131"/>
    <x v="103"/>
    <s v="2026-01-05 10:39:30"/>
    <x v="4"/>
    <s v="2026-01-05 11:09:31"/>
    <s v="T571DYR =&gt; IDLING. At 05.01.2026 10:39:30 it moved with speed 0 km/h near 'M3, Luapula Province, Zambia, 2.74 km from Chembe'."/>
    <s v="M3, 2.74 km from Chembe"/>
    <n v="3"/>
  </r>
  <r>
    <n v="132"/>
    <x v="104"/>
    <s v="2026-01-05 13:46:02"/>
    <x v="4"/>
    <s v="2026-01-05 14:16:04"/>
    <s v="T577DTQ =&gt; IDLING. At 05.01.2026 13:46:02 it moved with speed 0 km/h near 'Tanzam Road, Mbeya, Ilomba, Tanzania, 1.15 km from Soweto Street - Mbeya'."/>
    <s v="Tanzam Road, 1.15 km from Soweto Street - Mbeya"/>
    <n v="4"/>
  </r>
  <r>
    <n v="133"/>
    <x v="105"/>
    <s v="2026-01-05 10:30:21"/>
    <x v="4"/>
    <s v="2026-01-05 11:00:25"/>
    <s v="T579DYR =&gt; IDLING. At 05.01.2026 10:30:21 it moved with speed 0 km/h near 'Rn39, Lualaba, Democratic Republic of the Congo, 3.74 km from Kafwaya'."/>
    <s v="Rn39, 3.74 km from Kafwaya"/>
    <n v="3"/>
  </r>
  <r>
    <n v="134"/>
    <x v="106"/>
    <s v="2026-01-05 11:33:30"/>
    <x v="4"/>
    <s v="2026-01-05 12:03:31"/>
    <s v="T583DYR =&gt; IDLING. At 05.01.2026 11:33:30 it moved with speed 0 km/h near 'Ndola - Kitwe Dual-Carriageway, Copperbelt Province, Zambia, 33.27 km from Ndola'."/>
    <s v="Ndola - Kitwe Dual-Carriageway, 33.27 km from Ndola"/>
    <n v="3"/>
  </r>
  <r>
    <n v="135"/>
    <x v="107"/>
    <s v="2026-01-05 10:32:49"/>
    <x v="4"/>
    <s v="2026-01-05 11:02:50"/>
    <s v="T584DYR =&gt; IDLING. At 05.01.2026 10:32:49 it moved with speed 0 km/h near 'M3, Luapula Province, Zambia, 2.84 km from Chembe'."/>
    <s v="M3, 2.84 km from Chembe"/>
    <n v="5"/>
  </r>
  <r>
    <n v="136"/>
    <x v="78"/>
    <s v="2026-01-05 10:33:08"/>
    <x v="4"/>
    <s v="2026-01-05 11:03:10"/>
    <s v="T590DTQ =&gt; IDLING. At 05.01.2026 10:33:08 it moved with speed 0 km/h near 'Tanzania To Zambia Road, Iringa, Mufindi, Tanzania, 1.76 km from Ifunda'."/>
    <s v="Tanzania To Zambia Road, 1.76 km from Ifunda"/>
    <n v="4"/>
  </r>
  <r>
    <n v="137"/>
    <x v="108"/>
    <s v="2026-01-05 08:16:09"/>
    <x v="4"/>
    <s v="2026-01-05 08:46:12"/>
    <s v="T592DTQ =&gt; IDLING. At 05.01.2026 08:16:09 it moved with speed 0 km/h near 'T1, Njombe, Tanzania, Igawa'."/>
    <s v="T1, Igawa"/>
    <n v="3"/>
  </r>
  <r>
    <n v="138"/>
    <x v="109"/>
    <s v="2026-01-05 10:33:19"/>
    <x v="4"/>
    <s v="2026-01-05 11:03:20"/>
    <s v="T594DTQ =&gt; IDLING. At 05.01.2026 10:33:19 it moved with speed 0 km/h near 'Tanzania To Zambia Road, Iringa, Mufindi, Tanzania, 1.79 km from Ifunda'."/>
    <s v="Tanzania To Zambia Road, 1.79 km from Ifunda"/>
    <n v="3"/>
  </r>
  <r>
    <n v="139"/>
    <x v="49"/>
    <s v="2026-01-05 11:57:38"/>
    <x v="4"/>
    <s v="2026-01-05 12:27:42"/>
    <s v="T732DEB =&gt; IDLING. At 05.01.2026 11:57:38 it moved with speed 0 km/h near 'Tanzam Road, Mbeya, Mbozi, Tanzania, Songwe Viwandani'."/>
    <s v="Tanzam Road, Songwe Viwandani"/>
    <n v="3"/>
  </r>
  <r>
    <n v="140"/>
    <x v="89"/>
    <s v="2026-01-05 09:08:48"/>
    <x v="4"/>
    <s v="2026-01-05 09:38:48"/>
    <s v="T733EBX =&gt; IDLING. At 05.01.2026 09:08:48 it moved with speed 0 km/h near 'T3, Copperbelt Province, Zambia, 2.40 km from Momba'."/>
    <s v="T3, 2.40 km from Momba"/>
    <n v="4"/>
  </r>
  <r>
    <n v="141"/>
    <x v="90"/>
    <s v="2026-01-05 08:50:45"/>
    <x v="4"/>
    <s v="2026-01-05 09:20:46"/>
    <s v="T734EBX =&gt; IDLING. At 05.01.2026 08:50:45 it moved with speed 0 km/h near 'Iringa Road, Lundamatwe, Iringa, Tanzania'."/>
    <s v="Lundamatwe, Iringa Road"/>
    <n v="3"/>
  </r>
  <r>
    <n v="142"/>
    <x v="110"/>
    <s v="2026-01-05 08:35:29"/>
    <x v="4"/>
    <s v="2026-01-05 09:05:30"/>
    <s v="T756EBX =&gt; IDLING. At 05.01.2026 08:35:29 it moved with speed 0 km/h near 'Tanzam Road, Mbeya, Mbozi, Tanzania, Mbalizi'."/>
    <s v="Tanzam Road, Mbalizi"/>
    <n v="3"/>
  </r>
  <r>
    <n v="143"/>
    <x v="111"/>
    <s v="2026-01-05 07:29:05"/>
    <x v="4"/>
    <s v="2026-01-05 07:59:06"/>
    <s v="T770DYR =&gt; IDLING. At 05.01.2026 07:29:05 it moved with speed 0 km/h near 'Great North Road, Muchinga Province, Zambia, 12.54 km from Mkasi'."/>
    <s v="Great North Road, 12.54 km from Mkasi"/>
    <n v="3"/>
  </r>
  <r>
    <n v="144"/>
    <x v="26"/>
    <s v="2026-01-05 11:39:05"/>
    <x v="4"/>
    <s v="2026-01-05 12:09:06"/>
    <s v="T772DYR =&gt; IDLING. At 05.01.2026 11:39:05 it moved with speed 0 km/h near 'Ndola - Kitwe Dual-Carriageway, Copperbelt Province, Zambia, 33.27 km from Ndola'."/>
    <s v="Ndola - Kitwe Dual-Carriageway, 33.27 km from Ndola"/>
    <n v="3"/>
  </r>
  <r>
    <n v="145"/>
    <x v="46"/>
    <s v="2026-01-05 10:43:40"/>
    <x v="4"/>
    <s v="2026-01-05 11:13:43"/>
    <s v="T796DYR =&gt; IDLING. At 05.01.2026 10:43:40 it moved with speed 0 km/h near 'M3, Luapula Province, Zambia, 2.73 km from Chembe'."/>
    <s v="M3, 2.73 km from Chembe"/>
    <n v="3"/>
  </r>
  <r>
    <n v="146"/>
    <x v="112"/>
    <s v="2026-01-05 09:04:25"/>
    <x v="4"/>
    <s v="2026-01-05 09:34:28"/>
    <s v="T797DYR =&gt; IDLING. At 05.01.2026 09:04:25 it moved with speed 0 km/h near 'Kabwe Dust, Mbeya, Iyela, Tanzania, Mbeya'."/>
    <s v="Kabwe Dust, Mbeya"/>
    <n v="3"/>
  </r>
  <r>
    <n v="147"/>
    <x v="92"/>
    <s v="2026-01-05 08:09:35"/>
    <x v="4"/>
    <s v="2026-01-05 08:39:37"/>
    <s v="T797EBW =&gt; IDLING. At 05.01.2026 08:09:35 it moved with speed 0 km/h near 'T3, Copperbelt Province, Zambia, 4.25 km from Momba'."/>
    <s v="T3, 4.25 km from Momba"/>
    <n v="3"/>
  </r>
  <r>
    <n v="148"/>
    <x v="113"/>
    <s v="2026-01-05 10:42:22"/>
    <x v="4"/>
    <s v="2026-01-05 11:12:23"/>
    <s v="T806DYR =&gt; IDLING. At 05.01.2026 10:42:22 it moved with speed 0 km/h near 'M3, Luapula Province, Zambia, 2.75 km from Chembe'."/>
    <s v="M3, 2.75 km from Chembe"/>
    <n v="4"/>
  </r>
  <r>
    <n v="149"/>
    <x v="93"/>
    <s v="2026-01-05 13:05:39"/>
    <x v="4"/>
    <s v="2026-01-05 13:35:43"/>
    <s v="T820DDS =&gt; IDLING. At 05.01.2026 13:05:39 it moved with speed 0 km/h near 'Great North Road, Central Province, Zambia, 11.11 km from Kanona'."/>
    <s v="Great North Road, 11.11 km from Kanona"/>
    <n v="3"/>
  </r>
  <r>
    <n v="150"/>
    <x v="114"/>
    <s v="2026-01-05 13:18:28"/>
    <x v="4"/>
    <s v="2026-01-05 13:48:28"/>
    <s v="T850EBY =&gt; IDLING. At 05.01.2026 13:18:28 it moved with speed 0 km/h near 'Tanzam Road, Mbeya, Kalobe, Tanzania, 2.29 km from Mbeya'."/>
    <s v="Tanzam Road, 2.29 km from Mbeya"/>
    <n v="4"/>
  </r>
  <r>
    <n v="151"/>
    <x v="115"/>
    <s v="2026-01-05 08:49:58"/>
    <x v="4"/>
    <s v="2026-01-05 09:20:01"/>
    <s v="T909EBW =&gt; IDLING. At 05.01.2026 08:49:58 it moved with speed 0 km/h near 'Tanzam Road, Mbeya, Mbozi, Tanzania, Mbalizi'."/>
    <s v="Tanzam Road, Mbalizi"/>
    <n v="3"/>
  </r>
  <r>
    <n v="152"/>
    <x v="116"/>
    <s v="2026-01-05 09:58:42"/>
    <x v="4"/>
    <s v="2026-01-05 10:28:42"/>
    <s v="T957DSX =&gt; IDLING. At 05.01.2026 09:58:42 it moved with speed 0 km/h near 'Tanzam Road, Mbeya, Ilomba, Tanzania, 1.11 km from Uyole'."/>
    <s v="Tanzam Road, 1.11 km from Uyole"/>
    <n v="3"/>
  </r>
  <r>
    <n v="153"/>
    <x v="70"/>
    <s v="2026-01-05 13:18:12"/>
    <x v="4"/>
    <s v="2026-01-05 13:48:13"/>
    <s v="T965EBW =&gt; IDLING. At 05.01.2026 13:18:12 it moved with speed 0 km/h near 'Tanzam Road, Mbeya, Kalobe, Tanzania, 2.31 km from Mbeya'."/>
    <s v="Tanzam Road, 2.31 km from Mbeya"/>
    <n v="3"/>
  </r>
  <r>
    <n v="154"/>
    <x v="117"/>
    <s v="2026-01-06 12:33:30"/>
    <x v="5"/>
    <s v="2026-01-06 13:09:00"/>
    <s v="T107EBX =&gt; IDLING. At 06.01.2026 12:33:30 it moved with speed 0 km/h near 'Great North Road, Muchinga Province, Zambia, 12.18 km from Chikwanda'."/>
    <s v="Great North Road, 12.18 km from Chikwanda"/>
    <n v="3"/>
  </r>
  <r>
    <n v="155"/>
    <x v="118"/>
    <s v="2026-01-06 11:19:35"/>
    <x v="5"/>
    <s v="2026-01-06 11:54:50"/>
    <s v="T126EBX =&gt; IDLING. At 06.01.2026 11:19:35 it moved with speed 0 km/h near 'Iringa Road, Morogoro, Kilosa, Tanzania, Kidayi 'A''."/>
    <s v="Iringa Road, Kidayi 'A'"/>
    <n v="3"/>
  </r>
  <r>
    <n v="156"/>
    <x v="119"/>
    <s v="2026-01-06 11:27:01"/>
    <x v="5"/>
    <s v="2026-01-06 11:57:05"/>
    <s v="T263DDJ =&gt; IDLING. At 06.01.2026 11:27:01 it moved with speed 0 km/h near 'Ndola - Kitwe Dual-Carriageway, Copperbelt Province, Zambia, 33.22 km from Ndola'."/>
    <s v="Ndola - Kitwe Dual-Carriageway, 33.22 km from Ndola"/>
    <n v="3"/>
  </r>
  <r>
    <n v="157"/>
    <x v="99"/>
    <s v="2026-01-06 08:13:05"/>
    <x v="5"/>
    <s v="2026-01-06 08:43:05"/>
    <s v="T282EBY =&gt; IDLING. At 06.01.2026 08:13:05 it moved with speed 0 km/h near 'T3, Copperbelt Province, Zambia, 3.74 km from Momba'."/>
    <s v="T3, 3.74 km from Momba"/>
    <n v="3"/>
  </r>
  <r>
    <n v="158"/>
    <x v="120"/>
    <s v="2026-01-06 11:04:44"/>
    <x v="5"/>
    <s v="2026-01-06 11:34:47"/>
    <s v="T336ECN =&gt; IDLING. At 06.01.2026 11:04:44 it moved with speed 0 km/h near 'Great North Road, Central Province, Zambia, 7.50 km from Mkushi'."/>
    <s v="Great North Road, 7.50 km from Mkushi"/>
    <n v="3"/>
  </r>
  <r>
    <n v="159"/>
    <x v="121"/>
    <s v="2026-01-06 09:25:21"/>
    <x v="5"/>
    <s v="2026-01-06 09:55:21"/>
    <s v="T343EBX =&gt; IDLING. At 06.01.2026 09:25:21 it moved with speed 0 km/h near 'Great North Road, Muchinga Province, Zambia, Chinunda'."/>
    <s v="Great North Road, Chinunda"/>
    <n v="3"/>
  </r>
  <r>
    <n v="160"/>
    <x v="122"/>
    <s v="2026-01-06 08:00:24"/>
    <x v="5"/>
    <s v="2026-01-06 08:30:27"/>
    <s v="T384ECN =&gt; IDLING. At 06.01.2026 08:00:24 it moved with speed 0 km/h near 'T3, Copperbelt Province, Zambia, 3.87 km from Momba'."/>
    <s v="T3, 3.87 km from Momba"/>
    <n v="3"/>
  </r>
  <r>
    <n v="161"/>
    <x v="123"/>
    <s v="2026-01-06 02:07:24"/>
    <x v="5"/>
    <s v="2026-01-06 02:37:25"/>
    <s v="T386ECN =&gt; IDLING. At 06.01.2026 02:07:24 it moved with speed 0 km/h near 'Morogoro Main Road, Pwani, Kibaha, Tanzania, 23.67 km from Dar Es Salaam'."/>
    <s v="Morogoro Main Road, 23.67 km from Dar Es Salaam"/>
    <n v="3"/>
  </r>
  <r>
    <n v="162"/>
    <x v="124"/>
    <s v="2026-01-06 12:51:27"/>
    <x v="5"/>
    <s v="2026-01-06 13:31:42"/>
    <s v="T413DHE =&gt; IDLING. At 06.01.2026 12:51:27 it moved with speed 0 km/h near 'Ndola - Kitwe Dual-Carriageway, Copperbelt Province, Zambia, 33.21 km from Ndola'."/>
    <s v="Ndola - Kitwe Dual-Carriageway, 33.21 km from Ndola"/>
    <n v="4"/>
  </r>
  <r>
    <n v="163"/>
    <x v="125"/>
    <s v="2026-01-06 09:24:01"/>
    <x v="5"/>
    <s v="2026-01-06 09:54:01"/>
    <s v="T494DYR =&gt; IDLING. At 06.01.2026 09:24:01 it moved with speed 0 km/h near 'Great North Road, Muchinga Province, Zambia, Chinunda'."/>
    <s v="Great North Road, Chinunda"/>
    <n v="3"/>
  </r>
  <r>
    <n v="164"/>
    <x v="102"/>
    <s v="2026-01-06 13:05:25"/>
    <x v="5"/>
    <s v="2026-01-06 13:35:28"/>
    <s v="T499DYR =&gt; IDLING. At 06.01.2026 13:05:25 it moved with speed 0 km/h near 'T1, Mbeya, Tanzania, Isitu'."/>
    <s v="T1, Isitu"/>
    <n v="4"/>
  </r>
  <r>
    <n v="165"/>
    <x v="126"/>
    <s v="2026-01-06 11:29:27"/>
    <x v="5"/>
    <s v="2026-01-06 11:59:30"/>
    <s v="T513EBY =&gt; IDLING. At 06.01.2026 11:29:27 it moved with speed 0 km/h near 'T1, Njombe, Tanzania, Igawa'."/>
    <s v="T1, Igawa"/>
    <n v="3"/>
  </r>
  <r>
    <n v="166"/>
    <x v="127"/>
    <s v="2026-01-06 15:37:18"/>
    <x v="5"/>
    <s v="2026-01-06 16:07:20"/>
    <s v="T561DYR =&gt; IDLING. At 06.01.2026 15:37:18 it moved with speed 0 km/h near 'Great North Road, Muchinga Province, Zambia, 5.57 km from Two Leopards'."/>
    <s v="Great North Road, 5.57 km from Two Leopards"/>
    <n v="3"/>
  </r>
  <r>
    <n v="167"/>
    <x v="128"/>
    <s v="2026-01-06 16:04:14"/>
    <x v="5"/>
    <s v="2026-01-06 16:34:17"/>
    <s v="T572DYR =&gt; IDLING. At 06.01.2026 16:04:14 it moved with speed 0 km/h near 'T3, Copperbelt Province, Zambia, 10.50 km from Chambishi'."/>
    <s v="T3, 10.50 km from Chambishi"/>
    <n v="3"/>
  </r>
  <r>
    <n v="168"/>
    <x v="78"/>
    <s v="2026-01-06 06:44:34"/>
    <x v="5"/>
    <s v="2026-01-06 07:14:34"/>
    <s v="T590DTQ =&gt; IDLING. At 06.01.2026 06:44:34 it moved with speed 0 km/h near 'Iringa Road, Morogoro, Kilosa, Tanzania, Kikwaraza'."/>
    <s v="Iringa Road, Kikwaraza"/>
    <n v="5"/>
  </r>
  <r>
    <n v="169"/>
    <x v="129"/>
    <s v="2026-01-06 11:18:36"/>
    <x v="5"/>
    <s v="2026-01-06 11:48:38"/>
    <s v="T661DTQ =&gt; IDLING. At 06.01.2026 11:18:36 it moved with speed 0 km/h near 'Dar - Mbeya Highway, Iringa, Tanzania, Ndiuka'."/>
    <s v="Dar - Mbeya Highway, Ndiuka"/>
    <n v="4"/>
  </r>
  <r>
    <n v="170"/>
    <x v="130"/>
    <s v="2026-01-06 11:42:31"/>
    <x v="5"/>
    <s v="2026-01-06 12:12:32"/>
    <s v="T710EBX =&gt; IDLING. At 06.01.2026 11:42:31 it moved with speed 0 km/h near 'Tanzam Road, Mbeya, Kalobe, Tanzania, 2.37 km from Mbeya'."/>
    <s v="Tanzam Road, 2.37 km from Mbeya"/>
    <n v="3"/>
  </r>
  <r>
    <n v="171"/>
    <x v="131"/>
    <s v="2026-01-06 12:31:13"/>
    <x v="5"/>
    <s v="2026-01-06 13:30:32"/>
    <s v="T721DEB =&gt; IDLING. At 06.01.2026 12:31:13 it moved with speed 0 km/h near 'Great North Road, Muchinga Province, Zambia, 12.20 km from Chikwanda'."/>
    <s v="Great North Road, 12.20 km from Chikwanda"/>
    <n v="3"/>
  </r>
  <r>
    <n v="172"/>
    <x v="90"/>
    <s v="2026-01-06 12:15:17"/>
    <x v="5"/>
    <s v="2026-01-06 12:45:19"/>
    <s v="T734EBX =&gt; IDLING. At 06.01.2026 12:15:17 it moved with speed 0 km/h near 'T1, Mbeya, Tanzania, Kongolo Mkola'."/>
    <s v="T1, Kongolo Mkola"/>
    <n v="3"/>
  </r>
  <r>
    <n v="173"/>
    <x v="92"/>
    <s v="2026-01-06 09:08:52"/>
    <x v="5"/>
    <s v="2026-01-06 09:38:52"/>
    <s v="T797EBW =&gt; IDLING. At 06.01.2026 09:08:52 it moved with speed 0 km/h near 'T3, Copperbelt Province, Zambia, 4.84 km from Konkola'."/>
    <s v="T3, 4.84 km from Konkola"/>
    <n v="4"/>
  </r>
  <r>
    <n v="174"/>
    <x v="132"/>
    <s v="2026-01-06 12:04:10"/>
    <x v="5"/>
    <s v="2026-01-06 12:34:12"/>
    <s v="T802DYR =&gt; IDLING. At 06.01.2026 12:04:10 it moved with speed 0 km/h near 'Great North Road, Central Province, Zambia, 11.51 km from Kanona'."/>
    <s v="Great North Road, 11.51 km from Kanona"/>
    <n v="3"/>
  </r>
  <r>
    <n v="175"/>
    <x v="133"/>
    <s v="2026-01-06 12:29:44"/>
    <x v="5"/>
    <s v="2026-01-06 12:59:47"/>
    <s v="T812EBW =&gt; IDLING. At 06.01.2026 12:29:44 it moved with speed 0 km/h near 'Great North Road, Muchinga Province, Zambia, 12.20 km from Chikwanda'."/>
    <s v="Great North Road, 12.20 km from Chikwanda"/>
    <n v="3"/>
  </r>
  <r>
    <n v="176"/>
    <x v="93"/>
    <s v="2026-01-06 12:32:19"/>
    <x v="5"/>
    <s v="2026-01-06 13:02:23"/>
    <s v="T820DDS =&gt; IDLING. At 06.01.2026 12:32:19 it moved with speed 0 km/h near 'Ndola - Kitwe Dual-Carriageway, Copperbelt Province, Zambia, 33.19 km from Ndola'."/>
    <s v="Ndola - Kitwe Dual-Carriageway, 33.19 km from Ndola"/>
    <n v="5"/>
  </r>
  <r>
    <n v="177"/>
    <x v="134"/>
    <s v="2026-01-06 11:07:08"/>
    <x v="5"/>
    <s v="2026-01-06 11:37:11"/>
    <s v="T878EBW =&gt; IDLING. At 06.01.2026 11:07:08 it moved with speed 0 km/h near 'Great North Road, Central Province, Zambia, 7.48 km from Mkushi'."/>
    <s v="Great North Road, 7.48 km from Mkushi"/>
    <n v="3"/>
  </r>
  <r>
    <n v="178"/>
    <x v="135"/>
    <s v="2026-01-06 14:13:51"/>
    <x v="5"/>
    <s v="2026-01-06 14:43:52"/>
    <s v="T954EBW =&gt; IDLING. At 06.01.2026 14:13:51 it moved with speed 0 km/h near 'T1, Pwani, Bagamoyo, Tanzania, Ruvu Darajani'."/>
    <s v="T1, Ruvu Darajani"/>
    <n v="4"/>
  </r>
  <r>
    <n v="179"/>
    <x v="136"/>
    <s v="2026-01-06 08:43:01"/>
    <x v="5"/>
    <s v="2026-01-06 09:13:03"/>
    <s v="T975EBW =&gt; IDLING. At 06.01.2026 08:43:01 it moved with speed 0 km/h near 'T1, Mbeya, Tanzania, Mangere'."/>
    <s v="T1, Mangere"/>
    <n v="3"/>
  </r>
  <r>
    <n v="180"/>
    <x v="137"/>
    <s v="2026-01-07 07:59:20"/>
    <x v="6"/>
    <s v="2026-01-07 08:29:23"/>
    <s v="T127EBX =&gt; IDLING. At 07.01.2026 07:59:20 it moved with speed 0 km/h near 'President, Copperbelt Province, Zambia, 1.97 km from Kalulushi'."/>
    <s v="President, 1.97 km from Kalulushi"/>
    <n v="3"/>
  </r>
  <r>
    <n v="181"/>
    <x v="96"/>
    <s v="2026-01-07 09:44:28"/>
    <x v="6"/>
    <s v="2026-01-07 10:14:28"/>
    <s v="T188EBX =&gt; IDLING. At 07.01.2026 09:44:28 it moved with speed 0 km/h near 'T3, Copperbelt Province, Zambia, 2.67 km from Momba'."/>
    <s v="T3, 2.67 km from Momba"/>
    <n v="4"/>
  </r>
  <r>
    <n v="182"/>
    <x v="138"/>
    <s v="2026-01-07 10:01:06"/>
    <x v="6"/>
    <s v="2026-01-07 10:31:10"/>
    <s v="T232EBX =&gt; IDLING. At 07.01.2026 10:01:06 it moved with speed 0 km/h near 'Route De La Mine Deziwa, Lualaba, Democratic Republic of the Congo, 5.72 km from Kisenda'."/>
    <s v="Route De La Mine Deziwa, 5.72 km from Kisenda"/>
    <n v="3"/>
  </r>
  <r>
    <n v="183"/>
    <x v="119"/>
    <s v="2026-01-07 12:51:54"/>
    <x v="6"/>
    <s v="2026-01-07 13:30:46"/>
    <s v="T263DDJ =&gt; IDLING. At 07.01.2026 12:51:54 it moved with speed 0 km/h near 'Great North Road, Central Province, Zambia, 4.59 km from Chifwefwe B'."/>
    <s v="Great North Road, 4.59 km from Chifwefwe B"/>
    <n v="3"/>
  </r>
  <r>
    <n v="184"/>
    <x v="139"/>
    <s v="2026-01-07 13:17:01"/>
    <x v="6"/>
    <s v="2026-01-07 13:47:01"/>
    <s v="T314DDJ =&gt; IDLING. At 07.01.2026 13:17:01 it moved with speed 0 km/h near 'Iringa Road, Iringa, Tanzania, Ruaha Mbuyumi'."/>
    <s v="Iringa Road, Ruaha Mbuyumi"/>
    <n v="3"/>
  </r>
  <r>
    <n v="185"/>
    <x v="140"/>
    <s v="2026-01-07 07:47:15"/>
    <x v="6"/>
    <s v="2026-01-07 08:17:15"/>
    <s v="T379ECN =&gt; IDLING. At 07.01.2026 07:47:15 it moved with speed 0 km/h near 'Ndola - Kitwe Dual-Carriageway, Copperbelt Province, Zambia, 33.20 km from Ndola'."/>
    <s v="Ndola - Kitwe Dual-Carriageway, 33.20 km from Ndola"/>
    <n v="3"/>
  </r>
  <r>
    <n v="186"/>
    <x v="123"/>
    <s v="2026-01-07 07:38:55"/>
    <x v="6"/>
    <s v="2026-01-07 08:08:58"/>
    <s v="T386ECN =&gt; IDLING. At 07.01.2026 07:38:55 it moved with speed 0 km/h near 'Dar Es Salaam Road, Morogoro, Tanzania'."/>
    <s v="Morogoro, Dar Es Salaam Road"/>
    <n v="3"/>
  </r>
  <r>
    <n v="187"/>
    <x v="141"/>
    <s v="2026-01-07 14:51:16"/>
    <x v="6"/>
    <s v="2026-01-07 15:21:18"/>
    <s v="T387ECN =&gt; IDLING. At 07.01.2026 14:51:16 it moved with speed 0 km/h near 'Rn39, Lualaba, Democratic Republic of the Congo, 3.85 km from Kafwaya'."/>
    <s v="Rn39, 3.85 km from Kafwaya"/>
    <n v="3"/>
  </r>
  <r>
    <n v="188"/>
    <x v="142"/>
    <s v="2026-01-07 07:30:36"/>
    <x v="6"/>
    <s v="2026-01-07 08:00:38"/>
    <s v="T404DHG =&gt; IDLING. At 07.01.2026 07:30:36 it moved with speed 0 km/h near 'T3, Copperbelt Province, Zambia, 4.70 km from Bancroft'."/>
    <s v="T3, 4.70 km from Bancroft"/>
    <n v="5"/>
  </r>
  <r>
    <n v="189"/>
    <x v="51"/>
    <s v="2026-01-07 09:13:39"/>
    <x v="6"/>
    <s v="2026-01-07 09:43:43"/>
    <s v="T406DHG =&gt; IDLING. At 07.01.2026 09:13:39 it moved with speed 0 km/h near 'Great North Road, Muchinga Province, Zambia, Mutumbo'."/>
    <s v="Great North Road, Mutumbo"/>
    <n v="3"/>
  </r>
  <r>
    <n v="190"/>
    <x v="124"/>
    <s v="2026-01-07 10:44:45"/>
    <x v="6"/>
    <s v="2026-01-07 11:14:47"/>
    <s v="T413DHE =&gt; IDLING. At 07.01.2026 10:44:45 it moved with speed 0 km/h near 'T3, Copperbelt Province, Zambia, 5.86 km from Bancroft'."/>
    <s v="T3, 5.86 km from Bancroft"/>
    <n v="4"/>
  </r>
  <r>
    <n v="191"/>
    <x v="143"/>
    <s v="2026-01-07 08:08:02"/>
    <x v="6"/>
    <s v="2026-01-07 08:38:03"/>
    <s v="T443DHG =&gt; IDLING. At 07.01.2026 08:08:02 it moved with speed 0 km/h near 'President, Copperbelt Province, Zambia, 1.89 km from Kalulushi'."/>
    <s v="President, 1.89 km from Kalulushi"/>
    <n v="4"/>
  </r>
  <r>
    <n v="192"/>
    <x v="103"/>
    <s v="2026-01-07 12:42:00"/>
    <x v="6"/>
    <s v="2026-01-07 13:12:02"/>
    <s v="T571DYR =&gt; IDLING. At 07.01.2026 12:42:00 it moved with speed 0 km/h near 'T1, Mbeya, Tanzania, Makwenje'."/>
    <s v="T1, Makwenje"/>
    <n v="3"/>
  </r>
  <r>
    <n v="193"/>
    <x v="128"/>
    <s v="2026-01-07 06:34:07"/>
    <x v="6"/>
    <s v="2026-01-07 07:04:11"/>
    <s v="T572DYR =&gt; IDLING. At 07.01.2026 06:34:07 it moved with speed 0 km/h near 'T3, Copperbelt Province, Zambia, 8.95 km from Chingola'."/>
    <s v="T3, 8.95 km from Chingola"/>
    <n v="5"/>
  </r>
  <r>
    <n v="194"/>
    <x v="106"/>
    <s v="2026-01-07 08:11:07"/>
    <x v="6"/>
    <s v="2026-01-07 08:41:07"/>
    <s v="T583DYR =&gt; IDLING. At 07.01.2026 08:11:07 it moved with speed 0 km/h near 'T3, Copperbelt Province, Zambia, 4.21 km from Momba'."/>
    <s v="T3, 4.21 km from Momba"/>
    <n v="4"/>
  </r>
  <r>
    <n v="195"/>
    <x v="32"/>
    <s v="2026-01-07 11:50:28"/>
    <x v="6"/>
    <s v="2026-01-07 12:20:30"/>
    <s v="T712DYR =&gt; IDLING. At 07.01.2026 11:50:28 it moved with speed 0 km/h near 'Great North Road, Muchinga Province, Zambia, 3.88 km from Chinkumba'."/>
    <s v="Great North Road, 3.88 km from Chinkumba"/>
    <n v="3"/>
  </r>
  <r>
    <n v="196"/>
    <x v="144"/>
    <s v="2026-01-07 08:02:35"/>
    <x v="6"/>
    <s v="2026-01-07 08:32:36"/>
    <s v="T716DYR =&gt; IDLING. At 07.01.2026 08:02:35 it moved with speed 0 km/h near 'President, Copperbelt Province, Zambia, 1.91 km from Kalulushi'."/>
    <s v="President, 1.91 km from Kalulushi"/>
    <n v="3"/>
  </r>
  <r>
    <n v="197"/>
    <x v="145"/>
    <s v="2026-01-07 07:59:15"/>
    <x v="6"/>
    <s v="2026-01-07 08:29:18"/>
    <s v="T732DYR =&gt; IDLING. At 07.01.2026 07:59:15 it moved with speed 0 km/h near 'President, Copperbelt Province, Zambia, 1.95 km from Kalulushi'."/>
    <s v="President, 1.95 km from Kalulushi"/>
    <n v="4"/>
  </r>
  <r>
    <n v="198"/>
    <x v="7"/>
    <s v="2026-01-07 11:26:18"/>
    <x v="6"/>
    <s v="2026-01-07 11:56:18"/>
    <s v="T737DEB =&gt; IDLING. At 07.01.2026 11:26:18 it moved with speed 0 km/h near 'Central Street, Copperbelt Province, Zambia, 3.52 km from Kitwe'."/>
    <s v="Central Street, 3.52 km from Kitwe"/>
    <n v="4"/>
  </r>
  <r>
    <n v="199"/>
    <x v="146"/>
    <s v="2026-01-07 09:57:23"/>
    <x v="6"/>
    <s v="2026-01-07 10:27:25"/>
    <s v="T745EBX =&gt; IDLING. At 07.01.2026 09:57:23 it moved with speed 0 km/h near 'Tanzania To Zambia Road, Iringa, Mufindi, Tanzania, 3.96 km from Ihefu'."/>
    <s v="Tanzania To Zambia Road, 3.96 km from Ihefu"/>
    <n v="3"/>
  </r>
  <r>
    <n v="200"/>
    <x v="111"/>
    <s v="2026-01-07 09:14:01"/>
    <x v="6"/>
    <s v="2026-01-07 09:44:03"/>
    <s v="T770DYR =&gt; IDLING. At 07.01.2026 09:14:01 it moved with speed 0 km/h near 'President, Copperbelt Province, Zambia, 1.97 km from Kalulushi'."/>
    <s v="President, 1.97 km from Kalulushi"/>
    <n v="5"/>
  </r>
  <r>
    <n v="201"/>
    <x v="26"/>
    <s v="2026-01-07 08:11:05"/>
    <x v="6"/>
    <s v="2026-01-07 08:41:07"/>
    <s v="T772DYR =&gt; IDLING. At 07.01.2026 08:11:05 it moved with speed 0 km/h near 'T3, Copperbelt Province, Zambia, 4.23 km from Momba'."/>
    <s v="T3, 4.23 km from Momba"/>
    <n v="4"/>
  </r>
  <r>
    <n v="202"/>
    <x v="147"/>
    <s v="2026-01-07 18:21:10"/>
    <x v="6"/>
    <s v="2026-01-07 18:51:11"/>
    <s v="T776EBW =&gt; IDLING. At 07.01.2026 18:21:10 it moved with speed 0 km/h near 'Iringa Road, Morogoro, Kilosa, Tanzania, Kikwaraza'."/>
    <s v="Iringa Road, Kikwaraza"/>
    <n v="3"/>
  </r>
  <r>
    <n v="203"/>
    <x v="93"/>
    <s v="2026-01-07 10:42:54"/>
    <x v="6"/>
    <s v="2026-01-07 11:12:56"/>
    <s v="T820DDS =&gt; IDLING. At 07.01.2026 10:42:54 it moved with speed 0 km/h near 'T3, Copperbelt Province, Zambia, 5.84 km from Bancroft'."/>
    <s v="T3, 5.84 km from Bancroft"/>
    <n v="4"/>
  </r>
  <r>
    <n v="204"/>
    <x v="148"/>
    <s v="2026-01-07 07:32:00"/>
    <x v="6"/>
    <s v="2026-01-07 08:02:03"/>
    <s v="T835EBY =&gt; IDLING. At 07.01.2026 07:32:00 it moved with speed 0 km/h near 'Iringa Road, Morogoro, Tanzania, 3.18 km from Kipera'."/>
    <s v="Iringa Road, 3.18 km from Kipera"/>
    <n v="3"/>
  </r>
  <r>
    <n v="205"/>
    <x v="149"/>
    <s v="2026-01-07 14:38:26"/>
    <x v="6"/>
    <s v="2026-01-07 15:08:30"/>
    <s v="T866EBY =&gt; IDLING. At 07.01.2026 14:38:26 it moved with speed 0 km/h near 'Rn39, Lualaba, Democratic Republic of the Congo, 3.85 km from Kafwaya'."/>
    <s v="Rn39, 3.85 km from Kafwaya"/>
    <n v="4"/>
  </r>
  <r>
    <n v="206"/>
    <x v="150"/>
    <s v="2026-01-07 08:10:11"/>
    <x v="6"/>
    <s v="2026-01-07 08:40:12"/>
    <s v="T868EBW =&gt; IDLING. At 07.01.2026 08:10:11 it moved with speed 0 km/h near 'Ndola - Kitwe Dual-Carriageway, Copperbelt Province, Zambia, 33.24 km from Ndola'."/>
    <s v="Ndola - Kitwe Dual-Carriageway, 33.24 km from Ndola"/>
    <n v="3"/>
  </r>
  <r>
    <n v="207"/>
    <x v="151"/>
    <s v="2026-01-07 11:16:38"/>
    <x v="6"/>
    <s v="2026-01-07 11:46:41"/>
    <s v="T910EBW =&gt; IDLING. At 07.01.2026 11:16:38 it moved with speed 0 km/h near 'Ndola - Kitwe Dual-Carriageway, Copperbelt Province, Zambia, 33.22 km from Ndola'."/>
    <s v="Ndola - Kitwe Dual-Carriageway, 33.22 km from Ndola"/>
    <n v="3"/>
  </r>
  <r>
    <n v="208"/>
    <x v="152"/>
    <s v="2026-01-07 06:45:29"/>
    <x v="6"/>
    <s v="2026-01-07 07:15:32"/>
    <s v="T939EBW =&gt; IDLING. At 07.01.2026 06:45:29 it moved with speed 0 km/h near 'Ndola - Kitwe Dual-Carriageway, Copperbelt Province, Zambia, 33.22 km from Ndola'."/>
    <s v="Ndola - Kitwe Dual-Carriageway, 33.22 km from Ndola"/>
    <n v="4"/>
  </r>
  <r>
    <n v="209"/>
    <x v="153"/>
    <s v="2026-01-07 10:22:19"/>
    <x v="6"/>
    <s v="2026-01-07 10:52:21"/>
    <s v="T950EBW =&gt; IDLING. At 07.01.2026 10:22:19 it moved with speed 0 km/h near 'Iringa Road, Morogoro, Tanzania, 3.21 km from Kipera'."/>
    <s v="Iringa Road, 3.21 km from Kipera"/>
    <n v="3"/>
  </r>
  <r>
    <n v="210"/>
    <x v="154"/>
    <s v="2026-01-07 09:55:30"/>
    <x v="6"/>
    <s v="2026-01-07 10:25:30"/>
    <s v="T993EBW =&gt; IDLING. At 07.01.2026 09:55:30 it moved with speed 0 km/h near 'T3, Copperbelt Province, Zambia, 7.85 km from Chingola'."/>
    <s v="T3, 7.85 km from Chingola"/>
    <n v="3"/>
  </r>
  <r>
    <n v="211"/>
    <x v="139"/>
    <s v="2026-01-08 08:38:26"/>
    <x v="7"/>
    <s v="2026-01-08 09:08:26"/>
    <s v="T314DDJ =&gt; IDLING. At 08.01.2026 08:38:26 it moved with speed 0 km/h near 'T1, Morogoro, Tanzania, Bwawani'."/>
    <s v="T1, Bwawani"/>
    <n v="3"/>
  </r>
  <r>
    <n v="212"/>
    <x v="21"/>
    <s v="2026-01-08 09:30:36"/>
    <x v="7"/>
    <s v="2026-01-08 10:00:36"/>
    <s v="T337EBX =&gt; IDLING. At 08.01.2026 09:30:36 it moved with speed 0 km/h near 'Great North Road, Muchinga Province, Zambia, 16.57 km from Godfrey Kunda'."/>
    <s v="Great North Road, 16.57 km from Godfrey Kunda"/>
    <n v="3"/>
  </r>
  <r>
    <n v="213"/>
    <x v="84"/>
    <s v="2026-01-08 08:49:32"/>
    <x v="7"/>
    <s v="2026-01-08 09:19:34"/>
    <s v="T350DHG =&gt; IDLING. At 08.01.2026 08:49:32 it moved with speed 0 km/h near 'T1, Morogoro, Tanzania, 3.60 km from Bwawani'."/>
    <s v="T1, 3.60 km from Bwawani"/>
    <n v="3"/>
  </r>
  <r>
    <n v="214"/>
    <x v="155"/>
    <s v="2026-01-08 11:03:46"/>
    <x v="7"/>
    <s v="2026-01-08 11:33:50"/>
    <s v="T360DHG =&gt; IDLING. At 08.01.2026 11:03:46 it moved with speed 0 km/h near 'Ndola - Kitwe Dual-Carriageway, Copperbelt Province, Zambia, 33.18 km from Ndola'."/>
    <s v="Ndola - Kitwe Dual-Carriageway, 33.18 km from Ndola"/>
    <n v="6"/>
  </r>
  <r>
    <n v="215"/>
    <x v="123"/>
    <s v="2026-01-08 09:00:49"/>
    <x v="7"/>
    <s v="2026-01-08 09:38:03"/>
    <s v="T386ECN =&gt; IDLING. At 08.01.2026 09:00:49 it moved with speed 0 km/h near 'Tanzania To Zambia Road, Iringa, Mufindi, Tanzania, Tanangozi'."/>
    <s v="Tanzania To Zambia Road, Tanangozi"/>
    <n v="3"/>
  </r>
  <r>
    <n v="216"/>
    <x v="156"/>
    <s v="2026-01-08 09:15:48"/>
    <x v="7"/>
    <s v="2026-01-08 09:45:48"/>
    <s v="T425DHG =&gt; IDLING. At 08.01.2026 09:15:48 it moved with speed 0 km/h near 'Tanzam Road, Mbeya, Kalobe, Tanzania, 2.40 km from Mbeya'."/>
    <s v="Tanzam Road, 2.40 km from Mbeya"/>
    <n v="3"/>
  </r>
  <r>
    <n v="217"/>
    <x v="60"/>
    <s v="2026-01-08 10:47:03"/>
    <x v="7"/>
    <s v="2026-01-08 11:17:04"/>
    <s v="T510EBY =&gt; IDLING. At 08.01.2026 10:47:03 it moved with speed 0 km/h near 'Great North Road, Central Province, Zambia, 3.30 km from Mkushi'."/>
    <s v="Great North Road, 3.30 km from Mkushi"/>
    <n v="3"/>
  </r>
  <r>
    <n v="218"/>
    <x v="157"/>
    <s v="2026-01-08 13:29:57"/>
    <x v="7"/>
    <s v="2026-01-08 14:00:01"/>
    <s v="T518EBY =&gt; IDLING. At 08.01.2026 13:29:57 it moved with speed 0 km/h near 'T1, Pwani, Bagamoyo, Tanzania, Msolwa'."/>
    <s v="T1, Msolwa"/>
    <n v="3"/>
  </r>
  <r>
    <n v="219"/>
    <x v="158"/>
    <s v="2026-01-08 18:36:40"/>
    <x v="7"/>
    <s v="2026-01-08 19:06:41"/>
    <s v="T579DTQ =&gt; IDLING. At 08.01.2026 18:36:40 it moved with speed 0 km/h near 'Morogoro Main Road, Dar Es Salaam, Tanzania'."/>
    <s v="Dar Es Salaam, Morogoro Main Road"/>
    <n v="4"/>
  </r>
  <r>
    <n v="220"/>
    <x v="107"/>
    <s v="2026-01-08 09:48:12"/>
    <x v="7"/>
    <s v="2026-01-08 10:18:14"/>
    <s v="T584DYR =&gt; IDLING. At 08.01.2026 09:48:12 it moved with speed 0 km/h near 'Iringa Road, Iringa, Tanzania, 6.97 km from Mahenge'."/>
    <s v="Iringa Road, 6.97 km from Mahenge"/>
    <n v="3"/>
  </r>
  <r>
    <n v="221"/>
    <x v="159"/>
    <s v="2026-01-08 11:03:40"/>
    <x v="7"/>
    <s v="2026-01-08 11:33:40"/>
    <s v="T678EBX =&gt; IDLING. At 08.01.2026 11:03:40 it moved with speed 0 km/h near 'Ndola - Kitwe Dual-Carriageway, Copperbelt Province, Zambia, 33.20 km from Ndola'."/>
    <s v="Ndola - Kitwe Dual-Carriageway, 33.20 km from Ndola"/>
    <n v="3"/>
  </r>
  <r>
    <n v="222"/>
    <x v="131"/>
    <s v="2026-01-08 10:06:49"/>
    <x v="7"/>
    <s v="2026-01-08 10:36:49"/>
    <s v="T721DEB =&gt; IDLING. At 08.01.2026 10:06:49 it moved with speed 0 km/h near 'T1, Mbeya, Mbozi, Tanzania, 2.37 km from Idiga Songwe'."/>
    <s v="T1, 2.37 km from Idiga Songwe"/>
    <n v="4"/>
  </r>
  <r>
    <n v="223"/>
    <x v="31"/>
    <s v="2026-01-08 09:49:35"/>
    <x v="7"/>
    <s v="2026-01-08 10:19:36"/>
    <s v="T724DYR =&gt; IDLING. At 08.01.2026 09:49:35 it moved with speed 0 km/h near 'Iringa Road, Iringa, Tanzania, Masukanzi'."/>
    <s v="Iringa Road, Masukanzi"/>
    <n v="3"/>
  </r>
  <r>
    <n v="224"/>
    <x v="111"/>
    <s v="2026-01-08 13:21:00"/>
    <x v="7"/>
    <s v="2026-01-08 13:51:00"/>
    <s v="T770DYR =&gt; IDLING. At 08.01.2026 13:21:00 it moved with speed 0 km/h near 'T3, Copperbelt Province, Zambia, 4.56 km from Momba'."/>
    <s v="T3, 4.56 km from Momba"/>
    <n v="3"/>
  </r>
  <r>
    <n v="225"/>
    <x v="160"/>
    <s v="2026-01-08 08:15:04"/>
    <x v="7"/>
    <s v="2026-01-08 08:45:06"/>
    <s v="T804EBW =&gt; IDLING. At 08.01.2026 08:15:04 it moved with speed 0 km/h near 'Tanzam Road, Mbeya, Kalobe, Tanzania, 2.37 km from Mbeya'."/>
    <s v="Tanzam Road, 2.37 km from Mbeya"/>
    <n v="3"/>
  </r>
  <r>
    <n v="226"/>
    <x v="161"/>
    <s v="2026-01-08 10:06:51"/>
    <x v="7"/>
    <s v="2026-01-08 10:36:54"/>
    <s v="T873EBW =&gt; IDLING. At 08.01.2026 10:06:51 it moved with speed 0 km/h near 'T1, Mbeya, Mbozi, Tanzania, 2.35 km from Idiga Songwe'."/>
    <s v="T1, 2.35 km from Idiga Songwe"/>
    <n v="3"/>
  </r>
  <r>
    <n v="227"/>
    <x v="151"/>
    <s v="2026-01-08 08:03:39"/>
    <x v="7"/>
    <s v="2026-01-08 08:33:40"/>
    <s v="T910EBW =&gt; IDLING. At 08.01.2026 08:03:39 it moved with speed 0 km/h near 'T3, Copperbelt Province, Zambia, 4.48 km from Momba'."/>
    <s v="T3, 4.48 km from Momba"/>
    <n v="4"/>
  </r>
  <r>
    <n v="228"/>
    <x v="162"/>
    <s v="2026-01-08 09:21:06"/>
    <x v="7"/>
    <s v="2026-01-08 09:51:10"/>
    <s v="T927EBW =&gt; IDLING. At 08.01.2026 09:21:06 it moved with speed 0 km/h near 'Iringa Road, Morogoro, Tanzania, 3.23 km from Kipera'."/>
    <s v="Iringa Road, 3.23 km from Kipera"/>
    <n v="4"/>
  </r>
  <r>
    <n v="229"/>
    <x v="153"/>
    <s v="2026-01-08 14:50:42"/>
    <x v="7"/>
    <s v="2026-01-08 15:20:44"/>
    <s v="T950EBW =&gt; IDLING. At 08.01.2026 14:50:42 it moved with speed 0 km/h near 'T1, Njombe, Tanzania, 2.34 km from Iyai'."/>
    <s v="T1, 2.34 km from Iyai"/>
    <n v="3"/>
  </r>
  <r>
    <n v="230"/>
    <x v="163"/>
    <s v="2026-01-08 18:32:18"/>
    <x v="7"/>
    <s v="2026-01-08 19:02:19"/>
    <s v="T955DSX =&gt; IDLING. At 08.01.2026 18:32:18 it moved with speed 0 km/h near 'Ndola - Kitwe Dual-Carriageway, Copperbelt Province, Zambia, 33.22 km from Ndola'."/>
    <s v="Ndola - Kitwe Dual-Carriageway, 33.22 km from Ndola"/>
    <n v="3"/>
  </r>
  <r>
    <n v="231"/>
    <x v="164"/>
    <s v="2026-01-08 15:30:40"/>
    <x v="7"/>
    <s v="2026-01-08 16:00:40"/>
    <s v="T959DSX =&gt; IDLING. At 08.01.2026 15:30:40 it moved with speed 0 km/h near 'Tanzam Road, Mbeya, Mbozi, Tanzania, Mbalizi'."/>
    <s v="Tanzam Road, Mbalizi"/>
    <n v="3"/>
  </r>
  <r>
    <n v="232"/>
    <x v="154"/>
    <s v="2026-01-08 07:53:58"/>
    <x v="7"/>
    <s v="2026-01-08 08:24:03"/>
    <s v="T993EBW =&gt; IDLING. At 08.01.2026 07:53:58 it moved with speed 0 km/h near 'T3, Copperbelt Province, Zambia, 4.69 km from Momba'."/>
    <s v="T3, 4.69 km from Momba"/>
    <n v="4"/>
  </r>
  <r>
    <m/>
    <x v="117"/>
    <s v="2026-01-09 10:04:19"/>
    <x v="8"/>
    <s v="2026-01-09 10:34:19"/>
    <s v="T107EBX =&gt; IDLING. At 09.01.2026 10:04:19 it moved with speed 0 km/h near 'T1, Njombe, Tanzania, 1.48 km from Nyololo'."/>
    <s v="T1, 1.48 km from Nyololo"/>
    <n v="3"/>
  </r>
  <r>
    <m/>
    <x v="165"/>
    <s v="2026-01-09 06:47:51"/>
    <x v="8"/>
    <s v="2026-01-09 07:17:55"/>
    <s v="T149EBX =&gt; IDLING. At 09.01.2026 06:47:51 it moved with speed 0 km/h near 'T1, Mbeya, Tanzania, Makwenje'."/>
    <s v="T1, Makwenje"/>
    <n v="3"/>
  </r>
  <r>
    <m/>
    <x v="166"/>
    <s v="2026-01-09 12:16:41"/>
    <x v="8"/>
    <s v="2026-01-09 12:46:43"/>
    <s v="T154EBX =&gt; IDLING. At 09.01.2026 12:16:41 it moved with speed 0 km/h near 'Iringa Road, Lundamatwe, Iringa, Tanzania'."/>
    <s v="Lundamatwe, Iringa Road"/>
    <n v="3"/>
  </r>
  <r>
    <m/>
    <x v="167"/>
    <s v="2026-01-09 15:34:25"/>
    <x v="8"/>
    <s v="2026-01-09 16:04:28"/>
    <s v="T335ECN =&gt; IDLING. At 09.01.2026 15:34:25 it moved with speed 0 km/h near 'Rue De La Kamoa Mine, Lualaba, Democratic Republic of the Congo, 26.77 km from Kapata'."/>
    <s v="Rue De La Kamoa Mine, 26.77 km from Kapata"/>
    <n v="5"/>
  </r>
  <r>
    <m/>
    <x v="168"/>
    <s v="2026-01-09 08:32:08"/>
    <x v="8"/>
    <s v="2026-01-09 09:02:11"/>
    <s v="T342DHG =&gt; IDLING. At 09.01.2026 08:32:08 it moved with speed 0 km/h near 'T1, Mbeya, Mbozi, Tanzania, Mlowo'."/>
    <s v="T1, Mlowo"/>
    <n v="4"/>
  </r>
  <r>
    <m/>
    <x v="121"/>
    <s v="2026-01-09 09:35:49"/>
    <x v="8"/>
    <s v="2026-01-09 10:05:49"/>
    <s v="T343EBX =&gt; IDLING. At 09.01.2026 09:35:49 it moved with speed 0 km/h near 'Tanzam Road, Mbeya, Mbozi, Tanzania, 1.60 km from Mbalizi'."/>
    <s v="Tanzam Road, 1.60 km from Mbalizi"/>
    <n v="3"/>
  </r>
  <r>
    <m/>
    <x v="155"/>
    <s v="2026-01-09 07:56:50"/>
    <x v="8"/>
    <s v="2026-01-09 08:26:52"/>
    <s v="T360DHG =&gt; IDLING. At 09.01.2026 07:56:50 it moved with speed 0 km/h near 'T3, Copperbelt Province, Zambia, 4.85 km from Momba'."/>
    <s v="T3, 4.85 km from Momba"/>
    <n v="4"/>
  </r>
  <r>
    <m/>
    <x v="169"/>
    <s v="2026-01-09 15:36:59"/>
    <x v="8"/>
    <s v="2026-01-09 16:07:03"/>
    <s v="T407DHE =&gt; IDLING. At 09.01.2026 15:36:59 it moved with speed 0 km/h near 'Rue De La Kamoa Mine, Lualaba, Democratic Republic of the Congo, 26.81 km from Kapata'."/>
    <s v="Rue De La Kamoa Mine, 26.81 km from Kapata"/>
    <n v="5"/>
  </r>
  <r>
    <m/>
    <x v="170"/>
    <s v="2026-01-09 08:02:02"/>
    <x v="8"/>
    <s v="2026-01-09 08:32:02"/>
    <s v="T416DHG =&gt; IDLING. At 09.01.2026 08:02:02 it moved with speed 0 km/h near 'Iringa Road, Morogoro, Kilosa, Tanzania, Kikwaraza'."/>
    <s v="Iringa Road, Kikwaraza"/>
    <n v="3"/>
  </r>
  <r>
    <m/>
    <x v="34"/>
    <s v="2026-01-09 10:09:06"/>
    <x v="8"/>
    <s v="2026-01-09 10:39:06"/>
    <s v="T444DHG =&gt; IDLING. At 09.01.2026 10:09:06 it moved with speed 0 km/h near 'Ndola - Kitwe Dual-Carriageway, Copperbelt Province, Zambia, 33.18 km from Ndola'."/>
    <s v="Ndola - Kitwe Dual-Carriageway, 33.18 km from Ndola"/>
    <n v="4"/>
  </r>
  <r>
    <m/>
    <x v="171"/>
    <s v="2026-01-09 10:37:35"/>
    <x v="8"/>
    <s v="2026-01-09 11:07:38"/>
    <s v="T528EBY =&gt; IDLING. At 09.01.2026 10:37:35 it moved with speed 0 km/h near 'Iringa Road, Morogoro, Tanzania, Doma'."/>
    <s v="Iringa Road, Doma"/>
    <n v="3"/>
  </r>
  <r>
    <m/>
    <x v="172"/>
    <s v="2026-01-09 12:52:00"/>
    <x v="8"/>
    <s v="2026-01-09 13:22:00"/>
    <s v="T576DTQ =&gt; IDLING. At 09.01.2026 12:52:00 it moved with speed 0 km/h near 'T3, Central Province, Zambia, 6.95 km from Kapiri Mposhi'."/>
    <s v="T3, 6.95 km from Kapiri Mposhi"/>
    <n v="3"/>
  </r>
  <r>
    <m/>
    <x v="158"/>
    <s v="2026-01-09 01:40:59"/>
    <x v="8"/>
    <s v="2026-01-09 02:10:59"/>
    <s v="T579DTQ =&gt; IDLING. At 09.01.2026 01:40:59 it moved with speed 0 km/h near 'Morogoro Main Road, Dar Es Salaam, Tanzania'."/>
    <s v="Dar Es Salaam, Morogoro Main Road"/>
    <n v="5"/>
  </r>
  <r>
    <m/>
    <x v="173"/>
    <s v="2026-01-09 07:28:24"/>
    <x v="8"/>
    <s v="2026-01-09 07:58:28"/>
    <s v="T600DTQ =&gt; IDLING. At 09.01.2026 07:28:24 it moved with speed 0 km/h near 'Tanzania To Zambia Road, Iringa, Mufindi, Tanzania, Kinyanambo'."/>
    <s v="Tanzania To Zambia Road, Kinyanambo"/>
    <n v="3"/>
  </r>
  <r>
    <m/>
    <x v="174"/>
    <s v="2026-01-09 12:16:56"/>
    <x v="8"/>
    <s v="2026-01-09 12:46:58"/>
    <s v="T676EBX =&gt; IDLING. At 09.01.2026 12:16:56 it moved with speed 0 km/h near 'Iringa Road, Lundamatwe, Iringa, Tanzania'."/>
    <s v="Lundamatwe, Iringa Road"/>
    <n v="3"/>
  </r>
  <r>
    <m/>
    <x v="175"/>
    <s v="2026-01-09 00:22:09"/>
    <x v="8"/>
    <s v="2026-01-09 00:52:11"/>
    <s v="T680EBX =&gt; IDLING. At 09.01.2026 00:22:09 it moved with speed 0 km/h near 'Iringa Road, Morogoro, Tanzania, Melela Mlandizi'."/>
    <s v="Iringa Road, Melela Mlandizi"/>
    <n v="3"/>
  </r>
  <r>
    <m/>
    <x v="176"/>
    <s v="2026-01-09 12:46:08"/>
    <x v="8"/>
    <s v="2026-01-09 13:16:08"/>
    <s v="T703EBX =&gt; IDLING. At 09.01.2026 12:46:08 it moved with speed 0 km/h near 'T3, Central Province, Zambia, 6.93 km from Kapiri Mposhi'."/>
    <s v="T3, 6.93 km from Kapiri Mposhi"/>
    <n v="3"/>
  </r>
  <r>
    <m/>
    <x v="19"/>
    <s v="2026-01-09 01:29:21"/>
    <x v="8"/>
    <s v="2026-01-09 01:59:22"/>
    <s v="T728DYR =&gt; IDLING. At 09.01.2026 01:29:21 it moved with speed 0 km/h near 'T3, Copperbelt Province, Zambia, 6.13 km from Bancroft'."/>
    <s v="T3, 6.13 km from Bancroft"/>
    <n v="8"/>
  </r>
  <r>
    <m/>
    <x v="177"/>
    <s v="2026-01-09 13:37:32"/>
    <x v="8"/>
    <s v="2026-01-09 14:07:32"/>
    <s v="T735EBX =&gt; IDLING. At 09.01.2026 13:37:32 it moved with speed 0 km/h near 'Rn1, Haut-Katanga, Democratic Republic of the Congo, 4.19 km from Lwambo'."/>
    <s v="Rn1, 4.19 km from Lwambo"/>
    <n v="3"/>
  </r>
  <r>
    <m/>
    <x v="178"/>
    <s v="2026-01-09 10:48:51"/>
    <x v="8"/>
    <s v="2026-01-09 11:18:51"/>
    <s v="T781EBW =&gt; IDLING. At 09.01.2026 10:48:51 it moved with speed 0 km/h near 'Route De Likasi, Lubumbashi, Haut-Katanga, Democratic Republic of the Congo'."/>
    <s v="Lubumbashi, Route De Likasi"/>
    <n v="3"/>
  </r>
  <r>
    <m/>
    <x v="46"/>
    <s v="2026-01-09 09:10:08"/>
    <x v="8"/>
    <s v="2026-01-09 09:40:11"/>
    <s v="T796DYR =&gt; IDLING. At 09.01.2026 09:10:08 it moved with speed 0 km/h near 'T1, Morogoro, Tanzania, Mkambarani'."/>
    <s v="T1, Mkambarani"/>
    <n v="3"/>
  </r>
  <r>
    <m/>
    <x v="179"/>
    <s v="2026-01-09 11:49:52"/>
    <x v="8"/>
    <s v="2026-01-09 12:19:54"/>
    <s v="T816DDS =&gt; IDLING. At 09.01.2026 11:49:52 it moved with speed 0 km/h near 'T1, Morogoro, Tanzania, 1.60 km from Ubenazomozi'."/>
    <s v="T1, 1.60 km from Ubenazomozi"/>
    <n v="3"/>
  </r>
  <r>
    <m/>
    <x v="148"/>
    <s v="2026-01-09 09:47:52"/>
    <x v="8"/>
    <s v="2026-01-09 10:17:54"/>
    <s v="T835EBY =&gt; IDLING. At 09.01.2026 09:47:52 it moved with speed 0 km/h near 'Tanzam Road, Mbeya, Kalobe, Tanzania, 2.37 km from Mbeya'."/>
    <s v="Tanzam Road, 2.37 km from Mbeya"/>
    <n v="4"/>
  </r>
  <r>
    <m/>
    <x v="180"/>
    <s v="2026-01-09 10:25:47"/>
    <x v="8"/>
    <s v="2026-01-09 10:55:47"/>
    <s v="T873EBY =&gt; IDLING. At 09.01.2026 10:25:47 it moved with speed 0 km/h near 'T2, Pwani, Bagamoyo, Tanzania, Lugoba'."/>
    <s v="T2, Lugoba"/>
    <n v="3"/>
  </r>
  <r>
    <m/>
    <x v="9"/>
    <s v="2026-01-09 11:50:00"/>
    <x v="8"/>
    <s v="2026-01-09 12:20:05"/>
    <s v="T907EBW =&gt; IDLING. At 09.01.2026 11:50:00 it moved with speed 0 km/h near 'Ndola - Kitwe Dual-Carriageway, Copperbelt Province, Zambia, 33.22 km from Ndola'."/>
    <s v="Ndola - Kitwe Dual-Carriageway, 33.22 km from Ndola"/>
    <n v="3"/>
  </r>
  <r>
    <m/>
    <x v="162"/>
    <s v="2026-01-09 13:03:59"/>
    <x v="8"/>
    <s v="2026-01-09 13:34:00"/>
    <s v="T927EBW =&gt; IDLING. At 09.01.2026 13:03:59 it moved with speed 0 km/h near 'T1, Njombe, Tanzania, Igawa'."/>
    <s v="T1, Igawa"/>
    <n v="4"/>
  </r>
  <r>
    <m/>
    <x v="181"/>
    <s v="2026-01-09 10:06:48"/>
    <x v="8"/>
    <s v="2026-01-09 10:36:50"/>
    <s v="T942DSX =&gt; IDLING. At 09.01.2026 10:06:48 it moved with speed 0 km/h near 'Dar - Mbeya Highway, Iringa, Tanzania, Ndiuka'."/>
    <s v="Dar - Mbeya Highway, Ndiuka"/>
    <n v="3"/>
  </r>
  <r>
    <m/>
    <x v="153"/>
    <s v="2026-01-09 09:18:45"/>
    <x v="8"/>
    <s v="2026-01-09 09:48:45"/>
    <s v="T950EBW =&gt; IDLING. At 09.01.2026 09:18:45 it moved with speed 0 km/h near 'Regional Hospital Road, Mbeya, Nzovwe, Tanzania, 2.40 km from Mbeya'."/>
    <s v="Regional Hospital Road, 2.40 km from Mbeya"/>
    <n v="4"/>
  </r>
  <r>
    <m/>
    <x v="163"/>
    <s v="2026-01-09 12:52:00"/>
    <x v="8"/>
    <s v="2026-01-09 13:22:00"/>
    <s v="T955DSX =&gt; IDLING. At 09.01.2026 12:52:00 it moved with speed 0 km/h near 'T3, Central Province, Zambia, 6.90 km from Kapiri Mposhi'."/>
    <s v="T3, 6.90 km from Kapiri Mposhi"/>
    <n v="4"/>
  </r>
  <r>
    <m/>
    <x v="35"/>
    <s v="2026-01-09 10:14:14"/>
    <x v="8"/>
    <s v="2026-01-09 10:44:16"/>
    <s v="T960DSX =&gt; IDLING. At 09.01.2026 10:14:14 it moved with speed 0 km/h near 'Ndola - Kitwe Dual-Carriageway, Copperbelt Province, Zambia, 33.22 km from Ndola'."/>
    <s v="Ndola - Kitwe Dual-Carriageway, 33.22 km from Ndola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40294-09FB-40F9-B42D-35D167146968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 rowPageCount="1" colPageCount="1"/>
  <pivotFields count="9">
    <pivotField showAll="0"/>
    <pivotField axis="axisRow" showAll="0">
      <items count="177">
        <item m="1" x="171"/>
        <item m="1" x="71"/>
        <item m="1" x="163"/>
        <item x="22"/>
        <item m="1" x="173"/>
        <item m="1" x="98"/>
        <item m="1" x="174"/>
        <item m="1" x="170"/>
        <item m="1" x="172"/>
        <item m="1" x="42"/>
        <item m="1" x="175"/>
        <item m="1" x="59"/>
        <item x="30"/>
        <item x="40"/>
        <item m="1" x="164"/>
        <item x="33"/>
        <item m="1" x="165"/>
        <item m="1" x="166"/>
        <item m="1" x="167"/>
        <item m="1" x="168"/>
        <item x="4"/>
        <item m="1" x="169"/>
        <item x="20"/>
        <item m="1" x="70"/>
        <item m="1" x="103"/>
        <item m="1" x="41"/>
        <item m="1" x="158"/>
        <item m="1" x="159"/>
        <item x="1"/>
        <item m="1" x="160"/>
        <item x="0"/>
        <item m="1" x="109"/>
        <item m="1" x="87"/>
        <item m="1" x="161"/>
        <item m="1" x="162"/>
        <item x="3"/>
        <item m="1" x="144"/>
        <item x="28"/>
        <item m="1" x="67"/>
        <item m="1" x="88"/>
        <item m="1" x="129"/>
        <item m="1" x="155"/>
        <item m="1" x="156"/>
        <item m="1" x="51"/>
        <item m="1" x="54"/>
        <item m="1" x="157"/>
        <item m="1" x="125"/>
        <item m="1" x="95"/>
        <item m="1" x="64"/>
        <item m="1" x="126"/>
        <item m="1" x="117"/>
        <item x="11"/>
        <item m="1" x="127"/>
        <item m="1" x="128"/>
        <item m="1" x="130"/>
        <item m="1" x="131"/>
        <item m="1" x="132"/>
        <item m="1" x="133"/>
        <item m="1" x="72"/>
        <item x="23"/>
        <item x="24"/>
        <item m="1" x="134"/>
        <item x="31"/>
        <item x="39"/>
        <item m="1" x="135"/>
        <item x="15"/>
        <item m="1" x="136"/>
        <item m="1" x="101"/>
        <item m="1" x="137"/>
        <item m="1" x="138"/>
        <item m="1" x="56"/>
        <item m="1" x="139"/>
        <item m="1" x="53"/>
        <item m="1" x="46"/>
        <item m="1" x="140"/>
        <item m="1" x="141"/>
        <item x="35"/>
        <item m="1" x="142"/>
        <item m="1" x="92"/>
        <item m="1" x="143"/>
        <item m="1" x="78"/>
        <item m="1" x="145"/>
        <item m="1" x="52"/>
        <item m="1" x="146"/>
        <item m="1" x="65"/>
        <item m="1" x="147"/>
        <item m="1" x="148"/>
        <item m="1" x="149"/>
        <item m="1" x="150"/>
        <item m="1" x="113"/>
        <item m="1" x="151"/>
        <item x="34"/>
        <item m="1" x="55"/>
        <item m="1" x="152"/>
        <item m="1" x="153"/>
        <item m="1" x="44"/>
        <item x="17"/>
        <item m="1" x="154"/>
        <item x="10"/>
        <item x="5"/>
        <item m="1" x="43"/>
        <item m="1" x="45"/>
        <item m="1" x="47"/>
        <item m="1" x="48"/>
        <item m="1" x="49"/>
        <item m="1" x="50"/>
        <item x="12"/>
        <item x="13"/>
        <item x="27"/>
        <item m="1" x="57"/>
        <item m="1" x="58"/>
        <item m="1" x="60"/>
        <item m="1" x="61"/>
        <item m="1" x="62"/>
        <item m="1" x="63"/>
        <item x="2"/>
        <item m="1" x="66"/>
        <item m="1" x="68"/>
        <item m="1" x="69"/>
        <item m="1" x="73"/>
        <item m="1" x="74"/>
        <item m="1" x="75"/>
        <item m="1" x="76"/>
        <item m="1" x="77"/>
        <item m="1" x="79"/>
        <item m="1" x="80"/>
        <item m="1" x="81"/>
        <item m="1" x="82"/>
        <item m="1" x="83"/>
        <item m="1" x="84"/>
        <item m="1" x="85"/>
        <item m="1" x="86"/>
        <item m="1" x="89"/>
        <item m="1" x="90"/>
        <item m="1" x="91"/>
        <item m="1" x="93"/>
        <item x="6"/>
        <item m="1" x="94"/>
        <item x="25"/>
        <item m="1" x="96"/>
        <item m="1" x="97"/>
        <item m="1" x="99"/>
        <item m="1" x="100"/>
        <item m="1" x="102"/>
        <item m="1" x="104"/>
        <item x="9"/>
        <item m="1" x="105"/>
        <item m="1" x="106"/>
        <item m="1" x="107"/>
        <item m="1" x="108"/>
        <item m="1" x="110"/>
        <item m="1" x="111"/>
        <item m="1" x="112"/>
        <item m="1" x="114"/>
        <item m="1" x="115"/>
        <item m="1" x="116"/>
        <item m="1" x="118"/>
        <item m="1" x="119"/>
        <item m="1" x="120"/>
        <item m="1" x="121"/>
        <item m="1" x="122"/>
        <item m="1" x="123"/>
        <item m="1" x="124"/>
        <item x="7"/>
        <item x="8"/>
        <item x="14"/>
        <item x="16"/>
        <item x="18"/>
        <item x="19"/>
        <item x="21"/>
        <item x="26"/>
        <item x="29"/>
        <item x="32"/>
        <item x="36"/>
        <item x="37"/>
        <item x="38"/>
        <item t="default"/>
      </items>
    </pivotField>
    <pivotField showAll="0"/>
    <pivotField axis="axisPage" multipleItemSelectionAllowed="1" showAll="0">
      <items count="74">
        <item m="1" x="70"/>
        <item m="1" x="71"/>
        <item m="1" x="72"/>
        <item h="1" x="9"/>
        <item m="1" x="68"/>
        <item m="1" x="69"/>
        <item h="1" m="1" x="65"/>
        <item h="1" m="1" x="66"/>
        <item m="1" x="67"/>
        <item h="1" m="1" x="63"/>
        <item m="1" x="64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m="1" x="62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x="0"/>
        <item h="1" x="1"/>
        <item h="1" x="2"/>
        <item h="1" x="3"/>
        <item h="1" x="4"/>
        <item h="1" x="5"/>
        <item h="1" x="6"/>
        <item x="7"/>
        <item h="1"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15"/>
    </i>
    <i>
      <x v="35"/>
    </i>
    <i>
      <x v="37"/>
    </i>
    <i>
      <x v="60"/>
    </i>
    <i>
      <x v="62"/>
    </i>
    <i>
      <x v="65"/>
    </i>
    <i>
      <x v="91"/>
    </i>
    <i>
      <x v="108"/>
    </i>
    <i>
      <x v="136"/>
    </i>
    <i>
      <x v="172"/>
    </i>
    <i t="grand">
      <x/>
    </i>
  </rowItems>
  <colItems count="1">
    <i/>
  </colItems>
  <pageFields count="1">
    <pageField fld="3" hier="-1"/>
  </pageFields>
  <dataFields count="1">
    <dataField name="NO OF EVENTS " fld="8" baseField="1" baseItem="1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21DCA-C477-4E2D-92B5-CFCB41480D65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 rowPageCount="1" colPageCount="1"/>
  <pivotFields count="8">
    <pivotField showAll="0"/>
    <pivotField axis="axisRow" showAll="0">
      <items count="525">
        <item m="1" x="348"/>
        <item x="74"/>
        <item m="1" x="308"/>
        <item m="1" x="367"/>
        <item m="1" x="326"/>
        <item m="1" x="368"/>
        <item x="98"/>
        <item m="1" x="218"/>
        <item m="1" x="267"/>
        <item m="1" x="297"/>
        <item m="1" x="202"/>
        <item x="122"/>
        <item m="1" x="249"/>
        <item m="1" x="447"/>
        <item m="1" x="334"/>
        <item m="1" x="318"/>
        <item x="157"/>
        <item m="1" x="187"/>
        <item x="103"/>
        <item m="1" x="319"/>
        <item m="1" x="355"/>
        <item m="1" x="189"/>
        <item m="1" x="191"/>
        <item m="1" x="275"/>
        <item x="88"/>
        <item m="1" x="396"/>
        <item m="1" x="518"/>
        <item x="131"/>
        <item x="49"/>
        <item m="1" x="523"/>
        <item x="7"/>
        <item m="1" x="292"/>
        <item m="1" x="456"/>
        <item x="75"/>
        <item m="1" x="304"/>
        <item m="1" x="257"/>
        <item m="1" x="277"/>
        <item m="1" x="520"/>
        <item x="39"/>
        <item m="1" x="441"/>
        <item x="11"/>
        <item m="1" x="211"/>
        <item m="1" x="285"/>
        <item x="71"/>
        <item m="1" x="401"/>
        <item x="35"/>
        <item m="1" x="413"/>
        <item m="1" x="483"/>
        <item m="1" x="206"/>
        <item m="1" x="386"/>
        <item x="44"/>
        <item m="1" x="324"/>
        <item x="66"/>
        <item m="1" x="522"/>
        <item m="1" x="390"/>
        <item x="112"/>
        <item m="1" x="313"/>
        <item m="1" x="235"/>
        <item x="5"/>
        <item m="1" x="186"/>
        <item x="104"/>
        <item m="1" x="276"/>
        <item x="48"/>
        <item m="1" x="473"/>
        <item m="1" x="347"/>
        <item x="127"/>
        <item m="1" x="485"/>
        <item m="1" x="408"/>
        <item m="1" x="329"/>
        <item m="1" x="507"/>
        <item x="81"/>
        <item x="18"/>
        <item m="1" x="509"/>
        <item x="36"/>
        <item x="141"/>
        <item m="1" x="303"/>
        <item x="29"/>
        <item m="1" x="307"/>
        <item m="1" x="468"/>
        <item m="1" x="380"/>
        <item m="1" x="462"/>
        <item x="140"/>
        <item m="1" x="463"/>
        <item x="144"/>
        <item m="1" x="362"/>
        <item m="1" x="306"/>
        <item m="1" x="364"/>
        <item x="83"/>
        <item m="1" x="371"/>
        <item x="73"/>
        <item m="1" x="464"/>
        <item x="41"/>
        <item x="149"/>
        <item x="134"/>
        <item m="1" x="415"/>
        <item x="3"/>
        <item m="1" x="185"/>
        <item x="19"/>
        <item m="1" x="243"/>
        <item m="1" x="454"/>
        <item m="1" x="449"/>
        <item m="1" x="375"/>
        <item m="1" x="309"/>
        <item x="51"/>
        <item m="1" x="465"/>
        <item m="1" x="376"/>
        <item m="1" x="404"/>
        <item m="1" x="446"/>
        <item x="45"/>
        <item x="176"/>
        <item m="1" x="466"/>
        <item x="32"/>
        <item x="92"/>
        <item x="1"/>
        <item m="1" x="294"/>
        <item x="38"/>
        <item x="117"/>
        <item m="1" x="467"/>
        <item x="57"/>
        <item m="1" x="469"/>
        <item m="1" x="262"/>
        <item m="1" x="264"/>
        <item x="52"/>
        <item x="167"/>
        <item m="1" x="333"/>
        <item m="1" x="220"/>
        <item m="1" x="223"/>
        <item x="106"/>
        <item x="37"/>
        <item m="1" x="470"/>
        <item x="55"/>
        <item x="64"/>
        <item m="1" x="192"/>
        <item m="1" x="419"/>
        <item x="46"/>
        <item m="1" x="471"/>
        <item x="76"/>
        <item m="1" x="472"/>
        <item m="1" x="414"/>
        <item m="1" x="343"/>
        <item x="59"/>
        <item m="1" x="474"/>
        <item m="1" x="325"/>
        <item m="1" x="328"/>
        <item m="1" x="475"/>
        <item m="1" x="476"/>
        <item m="1" x="183"/>
        <item x="56"/>
        <item m="1" x="369"/>
        <item m="1" x="247"/>
        <item x="100"/>
        <item m="1" x="477"/>
        <item x="27"/>
        <item x="105"/>
        <item x="174"/>
        <item x="130"/>
        <item m="1" x="291"/>
        <item m="1" x="478"/>
        <item x="180"/>
        <item m="1" x="445"/>
        <item m="1" x="479"/>
        <item m="1" x="314"/>
        <item m="1" x="480"/>
        <item x="28"/>
        <item x="82"/>
        <item m="1" x="481"/>
        <item m="1" x="370"/>
        <item m="1" x="482"/>
        <item x="123"/>
        <item x="13"/>
        <item m="1" x="207"/>
        <item x="172"/>
        <item m="1" x="417"/>
        <item x="129"/>
        <item m="1" x="484"/>
        <item x="47"/>
        <item m="1" x="486"/>
        <item m="1" x="487"/>
        <item m="1" x="391"/>
        <item m="1" x="212"/>
        <item m="1" x="323"/>
        <item x="54"/>
        <item x="181"/>
        <item x="164"/>
        <item m="1" x="237"/>
        <item x="23"/>
        <item m="1" x="331"/>
        <item x="14"/>
        <item m="1" x="488"/>
        <item m="1" x="221"/>
        <item m="1" x="439"/>
        <item x="128"/>
        <item m="1" x="431"/>
        <item m="1" x="489"/>
        <item m="1" x="254"/>
        <item m="1" x="234"/>
        <item x="53"/>
        <item m="1" x="420"/>
        <item x="163"/>
        <item m="1" x="382"/>
        <item m="1" x="259"/>
        <item m="1" x="490"/>
        <item m="1" x="260"/>
        <item m="1" x="240"/>
        <item m="1" x="491"/>
        <item m="1" x="271"/>
        <item m="1" x="492"/>
        <item m="1" x="272"/>
        <item m="1" x="429"/>
        <item x="8"/>
        <item m="1" x="225"/>
        <item m="1" x="387"/>
        <item x="177"/>
        <item m="1" x="436"/>
        <item m="1" x="493"/>
        <item x="179"/>
        <item m="1" x="392"/>
        <item m="1" x="282"/>
        <item m="1" x="236"/>
        <item m="1" x="283"/>
        <item x="12"/>
        <item m="1" x="494"/>
        <item x="0"/>
        <item m="1" x="286"/>
        <item m="1" x="238"/>
        <item m="1" x="200"/>
        <item m="1" x="402"/>
        <item m="1" x="495"/>
        <item x="33"/>
        <item m="1" x="496"/>
        <item m="1" x="241"/>
        <item m="1" x="203"/>
        <item x="169"/>
        <item x="24"/>
        <item m="1" x="497"/>
        <item m="1" x="222"/>
        <item m="1" x="188"/>
        <item m="1" x="498"/>
        <item m="1" x="394"/>
        <item m="1" x="433"/>
        <item m="1" x="310"/>
        <item m="1" x="320"/>
        <item x="159"/>
        <item m="1" x="230"/>
        <item x="145"/>
        <item m="1" x="398"/>
        <item m="1" x="194"/>
        <item m="1" x="407"/>
        <item m="1" x="499"/>
        <item m="1" x="210"/>
        <item x="132"/>
        <item m="1" x="453"/>
        <item x="94"/>
        <item m="1" x="213"/>
        <item m="1" x="196"/>
        <item m="1" x="342"/>
        <item x="116"/>
        <item m="1" x="215"/>
        <item m="1" x="199"/>
        <item m="1" x="265"/>
        <item x="168"/>
        <item x="121"/>
        <item m="1" x="268"/>
        <item m="1" x="500"/>
        <item x="78"/>
        <item x="146"/>
        <item m="1" x="400"/>
        <item x="63"/>
        <item x="2"/>
        <item m="1" x="354"/>
        <item x="25"/>
        <item m="1" x="397"/>
        <item m="1" x="399"/>
        <item x="50"/>
        <item x="135"/>
        <item x="166"/>
        <item m="1" x="296"/>
        <item m="1" x="327"/>
        <item m="1" x="198"/>
        <item x="40"/>
        <item m="1" x="332"/>
        <item m="1" x="501"/>
        <item m="1" x="301"/>
        <item m="1" x="356"/>
        <item m="1" x="502"/>
        <item m="1" x="503"/>
        <item m="1" x="242"/>
        <item m="1" x="504"/>
        <item m="1" x="358"/>
        <item m="1" x="321"/>
        <item x="90"/>
        <item x="147"/>
        <item x="42"/>
        <item x="133"/>
        <item m="1" x="505"/>
        <item m="1" x="197"/>
        <item m="1" x="458"/>
        <item m="1" x="457"/>
        <item x="137"/>
        <item m="1" x="349"/>
        <item m="1" x="351"/>
        <item m="1" x="287"/>
        <item m="1" x="448"/>
        <item m="1" x="506"/>
        <item m="1" x="182"/>
        <item m="1" x="263"/>
        <item x="99"/>
        <item x="61"/>
        <item m="1" x="424"/>
        <item x="124"/>
        <item x="156"/>
        <item m="1" x="411"/>
        <item x="60"/>
        <item x="4"/>
        <item m="1" x="252"/>
        <item x="173"/>
        <item m="1" x="442"/>
        <item m="1" x="395"/>
        <item m="1" x="337"/>
        <item x="30"/>
        <item m="1" x="340"/>
        <item m="1" x="293"/>
        <item m="1" x="363"/>
        <item m="1" x="374"/>
        <item m="1" x="421"/>
        <item m="1" x="344"/>
        <item x="154"/>
        <item x="165"/>
        <item x="80"/>
        <item x="84"/>
        <item x="102"/>
        <item m="1" x="224"/>
        <item m="1" x="253"/>
        <item m="1" x="508"/>
        <item m="1" x="460"/>
        <item m="1" x="338"/>
        <item m="1" x="255"/>
        <item m="1" x="510"/>
        <item x="161"/>
        <item x="20"/>
        <item m="1" x="346"/>
        <item x="118"/>
        <item m="1" x="350"/>
        <item m="1" x="248"/>
        <item m="1" x="209"/>
        <item m="1" x="244"/>
        <item m="1" x="511"/>
        <item m="1" x="461"/>
        <item m="1" x="512"/>
        <item x="138"/>
        <item m="1" x="315"/>
        <item m="1" x="330"/>
        <item m="1" x="455"/>
        <item m="1" x="513"/>
        <item x="158"/>
        <item x="86"/>
        <item m="1" x="336"/>
        <item m="1" x="514"/>
        <item x="31"/>
        <item m="1" x="422"/>
        <item x="139"/>
        <item m="1" x="299"/>
        <item m="1" x="352"/>
        <item m="1" x="205"/>
        <item m="1" x="412"/>
        <item x="109"/>
        <item x="111"/>
        <item x="6"/>
        <item m="1" x="515"/>
        <item m="1" x="365"/>
        <item m="1" x="258"/>
        <item m="1" x="516"/>
        <item m="1" x="312"/>
        <item m="1" x="517"/>
        <item m="1" x="300"/>
        <item x="110"/>
        <item m="1" x="311"/>
        <item m="1" x="316"/>
        <item x="108"/>
        <item m="1" x="425"/>
        <item m="1" x="405"/>
        <item m="1" x="339"/>
        <item x="178"/>
        <item x="70"/>
        <item m="1" x="261"/>
        <item m="1" x="440"/>
        <item m="1" x="416"/>
        <item m="1" x="298"/>
        <item m="1" x="289"/>
        <item m="1" x="273"/>
        <item m="1" x="250"/>
        <item m="1" x="274"/>
        <item x="87"/>
        <item x="58"/>
        <item m="1" x="519"/>
        <item m="1" x="418"/>
        <item m="1" x="451"/>
        <item x="77"/>
        <item m="1" x="521"/>
        <item m="1" x="184"/>
        <item x="143"/>
        <item x="62"/>
        <item m="1" x="190"/>
        <item m="1" x="193"/>
        <item m="1" x="195"/>
        <item m="1" x="201"/>
        <item m="1" x="204"/>
        <item m="1" x="208"/>
        <item m="1" x="214"/>
        <item m="1" x="216"/>
        <item m="1" x="217"/>
        <item m="1" x="219"/>
        <item x="101"/>
        <item x="67"/>
        <item m="1" x="226"/>
        <item m="1" x="227"/>
        <item x="175"/>
        <item m="1" x="228"/>
        <item m="1" x="229"/>
        <item m="1" x="231"/>
        <item m="1" x="232"/>
        <item m="1" x="233"/>
        <item x="10"/>
        <item m="1" x="239"/>
        <item x="22"/>
        <item x="21"/>
        <item m="1" x="245"/>
        <item x="9"/>
        <item x="96"/>
        <item m="1" x="246"/>
        <item x="126"/>
        <item x="43"/>
        <item m="1" x="251"/>
        <item m="1" x="256"/>
        <item x="113"/>
        <item x="115"/>
        <item m="1" x="266"/>
        <item m="1" x="269"/>
        <item m="1" x="270"/>
        <item m="1" x="278"/>
        <item m="1" x="279"/>
        <item x="72"/>
        <item m="1" x="280"/>
        <item x="148"/>
        <item x="114"/>
        <item m="1" x="281"/>
        <item m="1" x="284"/>
        <item m="1" x="288"/>
        <item x="142"/>
        <item m="1" x="290"/>
        <item x="171"/>
        <item x="69"/>
        <item m="1" x="295"/>
        <item x="120"/>
        <item m="1" x="302"/>
        <item m="1" x="305"/>
        <item x="150"/>
        <item x="152"/>
        <item x="119"/>
        <item x="34"/>
        <item m="1" x="317"/>
        <item x="85"/>
        <item m="1" x="322"/>
        <item x="79"/>
        <item x="151"/>
        <item x="170"/>
        <item m="1" x="335"/>
        <item m="1" x="341"/>
        <item m="1" x="345"/>
        <item m="1" x="353"/>
        <item m="1" x="357"/>
        <item m="1" x="359"/>
        <item m="1" x="360"/>
        <item m="1" x="361"/>
        <item x="91"/>
        <item m="1" x="366"/>
        <item x="95"/>
        <item x="155"/>
        <item m="1" x="372"/>
        <item m="1" x="373"/>
        <item m="1" x="377"/>
        <item m="1" x="378"/>
        <item x="65"/>
        <item m="1" x="379"/>
        <item x="136"/>
        <item m="1" x="381"/>
        <item m="1" x="383"/>
        <item m="1" x="384"/>
        <item m="1" x="385"/>
        <item x="16"/>
        <item m="1" x="388"/>
        <item m="1" x="389"/>
        <item m="1" x="393"/>
        <item x="68"/>
        <item x="153"/>
        <item m="1" x="403"/>
        <item x="107"/>
        <item m="1" x="406"/>
        <item m="1" x="409"/>
        <item m="1" x="410"/>
        <item m="1" x="423"/>
        <item m="1" x="426"/>
        <item m="1" x="427"/>
        <item m="1" x="428"/>
        <item m="1" x="430"/>
        <item m="1" x="432"/>
        <item m="1" x="434"/>
        <item m="1" x="435"/>
        <item m="1" x="437"/>
        <item m="1" x="438"/>
        <item m="1" x="443"/>
        <item m="1" x="444"/>
        <item x="17"/>
        <item m="1" x="450"/>
        <item m="1" x="452"/>
        <item m="1" x="459"/>
        <item x="125"/>
        <item x="15"/>
        <item x="26"/>
        <item x="89"/>
        <item x="93"/>
        <item x="97"/>
        <item x="160"/>
        <item x="162"/>
        <item t="default"/>
      </items>
    </pivotField>
    <pivotField showAll="0"/>
    <pivotField axis="axisPage" multipleItemSelectionAllowed="1" showAll="0">
      <items count="68">
        <item h="1" m="1" x="64"/>
        <item h="1" m="1" x="65"/>
        <item m="1" x="66"/>
        <item h="1" m="1" x="62"/>
        <item m="1" x="63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m="1" x="61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1">
    <i>
      <x v="45"/>
    </i>
    <i>
      <x v="97"/>
    </i>
    <i>
      <x v="109"/>
    </i>
    <i>
      <x v="116"/>
    </i>
    <i>
      <x v="123"/>
    </i>
    <i>
      <x v="134"/>
    </i>
    <i>
      <x v="154"/>
    </i>
    <i>
      <x v="158"/>
    </i>
    <i>
      <x v="171"/>
    </i>
    <i>
      <x v="182"/>
    </i>
    <i>
      <x v="198"/>
    </i>
    <i>
      <x v="212"/>
    </i>
    <i>
      <x v="215"/>
    </i>
    <i>
      <x v="232"/>
    </i>
    <i>
      <x v="260"/>
    </i>
    <i>
      <x v="261"/>
    </i>
    <i>
      <x v="275"/>
    </i>
    <i>
      <x v="315"/>
    </i>
    <i>
      <x v="327"/>
    </i>
    <i>
      <x v="354"/>
    </i>
    <i>
      <x v="382"/>
    </i>
    <i>
      <x v="416"/>
    </i>
    <i>
      <x v="427"/>
    </i>
    <i>
      <x v="443"/>
    </i>
    <i>
      <x v="450"/>
    </i>
    <i>
      <x v="459"/>
    </i>
    <i>
      <x v="465"/>
    </i>
    <i>
      <x v="477"/>
    </i>
    <i>
      <x v="494"/>
    </i>
    <i>
      <x v="523"/>
    </i>
    <i t="grand">
      <x/>
    </i>
  </rowItems>
  <colItems count="1">
    <i/>
  </colItems>
  <pageFields count="1">
    <pageField fld="3" hier="-1"/>
  </pageFields>
  <dataFields count="1">
    <dataField name="Sum of NO OF EV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25329-EBEE-48E8-82E2-B045FA78425D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L11" firstHeaderRow="1" firstDataRow="2" firstDataCol="1" rowPageCount="1" colPageCount="1"/>
  <pivotFields count="12">
    <pivotField axis="axisRow" showAll="0">
      <items count="123">
        <item m="1" x="121"/>
        <item x="0"/>
        <item x="32"/>
        <item x="35"/>
        <item x="61"/>
        <item m="1" x="117"/>
        <item x="45"/>
        <item x="39"/>
        <item m="1" x="118"/>
        <item m="1" x="119"/>
        <item x="82"/>
        <item m="1" x="120"/>
        <item x="9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33">
        <item m="1" x="31"/>
        <item h="1" x="0"/>
        <item h="1" x="1"/>
        <item h="1" x="2"/>
        <item h="1" x="3"/>
        <item h="1" x="4"/>
        <item h="1" x="5"/>
        <item h="1" x="6"/>
        <item h="1" m="1" x="30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t="default"/>
      </items>
    </pivotField>
    <pivotField showAll="0"/>
    <pivotField showAll="0"/>
    <pivotField showAll="0"/>
    <pivotField showAll="0"/>
    <pivotField numFmtId="171" showAll="0"/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7">
    <i>
      <x v="114"/>
    </i>
    <i>
      <x v="117"/>
    </i>
    <i>
      <x v="118"/>
    </i>
    <i>
      <x v="119"/>
    </i>
    <i>
      <x v="120"/>
    </i>
    <i>
      <x v="121"/>
    </i>
    <i t="grand">
      <x/>
    </i>
  </rowItems>
  <colFields count="1">
    <field x="11"/>
  </colFields>
  <colItems count="2">
    <i>
      <x/>
    </i>
    <i t="grand">
      <x/>
    </i>
  </colItems>
  <pageFields count="1">
    <pageField fld="5" hier="-1"/>
  </pageFields>
  <dataFields count="1">
    <dataField name="Count of Offens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BA633-2402-4729-A7CD-849FED40BFEE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CK NO">
  <location ref="D3:E19" firstHeaderRow="1" firstDataRow="1" firstDataCol="1" rowPageCount="1" colPageCount="1"/>
  <pivotFields count="8">
    <pivotField showAll="0"/>
    <pivotField axis="axisRow" showAll="0">
      <items count="337">
        <item x="38"/>
        <item m="1" x="190"/>
        <item m="1" x="235"/>
        <item m="1" x="225"/>
        <item m="1" x="79"/>
        <item m="1" x="184"/>
        <item m="1" x="329"/>
        <item x="58"/>
        <item x="50"/>
        <item m="1" x="322"/>
        <item m="1" x="131"/>
        <item m="1" x="323"/>
        <item m="1" x="214"/>
        <item m="1" x="278"/>
        <item m="1" x="330"/>
        <item m="1" x="324"/>
        <item m="1" x="135"/>
        <item x="2"/>
        <item m="1" x="81"/>
        <item m="1" x="123"/>
        <item m="1" x="204"/>
        <item m="1" x="109"/>
        <item m="1" x="261"/>
        <item m="1" x="88"/>
        <item x="36"/>
        <item x="54"/>
        <item m="1" x="313"/>
        <item m="1" x="331"/>
        <item m="1" x="332"/>
        <item m="1" x="246"/>
        <item x="10"/>
        <item m="1" x="250"/>
        <item m="1" x="292"/>
        <item x="15"/>
        <item m="1" x="77"/>
        <item m="1" x="150"/>
        <item m="1" x="333"/>
        <item m="1" x="96"/>
        <item x="0"/>
        <item m="1" x="97"/>
        <item m="1" x="286"/>
        <item m="1" x="325"/>
        <item m="1" x="276"/>
        <item m="1" x="326"/>
        <item x="45"/>
        <item m="1" x="265"/>
        <item x="47"/>
        <item m="1" x="101"/>
        <item m="1" x="334"/>
        <item m="1" x="85"/>
        <item m="1" x="293"/>
        <item m="1" x="335"/>
        <item m="1" x="316"/>
        <item m="1" x="327"/>
        <item m="1" x="328"/>
        <item m="1" x="140"/>
        <item m="1" x="121"/>
        <item m="1" x="122"/>
        <item m="1" x="304"/>
        <item m="1" x="134"/>
        <item m="1" x="305"/>
        <item m="1" x="104"/>
        <item m="1" x="169"/>
        <item x="31"/>
        <item m="1" x="306"/>
        <item m="1" x="145"/>
        <item m="1" x="198"/>
        <item m="1" x="94"/>
        <item m="1" x="307"/>
        <item m="1" x="203"/>
        <item m="1" x="95"/>
        <item m="1" x="260"/>
        <item m="1" x="149"/>
        <item m="1" x="308"/>
        <item x="55"/>
        <item m="1" x="283"/>
        <item m="1" x="187"/>
        <item m="1" x="309"/>
        <item m="1" x="291"/>
        <item m="1" x="91"/>
        <item m="1" x="73"/>
        <item m="1" x="206"/>
        <item x="18"/>
        <item m="1" x="310"/>
        <item m="1" x="176"/>
        <item m="1" x="160"/>
        <item m="1" x="197"/>
        <item m="1" x="296"/>
        <item m="1" x="92"/>
        <item m="1" x="189"/>
        <item m="1" x="196"/>
        <item m="1" x="141"/>
        <item x="28"/>
        <item x="60"/>
        <item x="1"/>
        <item m="1" x="311"/>
        <item m="1" x="312"/>
        <item m="1" x="172"/>
        <item m="1" x="226"/>
        <item x="29"/>
        <item m="1" x="295"/>
        <item m="1" x="106"/>
        <item x="42"/>
        <item m="1" x="249"/>
        <item m="1" x="213"/>
        <item x="24"/>
        <item m="1" x="78"/>
        <item m="1" x="205"/>
        <item m="1" x="218"/>
        <item m="1" x="162"/>
        <item m="1" x="314"/>
        <item m="1" x="173"/>
        <item m="1" x="315"/>
        <item m="1" x="284"/>
        <item m="1" x="221"/>
        <item m="1" x="129"/>
        <item x="20"/>
        <item m="1" x="139"/>
        <item m="1" x="317"/>
        <item m="1" x="318"/>
        <item m="1" x="319"/>
        <item m="1" x="133"/>
        <item m="1" x="152"/>
        <item x="33"/>
        <item m="1" x="271"/>
        <item m="1" x="320"/>
        <item m="1" x="107"/>
        <item m="1" x="280"/>
        <item m="1" x="321"/>
        <item m="1" x="80"/>
        <item m="1" x="82"/>
        <item m="1" x="303"/>
        <item m="1" x="256"/>
        <item x="39"/>
        <item m="1" x="72"/>
        <item x="26"/>
        <item m="1" x="153"/>
        <item m="1" x="252"/>
        <item m="1" x="115"/>
        <item x="13"/>
        <item x="21"/>
        <item x="63"/>
        <item m="1" x="75"/>
        <item m="1" x="164"/>
        <item x="19"/>
        <item x="37"/>
        <item x="25"/>
        <item x="3"/>
        <item m="1" x="71"/>
        <item m="1" x="105"/>
        <item x="17"/>
        <item x="27"/>
        <item m="1" x="285"/>
        <item m="1" x="287"/>
        <item m="1" x="70"/>
        <item m="1" x="288"/>
        <item m="1" x="289"/>
        <item m="1" x="83"/>
        <item m="1" x="290"/>
        <item x="6"/>
        <item m="1" x="69"/>
        <item m="1" x="74"/>
        <item m="1" x="130"/>
        <item m="1" x="87"/>
        <item m="1" x="138"/>
        <item m="1" x="171"/>
        <item m="1" x="102"/>
        <item x="53"/>
        <item m="1" x="157"/>
        <item x="52"/>
        <item m="1" x="294"/>
        <item x="56"/>
        <item m="1" x="199"/>
        <item x="5"/>
        <item m="1" x="161"/>
        <item m="1" x="165"/>
        <item m="1" x="112"/>
        <item x="46"/>
        <item x="67"/>
        <item m="1" x="297"/>
        <item m="1" x="298"/>
        <item m="1" x="299"/>
        <item m="1" x="300"/>
        <item m="1" x="84"/>
        <item m="1" x="211"/>
        <item m="1" x="301"/>
        <item m="1" x="302"/>
        <item m="1" x="118"/>
        <item m="1" x="159"/>
        <item m="1" x="167"/>
        <item m="1" x="186"/>
        <item x="16"/>
        <item m="1" x="68"/>
        <item x="64"/>
        <item x="12"/>
        <item m="1" x="76"/>
        <item x="65"/>
        <item m="1" x="86"/>
        <item x="32"/>
        <item m="1" x="89"/>
        <item m="1" x="90"/>
        <item m="1" x="93"/>
        <item m="1" x="98"/>
        <item m="1" x="99"/>
        <item m="1" x="100"/>
        <item m="1" x="103"/>
        <item m="1" x="108"/>
        <item m="1" x="110"/>
        <item m="1" x="111"/>
        <item m="1" x="113"/>
        <item m="1" x="114"/>
        <item m="1" x="116"/>
        <item x="7"/>
        <item m="1" x="117"/>
        <item m="1" x="119"/>
        <item m="1" x="120"/>
        <item x="14"/>
        <item m="1" x="124"/>
        <item m="1" x="125"/>
        <item m="1" x="126"/>
        <item m="1" x="127"/>
        <item m="1" x="128"/>
        <item m="1" x="132"/>
        <item m="1" x="136"/>
        <item m="1" x="137"/>
        <item x="35"/>
        <item m="1" x="142"/>
        <item m="1" x="143"/>
        <item m="1" x="144"/>
        <item m="1" x="146"/>
        <item m="1" x="147"/>
        <item x="41"/>
        <item m="1" x="148"/>
        <item m="1" x="151"/>
        <item x="49"/>
        <item m="1" x="154"/>
        <item m="1" x="155"/>
        <item x="30"/>
        <item m="1" x="156"/>
        <item m="1" x="158"/>
        <item m="1" x="163"/>
        <item m="1" x="166"/>
        <item m="1" x="168"/>
        <item m="1" x="170"/>
        <item m="1" x="174"/>
        <item m="1" x="175"/>
        <item x="22"/>
        <item m="1" x="177"/>
        <item m="1" x="178"/>
        <item m="1" x="179"/>
        <item m="1" x="180"/>
        <item m="1" x="181"/>
        <item m="1" x="182"/>
        <item m="1" x="183"/>
        <item m="1" x="185"/>
        <item m="1" x="188"/>
        <item m="1" x="191"/>
        <item m="1" x="192"/>
        <item m="1" x="193"/>
        <item m="1" x="194"/>
        <item m="1" x="195"/>
        <item m="1" x="200"/>
        <item m="1" x="201"/>
        <item m="1" x="202"/>
        <item m="1" x="207"/>
        <item m="1" x="208"/>
        <item m="1" x="209"/>
        <item m="1" x="210"/>
        <item m="1" x="212"/>
        <item m="1" x="215"/>
        <item m="1" x="216"/>
        <item m="1" x="217"/>
        <item m="1" x="219"/>
        <item x="66"/>
        <item m="1" x="220"/>
        <item m="1" x="222"/>
        <item m="1" x="223"/>
        <item x="11"/>
        <item m="1" x="224"/>
        <item m="1" x="227"/>
        <item m="1" x="228"/>
        <item m="1" x="229"/>
        <item m="1" x="230"/>
        <item x="23"/>
        <item m="1" x="231"/>
        <item m="1" x="232"/>
        <item m="1" x="233"/>
        <item m="1" x="234"/>
        <item m="1" x="236"/>
        <item m="1" x="237"/>
        <item x="43"/>
        <item m="1" x="238"/>
        <item x="4"/>
        <item m="1" x="239"/>
        <item m="1" x="240"/>
        <item m="1" x="241"/>
        <item m="1" x="242"/>
        <item m="1" x="243"/>
        <item m="1" x="244"/>
        <item m="1" x="245"/>
        <item m="1" x="247"/>
        <item m="1" x="248"/>
        <item x="61"/>
        <item m="1" x="251"/>
        <item m="1" x="253"/>
        <item m="1" x="254"/>
        <item m="1" x="255"/>
        <item m="1" x="257"/>
        <item m="1" x="258"/>
        <item m="1" x="259"/>
        <item m="1" x="262"/>
        <item m="1" x="263"/>
        <item m="1" x="264"/>
        <item m="1" x="266"/>
        <item m="1" x="267"/>
        <item m="1" x="268"/>
        <item m="1" x="269"/>
        <item m="1" x="270"/>
        <item m="1" x="272"/>
        <item m="1" x="273"/>
        <item m="1" x="274"/>
        <item x="51"/>
        <item m="1" x="275"/>
        <item m="1" x="277"/>
        <item m="1" x="279"/>
        <item x="9"/>
        <item m="1" x="281"/>
        <item m="1" x="282"/>
        <item x="44"/>
        <item x="8"/>
        <item x="34"/>
        <item x="40"/>
        <item x="48"/>
        <item x="57"/>
        <item x="59"/>
        <item x="62"/>
        <item t="default"/>
      </items>
    </pivotField>
    <pivotField showAll="0"/>
    <pivotField axis="axisPage" multipleItemSelectionAllowed="1" showAll="0">
      <items count="70">
        <item h="1" m="1" x="67"/>
        <item m="1" x="68"/>
        <item h="1" m="1" x="64"/>
        <item h="1" m="1" x="65"/>
        <item m="1" x="66"/>
        <item h="1" m="1" x="62"/>
        <item m="1" x="63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m="1" x="61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6">
    <i>
      <x v="7"/>
    </i>
    <i>
      <x v="46"/>
    </i>
    <i>
      <x v="74"/>
    </i>
    <i>
      <x v="93"/>
    </i>
    <i>
      <x v="141"/>
    </i>
    <i>
      <x v="169"/>
    </i>
    <i>
      <x v="171"/>
    </i>
    <i>
      <x v="178"/>
    </i>
    <i>
      <x v="193"/>
    </i>
    <i>
      <x v="196"/>
    </i>
    <i>
      <x v="273"/>
    </i>
    <i>
      <x v="302"/>
    </i>
    <i>
      <x v="328"/>
    </i>
    <i>
      <x v="334"/>
    </i>
    <i>
      <x v="335"/>
    </i>
    <i t="grand">
      <x/>
    </i>
  </rowItems>
  <colItems count="1">
    <i/>
  </colItems>
  <pageFields count="1">
    <pageField fld="3" hier="-1"/>
  </pageFields>
  <dataFields count="1">
    <dataField name="NO OF EVENT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CA4E8-B6C0-43CA-8A37-61F388A10D2F}" name="Table3" displayName="Table3" ref="A1:H263" totalsRowShown="0" headerRowDxfId="66" dataDxfId="64" headerRowBorderDxfId="65" tableBorderDxfId="63" totalsRowBorderDxfId="62">
  <autoFilter ref="A1:H263" xr:uid="{CAFCA4E8-B6C0-43CA-8A37-61F388A10D2F}"/>
  <tableColumns count="8">
    <tableColumn id="1" xr3:uid="{727FFB40-1CAC-48AD-BAED-0954D83BEAB1}" name="SN" dataDxfId="61"/>
    <tableColumn id="2" xr3:uid="{A72F2300-16B7-4543-B0E8-710E99F60599}" name="TRUCK NO " dataDxfId="60"/>
    <tableColumn id="3" xr3:uid="{2B07A670-8C3B-41C5-9095-CF9191FB103C}" name="Event time" dataDxfId="59"/>
    <tableColumn id="4" xr3:uid="{7FE25097-9786-43F6-9B76-6F631184DC2D}" name="RPT_DT" dataDxfId="58">
      <calculatedColumnFormula>LEFT(C:C,10)</calculatedColumnFormula>
    </tableColumn>
    <tableColumn id="5" xr3:uid="{4362AA73-4D08-403F-98F5-F63DFEFCF982}" name="Time received" dataDxfId="57">
      <calculatedColumnFormula>VLOOKUP(Table3[[#This Row],[TRUCK NO ]],[1]Sheet2!$B:$E,4,0)</calculatedColumnFormula>
    </tableColumn>
    <tableColumn id="6" xr3:uid="{B95AF60D-DA18-41E4-8F0F-DD4909BD8354}" name="Event text" dataDxfId="56"/>
    <tableColumn id="7" xr3:uid="{5010D0A4-6D49-4993-BD54-E11E4AC8D1A1}" name="Location" dataDxfId="55"/>
    <tableColumn id="8" xr3:uid="{E4F6A9E8-9124-44AE-9DFD-C2D7DCB0ED28}" name="NO OF EVENTS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1E25F-C190-47D2-AA0F-7DD969A61135}" name="Table2" displayName="Table2" ref="A1:H95" totalsRowShown="0" headerRowDxfId="53" dataDxfId="51" headerRowBorderDxfId="52" tableBorderDxfId="50" totalsRowBorderDxfId="49">
  <tableColumns count="8">
    <tableColumn id="1" xr3:uid="{60142991-3F6C-4ED9-9A11-0CAFF6A75CE2}" name="SN" dataDxfId="48"/>
    <tableColumn id="2" xr3:uid="{F01816CD-9E68-49CF-91E5-84E7EE58CFD0}" name="Row Labels" dataDxfId="47"/>
    <tableColumn id="3" xr3:uid="{BD5432C4-06C8-4F41-AB03-EB4B39048715}" name="Event time" dataDxfId="46"/>
    <tableColumn id="4" xr3:uid="{9F0C8BF4-1520-4C9C-B103-7DF39325769C}" name="RPT_DT" dataDxfId="45">
      <calculatedColumnFormula>LEFT(Table2[[#This Row],[Event time]],10)</calculatedColumnFormula>
    </tableColumn>
    <tableColumn id="10" xr3:uid="{5E83F29D-0240-440A-AFE3-67367A7EBC58}" name="DRIVER NAME " dataDxfId="44">
      <calculatedColumnFormula>VLOOKUP(Table2[[#This Row],[Row Labels]],[1]Sheet2!$B:$E,4,0)</calculatedColumnFormula>
    </tableColumn>
    <tableColumn id="5" xr3:uid="{F784C5E0-A524-4B1F-81CB-6EB88E77D030}" name="Event text" dataDxfId="43"/>
    <tableColumn id="7" xr3:uid="{0AE9CB28-1BE6-46F3-8CE0-7A9CB9EC902B}" name="Location" dataDxfId="42"/>
    <tableColumn id="8" xr3:uid="{A734E83B-73D0-4C02-80A9-2E1F97F28ACF}" name="Count of Time received" dataDxfId="41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DCFC8-FF4F-4CAA-A77B-CB47F38595A2}" name="Table1" displayName="Table1" ref="A1:I61" totalsRowShown="0" headerRowDxfId="40" dataDxfId="38" headerRowBorderDxfId="39" tableBorderDxfId="37" totalsRowBorderDxfId="36">
  <tableColumns count="9">
    <tableColumn id="1" xr3:uid="{C6F3D072-E0A6-4B35-9CF4-73165D036A53}" name="SN" dataDxfId="35" totalsRowDxfId="34"/>
    <tableColumn id="2" xr3:uid="{1C1B02F8-E440-4AC2-9E96-4980766427DD}" name="TRUCK NO  " dataDxfId="33" totalsRowDxfId="32"/>
    <tableColumn id="3" xr3:uid="{4B2B37A7-DEFD-4576-AE28-7C59D926AD5B}" name="Time" dataDxfId="31" totalsRowDxfId="30"/>
    <tableColumn id="4" xr3:uid="{B1B66230-BCF6-47EF-88B1-A0BFFBD495F9}" name="RPT_DT" dataDxfId="29" totalsRowDxfId="28">
      <calculatedColumnFormula>LEFT(Table1[[#This Row],[Time]],10)</calculatedColumnFormula>
    </tableColumn>
    <tableColumn id="10" xr3:uid="{18641D72-4061-4E82-8677-71B7E4A7C8E1}" name="DRIVER NAME" dataDxfId="27" totalsRowDxfId="26">
      <calculatedColumnFormula>VLOOKUP(Table1[[#This Row],[TRUCK NO  ]],[1]Sheet2!$B:$E,4,0)</calculatedColumnFormula>
    </tableColumn>
    <tableColumn id="11" xr3:uid="{3CE148E5-DC64-4D21-BE22-17FD4EDA5037}" name="MAX SPEED" dataDxfId="25"/>
    <tableColumn id="6" xr3:uid="{AE7C2DBF-E7CE-467F-B9CE-6045ADF9533E}" name="Location" dataDxfId="24" totalsRowDxfId="23"/>
    <tableColumn id="7" xr3:uid="{3BF79838-8D03-4CD5-A115-8AD97D790C83}" name="Speed limit" dataDxfId="22" totalsRowDxfId="21"/>
    <tableColumn id="8" xr3:uid="{4EBA83BB-D1CB-4A52-B56D-F63858C5D6BE}" name="Count" dataDxfId="20" totalsRow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2E562E-CD5B-440C-8B57-2EDDE693F4E9}" name="Table4" displayName="Table4" ref="A1:L144" totalsRowShown="0" headerRowDxfId="18" dataDxfId="16" headerRowBorderDxfId="17" tableBorderDxfId="15" totalsRowBorderDxfId="14">
  <tableColumns count="12">
    <tableColumn id="1" xr3:uid="{A547DA44-300D-40C6-90BF-717D8BE39D28}" name="Vehicle no" dataDxfId="13"/>
    <tableColumn id="2" xr3:uid="{CE712F5E-2FB2-484B-B3D3-D4E7D65FF9AC}" name="Driver name " dataDxfId="12">
      <calculatedColumnFormula>VLOOKUP(Table4[[#This Row],[Vehicle no]],[1]Sheet2!$B:$J,4,0)</calculatedColumnFormula>
    </tableColumn>
    <tableColumn id="3" xr3:uid="{9FC9DAAA-2882-43A0-9419-EADBBD651869}" name="TM NAME " dataDxfId="11">
      <calculatedColumnFormula>VLOOKUP(Table4[[#This Row],[Vehicle no]],[1]Sheet2!$B:$J,9,0)</calculatedColumnFormula>
    </tableColumn>
    <tableColumn id="4" xr3:uid="{482EFD3A-E9A8-4CD2-B34B-940BC7029673}" name="TC NAME" dataDxfId="10">
      <calculatedColumnFormula>VLOOKUP(Table4[[#This Row],[Vehicle no]],[1]Sheet2!$B:$J,8,0)</calculatedColumnFormula>
    </tableColumn>
    <tableColumn id="5" xr3:uid="{250E3FDA-9173-41DB-A951-173BAB05BB02}" name="Beginning" dataDxfId="9"/>
    <tableColumn id="6" xr3:uid="{7FDFCB65-17CC-4BF6-9B18-87EA6B200168}" name="RPT_DT" dataDxfId="8">
      <calculatedColumnFormula>LEFT(E:E,10)</calculatedColumnFormula>
    </tableColumn>
    <tableColumn id="7" xr3:uid="{76767E72-34D1-4335-947E-9B75F797C1DA}" name="Initial location" dataDxfId="7"/>
    <tableColumn id="8" xr3:uid="{70A12878-3D16-4374-A575-04E6C12F030F}" name="End" dataDxfId="6"/>
    <tableColumn id="9" xr3:uid="{C755D5A3-A21B-471A-9EAC-F83E2C2BAB67}" name="Final location" dataDxfId="5"/>
    <tableColumn id="10" xr3:uid="{7AE6D8BF-C9F4-403F-AEE5-20ABA799B1F8}" name="DURATION " dataDxfId="4"/>
    <tableColumn id="11" xr3:uid="{052D2186-0AAF-4B0B-AE49-7C97F511019D}" name="Mileage" dataDxfId="3"/>
    <tableColumn id="12" xr3:uid="{CB83BCB3-DCA9-4EF9-A3DC-A3B2C569CFCF}" name="Offen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?q=-8.85254,33.64728" TargetMode="External"/><Relationship Id="rId299" Type="http://schemas.openxmlformats.org/officeDocument/2006/relationships/hyperlink" Target="https://www.google.com/maps?q=-11.21725,31.82770" TargetMode="External"/><Relationship Id="rId21" Type="http://schemas.openxmlformats.org/officeDocument/2006/relationships/hyperlink" Target="https://www.google.com/maps?q=-12.97207,30.65171" TargetMode="External"/><Relationship Id="rId63" Type="http://schemas.openxmlformats.org/officeDocument/2006/relationships/hyperlink" Target="https://www.google.com/maps?q=-8.83089,33.87795" TargetMode="External"/><Relationship Id="rId159" Type="http://schemas.openxmlformats.org/officeDocument/2006/relationships/hyperlink" Target="https://www.google.com/maps?q=-8.93148,33.38431" TargetMode="External"/><Relationship Id="rId170" Type="http://schemas.openxmlformats.org/officeDocument/2006/relationships/hyperlink" Target="https://www.google.com/maps?q=-8.80078,34.22647" TargetMode="External"/><Relationship Id="rId226" Type="http://schemas.openxmlformats.org/officeDocument/2006/relationships/hyperlink" Target="https://www.google.com/maps?q=-6.65179,38.03533" TargetMode="External"/><Relationship Id="rId268" Type="http://schemas.openxmlformats.org/officeDocument/2006/relationships/hyperlink" Target="https://www.google.com/maps?q=-7.46769,36.51067" TargetMode="External"/><Relationship Id="rId32" Type="http://schemas.openxmlformats.org/officeDocument/2006/relationships/hyperlink" Target="https://www.google.com/maps?q=-9.68988,32.70754" TargetMode="External"/><Relationship Id="rId74" Type="http://schemas.openxmlformats.org/officeDocument/2006/relationships/hyperlink" Target="https://www.google.com/maps?q=-7.54370,36.42698" TargetMode="External"/><Relationship Id="rId128" Type="http://schemas.openxmlformats.org/officeDocument/2006/relationships/hyperlink" Target="https://www.google.com/maps?q=-12.32095,27.80008" TargetMode="External"/><Relationship Id="rId5" Type="http://schemas.openxmlformats.org/officeDocument/2006/relationships/hyperlink" Target="https://www.google.com/maps?q=-5.38403,38.53570" TargetMode="External"/><Relationship Id="rId181" Type="http://schemas.openxmlformats.org/officeDocument/2006/relationships/hyperlink" Target="https://www.google.com/maps?q=-7.40186,36.98590" TargetMode="External"/><Relationship Id="rId237" Type="http://schemas.openxmlformats.org/officeDocument/2006/relationships/hyperlink" Target="https://www.google.com/maps?q=-6.80398,37.69298" TargetMode="External"/><Relationship Id="rId279" Type="http://schemas.openxmlformats.org/officeDocument/2006/relationships/hyperlink" Target="https://www.google.com/maps?q=-8.76811,34.37875" TargetMode="External"/><Relationship Id="rId43" Type="http://schemas.openxmlformats.org/officeDocument/2006/relationships/hyperlink" Target="https://www.google.com/maps?q=-9.69005,32.70769" TargetMode="External"/><Relationship Id="rId139" Type="http://schemas.openxmlformats.org/officeDocument/2006/relationships/hyperlink" Target="https://www.google.com/maps?q=-7.40098,36.98826" TargetMode="External"/><Relationship Id="rId290" Type="http://schemas.openxmlformats.org/officeDocument/2006/relationships/hyperlink" Target="https://www.google.com/maps?q=-12.86765,28.24079" TargetMode="External"/><Relationship Id="rId304" Type="http://schemas.openxmlformats.org/officeDocument/2006/relationships/hyperlink" Target="https://www.google.com/maps?q=-12.86753,28.24073" TargetMode="External"/><Relationship Id="rId85" Type="http://schemas.openxmlformats.org/officeDocument/2006/relationships/hyperlink" Target="https://www.google.com/maps?q=-8.04679,35.46891" TargetMode="External"/><Relationship Id="rId150" Type="http://schemas.openxmlformats.org/officeDocument/2006/relationships/hyperlink" Target="https://www.google.com/maps?q=-10.97080,26.63147" TargetMode="External"/><Relationship Id="rId192" Type="http://schemas.openxmlformats.org/officeDocument/2006/relationships/hyperlink" Target="https://www.google.com/maps?q=-12.16066,27.72068" TargetMode="External"/><Relationship Id="rId206" Type="http://schemas.openxmlformats.org/officeDocument/2006/relationships/hyperlink" Target="https://www.google.com/maps?q=-12.13316,27.67796" TargetMode="External"/><Relationship Id="rId248" Type="http://schemas.openxmlformats.org/officeDocument/2006/relationships/hyperlink" Target="https://www.google.com/maps?q=-13.49374,29.80157" TargetMode="External"/><Relationship Id="rId12" Type="http://schemas.openxmlformats.org/officeDocument/2006/relationships/hyperlink" Target="https://www.google.com/maps?q=-10.62998,32.15541" TargetMode="External"/><Relationship Id="rId108" Type="http://schemas.openxmlformats.org/officeDocument/2006/relationships/hyperlink" Target="https://www.google.com/maps?q=-7.67976,36.03869" TargetMode="External"/><Relationship Id="rId54" Type="http://schemas.openxmlformats.org/officeDocument/2006/relationships/hyperlink" Target="https://www.google.com/maps?q=-8.79483,33.80990" TargetMode="External"/><Relationship Id="rId96" Type="http://schemas.openxmlformats.org/officeDocument/2006/relationships/hyperlink" Target="https://www.google.com/maps?q=-13.87922,28.90574" TargetMode="External"/><Relationship Id="rId161" Type="http://schemas.openxmlformats.org/officeDocument/2006/relationships/hyperlink" Target="https://www.google.com/maps?q=-10.72855,29.09628" TargetMode="External"/><Relationship Id="rId217" Type="http://schemas.openxmlformats.org/officeDocument/2006/relationships/hyperlink" Target="https://www.google.com/maps?q=-12.32398,27.80144" TargetMode="External"/><Relationship Id="rId259" Type="http://schemas.openxmlformats.org/officeDocument/2006/relationships/hyperlink" Target="https://www.google.com/maps?q=-13.68176,29.22144" TargetMode="External"/><Relationship Id="rId23" Type="http://schemas.openxmlformats.org/officeDocument/2006/relationships/hyperlink" Target="https://www.google.com/maps?q=-10.73844,26.54196" TargetMode="External"/><Relationship Id="rId119" Type="http://schemas.openxmlformats.org/officeDocument/2006/relationships/hyperlink" Target="https://www.google.com/maps?q=-7.47047,36.50002" TargetMode="External"/><Relationship Id="rId270" Type="http://schemas.openxmlformats.org/officeDocument/2006/relationships/hyperlink" Target="https://www.google.com/maps?q=-8.91204,33.44310" TargetMode="External"/><Relationship Id="rId44" Type="http://schemas.openxmlformats.org/officeDocument/2006/relationships/hyperlink" Target="https://www.google.com/maps?q=-6.67345,38.60946" TargetMode="External"/><Relationship Id="rId65" Type="http://schemas.openxmlformats.org/officeDocument/2006/relationships/hyperlink" Target="https://www.google.com/maps?q=-8.04564,35.46928" TargetMode="External"/><Relationship Id="rId86" Type="http://schemas.openxmlformats.org/officeDocument/2006/relationships/hyperlink" Target="https://www.google.com/maps?q=-9.68929,32.70705" TargetMode="External"/><Relationship Id="rId130" Type="http://schemas.openxmlformats.org/officeDocument/2006/relationships/hyperlink" Target="https://www.google.com/maps?q=-12.32151,27.80037" TargetMode="External"/><Relationship Id="rId151" Type="http://schemas.openxmlformats.org/officeDocument/2006/relationships/hyperlink" Target="https://www.google.com/maps?q=-5.78734,38.29075" TargetMode="External"/><Relationship Id="rId172" Type="http://schemas.openxmlformats.org/officeDocument/2006/relationships/hyperlink" Target="https://www.google.com/maps?q=-6.91912,37.51342" TargetMode="External"/><Relationship Id="rId193" Type="http://schemas.openxmlformats.org/officeDocument/2006/relationships/hyperlink" Target="https://www.google.com/maps?q=-12.16106,27.72203" TargetMode="External"/><Relationship Id="rId207" Type="http://schemas.openxmlformats.org/officeDocument/2006/relationships/hyperlink" Target="https://www.google.com/maps?q=-12.13316,27.67796" TargetMode="External"/><Relationship Id="rId228" Type="http://schemas.openxmlformats.org/officeDocument/2006/relationships/hyperlink" Target="https://www.google.com/maps?q=-6.65179,38.03533" TargetMode="External"/><Relationship Id="rId249" Type="http://schemas.openxmlformats.org/officeDocument/2006/relationships/hyperlink" Target="https://www.google.com/maps?q=-13.49374,29.80157" TargetMode="External"/><Relationship Id="rId13" Type="http://schemas.openxmlformats.org/officeDocument/2006/relationships/hyperlink" Target="https://www.google.com/maps?q=-9.35740,32.71489" TargetMode="External"/><Relationship Id="rId109" Type="http://schemas.openxmlformats.org/officeDocument/2006/relationships/hyperlink" Target="https://www.google.com/maps?q=-7.67976,36.03869" TargetMode="External"/><Relationship Id="rId260" Type="http://schemas.openxmlformats.org/officeDocument/2006/relationships/hyperlink" Target="https://www.google.com/maps?q=-13.68176,29.22144" TargetMode="External"/><Relationship Id="rId281" Type="http://schemas.openxmlformats.org/officeDocument/2006/relationships/hyperlink" Target="https://www.google.com/maps?q=-8.77902,33.78455" TargetMode="External"/><Relationship Id="rId34" Type="http://schemas.openxmlformats.org/officeDocument/2006/relationships/hyperlink" Target="https://www.google.com/maps?q=-6.67345,38.60946" TargetMode="External"/><Relationship Id="rId55" Type="http://schemas.openxmlformats.org/officeDocument/2006/relationships/hyperlink" Target="https://www.google.com/maps?q=-9.73564,32.73603" TargetMode="External"/><Relationship Id="rId76" Type="http://schemas.openxmlformats.org/officeDocument/2006/relationships/hyperlink" Target="https://www.google.com/maps?q=-8.24238,35.34380" TargetMode="External"/><Relationship Id="rId97" Type="http://schemas.openxmlformats.org/officeDocument/2006/relationships/hyperlink" Target="https://www.google.com/maps?q=-8.91122,33.44841" TargetMode="External"/><Relationship Id="rId120" Type="http://schemas.openxmlformats.org/officeDocument/2006/relationships/hyperlink" Target="https://www.google.com/maps?q=-7.47047,36.50002" TargetMode="External"/><Relationship Id="rId141" Type="http://schemas.openxmlformats.org/officeDocument/2006/relationships/hyperlink" Target="https://www.google.com/maps?q=-12.32404,27.80170" TargetMode="External"/><Relationship Id="rId7" Type="http://schemas.openxmlformats.org/officeDocument/2006/relationships/hyperlink" Target="https://www.google.com/maps?q=-13.59827,28.62368" TargetMode="External"/><Relationship Id="rId162" Type="http://schemas.openxmlformats.org/officeDocument/2006/relationships/hyperlink" Target="https://www.google.com/maps?q=-10.72855,29.09628" TargetMode="External"/><Relationship Id="rId183" Type="http://schemas.openxmlformats.org/officeDocument/2006/relationships/hyperlink" Target="https://www.google.com/maps?q=-7.40186,36.98590" TargetMode="External"/><Relationship Id="rId218" Type="http://schemas.openxmlformats.org/officeDocument/2006/relationships/hyperlink" Target="https://www.google.com/maps?q=-12.32597,27.80250" TargetMode="External"/><Relationship Id="rId239" Type="http://schemas.openxmlformats.org/officeDocument/2006/relationships/hyperlink" Target="https://www.google.com/maps?q=-7.47059,36.50028" TargetMode="External"/><Relationship Id="rId250" Type="http://schemas.openxmlformats.org/officeDocument/2006/relationships/hyperlink" Target="https://www.google.com/maps?q=-12.34719,27.82422" TargetMode="External"/><Relationship Id="rId271" Type="http://schemas.openxmlformats.org/officeDocument/2006/relationships/hyperlink" Target="https://www.google.com/maps?q=-12.86738,28.24099" TargetMode="External"/><Relationship Id="rId292" Type="http://schemas.openxmlformats.org/officeDocument/2006/relationships/hyperlink" Target="https://www.google.com/maps?q=-12.86745,28.24099" TargetMode="External"/><Relationship Id="rId306" Type="http://schemas.openxmlformats.org/officeDocument/2006/relationships/hyperlink" Target="https://www.google.com/maps?q=-8.91164,33.44778" TargetMode="External"/><Relationship Id="rId24" Type="http://schemas.openxmlformats.org/officeDocument/2006/relationships/hyperlink" Target="https://www.google.com/maps?q=-10.73844,26.54196" TargetMode="External"/><Relationship Id="rId45" Type="http://schemas.openxmlformats.org/officeDocument/2006/relationships/hyperlink" Target="https://www.google.com/maps?q=-8.91165,33.44748" TargetMode="External"/><Relationship Id="rId66" Type="http://schemas.openxmlformats.org/officeDocument/2006/relationships/hyperlink" Target="https://www.google.com/maps?q=-8.04564,35.46928" TargetMode="External"/><Relationship Id="rId87" Type="http://schemas.openxmlformats.org/officeDocument/2006/relationships/hyperlink" Target="https://www.google.com/maps?q=-8.04679,35.46891" TargetMode="External"/><Relationship Id="rId110" Type="http://schemas.openxmlformats.org/officeDocument/2006/relationships/hyperlink" Target="https://www.google.com/maps?q=-8.91125,33.44823" TargetMode="External"/><Relationship Id="rId131" Type="http://schemas.openxmlformats.org/officeDocument/2006/relationships/hyperlink" Target="https://www.google.com/maps?q=-12.32151,27.80037" TargetMode="External"/><Relationship Id="rId152" Type="http://schemas.openxmlformats.org/officeDocument/2006/relationships/hyperlink" Target="https://www.google.com/maps?q=-8.91123,33.44814" TargetMode="External"/><Relationship Id="rId173" Type="http://schemas.openxmlformats.org/officeDocument/2006/relationships/hyperlink" Target="https://www.google.com/maps?q=-6.91912,37.51342" TargetMode="External"/><Relationship Id="rId194" Type="http://schemas.openxmlformats.org/officeDocument/2006/relationships/hyperlink" Target="https://www.google.com/maps?q=-12.16106,27.72203" TargetMode="External"/><Relationship Id="rId208" Type="http://schemas.openxmlformats.org/officeDocument/2006/relationships/hyperlink" Target="https://www.google.com/maps?q=-12.34476,27.81789" TargetMode="External"/><Relationship Id="rId229" Type="http://schemas.openxmlformats.org/officeDocument/2006/relationships/hyperlink" Target="https://www.google.com/maps?q=-12.32621,27.80282" TargetMode="External"/><Relationship Id="rId240" Type="http://schemas.openxmlformats.org/officeDocument/2006/relationships/hyperlink" Target="https://www.google.com/maps?q=-7.47059,36.50028" TargetMode="External"/><Relationship Id="rId261" Type="http://schemas.openxmlformats.org/officeDocument/2006/relationships/hyperlink" Target="https://www.google.com/maps?q=-13.29602,30.04590" TargetMode="External"/><Relationship Id="rId14" Type="http://schemas.openxmlformats.org/officeDocument/2006/relationships/hyperlink" Target="https://www.google.com/maps?q=-10.62998,32.15541" TargetMode="External"/><Relationship Id="rId35" Type="http://schemas.openxmlformats.org/officeDocument/2006/relationships/hyperlink" Target="https://www.google.com/maps?q=-9.69019,32.70777" TargetMode="External"/><Relationship Id="rId56" Type="http://schemas.openxmlformats.org/officeDocument/2006/relationships/hyperlink" Target="https://www.google.com/maps?q=-8.79483,33.80990" TargetMode="External"/><Relationship Id="rId77" Type="http://schemas.openxmlformats.org/officeDocument/2006/relationships/hyperlink" Target="https://www.google.com/maps?q=-8.24238,35.34380" TargetMode="External"/><Relationship Id="rId100" Type="http://schemas.openxmlformats.org/officeDocument/2006/relationships/hyperlink" Target="https://www.google.com/maps?q=-8.91125,33.44823" TargetMode="External"/><Relationship Id="rId282" Type="http://schemas.openxmlformats.org/officeDocument/2006/relationships/hyperlink" Target="https://www.google.com/maps?q=-8.77902,33.78455" TargetMode="External"/><Relationship Id="rId8" Type="http://schemas.openxmlformats.org/officeDocument/2006/relationships/hyperlink" Target="https://www.google.com/maps?q=-9.35740,32.71489" TargetMode="External"/><Relationship Id="rId98" Type="http://schemas.openxmlformats.org/officeDocument/2006/relationships/hyperlink" Target="https://www.google.com/maps?q=-8.91122,33.44841" TargetMode="External"/><Relationship Id="rId121" Type="http://schemas.openxmlformats.org/officeDocument/2006/relationships/hyperlink" Target="https://www.google.com/maps?q=-7.47047,36.50002" TargetMode="External"/><Relationship Id="rId142" Type="http://schemas.openxmlformats.org/officeDocument/2006/relationships/hyperlink" Target="https://www.google.com/maps?q=-12.32404,27.80170" TargetMode="External"/><Relationship Id="rId163" Type="http://schemas.openxmlformats.org/officeDocument/2006/relationships/hyperlink" Target="https://www.google.com/maps?q=-10.82933,32.03981" TargetMode="External"/><Relationship Id="rId184" Type="http://schemas.openxmlformats.org/officeDocument/2006/relationships/hyperlink" Target="https://www.google.com/maps?q=-6.91885,37.51369" TargetMode="External"/><Relationship Id="rId219" Type="http://schemas.openxmlformats.org/officeDocument/2006/relationships/hyperlink" Target="https://www.google.com/maps?q=-12.32597,27.80250" TargetMode="External"/><Relationship Id="rId230" Type="http://schemas.openxmlformats.org/officeDocument/2006/relationships/hyperlink" Target="https://www.google.com/maps?q=-12.32621,27.80282" TargetMode="External"/><Relationship Id="rId251" Type="http://schemas.openxmlformats.org/officeDocument/2006/relationships/hyperlink" Target="https://www.google.com/maps?q=-12.34719,27.82422" TargetMode="External"/><Relationship Id="rId25" Type="http://schemas.openxmlformats.org/officeDocument/2006/relationships/hyperlink" Target="https://www.google.com/maps?q=-8.77876,33.78429" TargetMode="External"/><Relationship Id="rId46" Type="http://schemas.openxmlformats.org/officeDocument/2006/relationships/hyperlink" Target="https://www.google.com/maps?q=-8.04528,35.46956" TargetMode="External"/><Relationship Id="rId67" Type="http://schemas.openxmlformats.org/officeDocument/2006/relationships/hyperlink" Target="https://www.google.com/maps?q=-13.55066,29.66462" TargetMode="External"/><Relationship Id="rId272" Type="http://schemas.openxmlformats.org/officeDocument/2006/relationships/hyperlink" Target="https://www.google.com/maps?q=-12.86738,28.24099" TargetMode="External"/><Relationship Id="rId293" Type="http://schemas.openxmlformats.org/officeDocument/2006/relationships/hyperlink" Target="https://www.google.com/maps?q=-12.86745,28.24099" TargetMode="External"/><Relationship Id="rId307" Type="http://schemas.openxmlformats.org/officeDocument/2006/relationships/hyperlink" Target="https://www.google.com/maps?q=-8.91164,33.44778" TargetMode="External"/><Relationship Id="rId88" Type="http://schemas.openxmlformats.org/officeDocument/2006/relationships/hyperlink" Target="https://www.google.com/maps?q=-9.68929,32.70705" TargetMode="External"/><Relationship Id="rId111" Type="http://schemas.openxmlformats.org/officeDocument/2006/relationships/hyperlink" Target="https://www.google.com/maps?q=-8.91125,33.44823" TargetMode="External"/><Relationship Id="rId132" Type="http://schemas.openxmlformats.org/officeDocument/2006/relationships/hyperlink" Target="https://www.google.com/maps?q=-12.32151,27.80037" TargetMode="External"/><Relationship Id="rId153" Type="http://schemas.openxmlformats.org/officeDocument/2006/relationships/hyperlink" Target="https://www.google.com/maps?q=-5.78734,38.29075" TargetMode="External"/><Relationship Id="rId174" Type="http://schemas.openxmlformats.org/officeDocument/2006/relationships/hyperlink" Target="https://www.google.com/maps?q=-7.46833,36.50907" TargetMode="External"/><Relationship Id="rId195" Type="http://schemas.openxmlformats.org/officeDocument/2006/relationships/hyperlink" Target="https://www.google.com/maps?q=-12.16106,27.72203" TargetMode="External"/><Relationship Id="rId209" Type="http://schemas.openxmlformats.org/officeDocument/2006/relationships/hyperlink" Target="https://www.google.com/maps?q=-12.34476,27.81789" TargetMode="External"/><Relationship Id="rId220" Type="http://schemas.openxmlformats.org/officeDocument/2006/relationships/hyperlink" Target="https://www.google.com/maps?q=-12.32398,27.80144" TargetMode="External"/><Relationship Id="rId241" Type="http://schemas.openxmlformats.org/officeDocument/2006/relationships/hyperlink" Target="https://www.google.com/maps?q=-8.50552,35.06890" TargetMode="External"/><Relationship Id="rId15" Type="http://schemas.openxmlformats.org/officeDocument/2006/relationships/hyperlink" Target="https://www.google.com/maps?q=-13.59827,28.62368" TargetMode="External"/><Relationship Id="rId36" Type="http://schemas.openxmlformats.org/officeDocument/2006/relationships/hyperlink" Target="https://www.google.com/maps?q=-6.67345,38.60946" TargetMode="External"/><Relationship Id="rId57" Type="http://schemas.openxmlformats.org/officeDocument/2006/relationships/hyperlink" Target="https://www.google.com/maps?q=-9.73564,32.73603" TargetMode="External"/><Relationship Id="rId262" Type="http://schemas.openxmlformats.org/officeDocument/2006/relationships/hyperlink" Target="https://www.google.com/maps?q=-12.86737,28.24098" TargetMode="External"/><Relationship Id="rId283" Type="http://schemas.openxmlformats.org/officeDocument/2006/relationships/hyperlink" Target="https://www.google.com/maps?q=-8.76899,34.37695" TargetMode="External"/><Relationship Id="rId78" Type="http://schemas.openxmlformats.org/officeDocument/2006/relationships/hyperlink" Target="https://www.google.com/maps?q=-8.24238,35.34380" TargetMode="External"/><Relationship Id="rId99" Type="http://schemas.openxmlformats.org/officeDocument/2006/relationships/hyperlink" Target="https://www.google.com/maps?q=-8.91122,33.44841" TargetMode="External"/><Relationship Id="rId101" Type="http://schemas.openxmlformats.org/officeDocument/2006/relationships/hyperlink" Target="https://www.google.com/maps?q=-8.81507,33.69046" TargetMode="External"/><Relationship Id="rId122" Type="http://schemas.openxmlformats.org/officeDocument/2006/relationships/hyperlink" Target="https://www.google.com/maps?q=-12.31976,27.79945" TargetMode="External"/><Relationship Id="rId143" Type="http://schemas.openxmlformats.org/officeDocument/2006/relationships/hyperlink" Target="https://www.google.com/maps?q=-12.32404,27.80170" TargetMode="External"/><Relationship Id="rId164" Type="http://schemas.openxmlformats.org/officeDocument/2006/relationships/hyperlink" Target="https://www.google.com/maps?q=-10.82933,32.03981" TargetMode="External"/><Relationship Id="rId185" Type="http://schemas.openxmlformats.org/officeDocument/2006/relationships/hyperlink" Target="https://www.google.com/maps?q=-6.91885,37.51369" TargetMode="External"/><Relationship Id="rId9" Type="http://schemas.openxmlformats.org/officeDocument/2006/relationships/hyperlink" Target="https://www.google.com/maps?q=-10.62998,32.15541" TargetMode="External"/><Relationship Id="rId210" Type="http://schemas.openxmlformats.org/officeDocument/2006/relationships/hyperlink" Target="https://www.google.com/maps?q=-12.34476,27.81789" TargetMode="External"/><Relationship Id="rId26" Type="http://schemas.openxmlformats.org/officeDocument/2006/relationships/hyperlink" Target="https://www.google.com/maps?q=-8.77876,33.78429" TargetMode="External"/><Relationship Id="rId231" Type="http://schemas.openxmlformats.org/officeDocument/2006/relationships/hyperlink" Target="https://www.google.com/maps?q=-12.32621,27.80282" TargetMode="External"/><Relationship Id="rId252" Type="http://schemas.openxmlformats.org/officeDocument/2006/relationships/hyperlink" Target="https://www.google.com/maps?q=-12.34719,27.82422" TargetMode="External"/><Relationship Id="rId273" Type="http://schemas.openxmlformats.org/officeDocument/2006/relationships/hyperlink" Target="https://www.google.com/maps?q=-12.86738,28.24099" TargetMode="External"/><Relationship Id="rId294" Type="http://schemas.openxmlformats.org/officeDocument/2006/relationships/hyperlink" Target="https://www.google.com/maps?q=-12.86745,28.24099" TargetMode="External"/><Relationship Id="rId308" Type="http://schemas.openxmlformats.org/officeDocument/2006/relationships/hyperlink" Target="https://www.google.com/maps?q=-12.86753,28.24073" TargetMode="External"/><Relationship Id="rId47" Type="http://schemas.openxmlformats.org/officeDocument/2006/relationships/hyperlink" Target="https://www.google.com/maps?q=-8.04528,35.46956" TargetMode="External"/><Relationship Id="rId68" Type="http://schemas.openxmlformats.org/officeDocument/2006/relationships/hyperlink" Target="https://www.google.com/maps?q=-13.55066,29.66462" TargetMode="External"/><Relationship Id="rId89" Type="http://schemas.openxmlformats.org/officeDocument/2006/relationships/hyperlink" Target="https://www.google.com/maps?q=-9.68970,32.70744" TargetMode="External"/><Relationship Id="rId112" Type="http://schemas.openxmlformats.org/officeDocument/2006/relationships/hyperlink" Target="https://www.google.com/maps?q=-8.82486,33.67668" TargetMode="External"/><Relationship Id="rId133" Type="http://schemas.openxmlformats.org/officeDocument/2006/relationships/hyperlink" Target="https://www.google.com/maps?q=-13.64386,29.40162" TargetMode="External"/><Relationship Id="rId154" Type="http://schemas.openxmlformats.org/officeDocument/2006/relationships/hyperlink" Target="https://www.google.com/maps?q=-5.78734,38.29075" TargetMode="External"/><Relationship Id="rId175" Type="http://schemas.openxmlformats.org/officeDocument/2006/relationships/hyperlink" Target="https://www.google.com/maps?q=-6.91912,37.51342" TargetMode="External"/><Relationship Id="rId196" Type="http://schemas.openxmlformats.org/officeDocument/2006/relationships/hyperlink" Target="https://www.google.com/maps?q=-12.16104,27.72204" TargetMode="External"/><Relationship Id="rId200" Type="http://schemas.openxmlformats.org/officeDocument/2006/relationships/hyperlink" Target="https://www.google.com/maps?q=-8.91134,33.44803" TargetMode="External"/><Relationship Id="rId16" Type="http://schemas.openxmlformats.org/officeDocument/2006/relationships/hyperlink" Target="https://www.google.com/maps?q=-12.97207,30.65171" TargetMode="External"/><Relationship Id="rId221" Type="http://schemas.openxmlformats.org/officeDocument/2006/relationships/hyperlink" Target="https://www.google.com/maps?q=-12.32398,27.80144" TargetMode="External"/><Relationship Id="rId242" Type="http://schemas.openxmlformats.org/officeDocument/2006/relationships/hyperlink" Target="https://www.google.com/maps?q=-8.50552,35.06890" TargetMode="External"/><Relationship Id="rId263" Type="http://schemas.openxmlformats.org/officeDocument/2006/relationships/hyperlink" Target="https://www.google.com/maps?q=-12.86737,28.24098" TargetMode="External"/><Relationship Id="rId284" Type="http://schemas.openxmlformats.org/officeDocument/2006/relationships/hyperlink" Target="https://www.google.com/maps?q=-8.76899,34.37695" TargetMode="External"/><Relationship Id="rId37" Type="http://schemas.openxmlformats.org/officeDocument/2006/relationships/hyperlink" Target="https://www.google.com/maps?q=-9.69005,32.70769" TargetMode="External"/><Relationship Id="rId58" Type="http://schemas.openxmlformats.org/officeDocument/2006/relationships/hyperlink" Target="https://www.google.com/maps?q=-8.50572,35.06840" TargetMode="External"/><Relationship Id="rId79" Type="http://schemas.openxmlformats.org/officeDocument/2006/relationships/hyperlink" Target="https://www.google.com/maps?q=-8.91124,33.44802" TargetMode="External"/><Relationship Id="rId102" Type="http://schemas.openxmlformats.org/officeDocument/2006/relationships/hyperlink" Target="https://www.google.com/maps?q=-8.91155,33.44774" TargetMode="External"/><Relationship Id="rId123" Type="http://schemas.openxmlformats.org/officeDocument/2006/relationships/hyperlink" Target="https://www.google.com/maps?q=-8.91165,33.44771" TargetMode="External"/><Relationship Id="rId144" Type="http://schemas.openxmlformats.org/officeDocument/2006/relationships/hyperlink" Target="https://www.google.com/maps?q=-10.97072,26.63142" TargetMode="External"/><Relationship Id="rId90" Type="http://schemas.openxmlformats.org/officeDocument/2006/relationships/hyperlink" Target="https://www.google.com/maps?q=-9.68970,32.70744" TargetMode="External"/><Relationship Id="rId165" Type="http://schemas.openxmlformats.org/officeDocument/2006/relationships/hyperlink" Target="https://www.google.com/maps?q=-10.82933,32.03981" TargetMode="External"/><Relationship Id="rId186" Type="http://schemas.openxmlformats.org/officeDocument/2006/relationships/hyperlink" Target="https://www.google.com/maps?q=-6.91885,37.51369" TargetMode="External"/><Relationship Id="rId211" Type="http://schemas.openxmlformats.org/officeDocument/2006/relationships/hyperlink" Target="https://www.google.com/maps?q=-12.16393,27.73112" TargetMode="External"/><Relationship Id="rId232" Type="http://schemas.openxmlformats.org/officeDocument/2006/relationships/hyperlink" Target="https://www.google.com/maps?q=-6.91823,37.51425" TargetMode="External"/><Relationship Id="rId253" Type="http://schemas.openxmlformats.org/officeDocument/2006/relationships/hyperlink" Target="https://www.google.com/maps?q=-13.29602,30.04590" TargetMode="External"/><Relationship Id="rId274" Type="http://schemas.openxmlformats.org/officeDocument/2006/relationships/hyperlink" Target="https://www.google.com/maps?q=-8.91125,33.46363" TargetMode="External"/><Relationship Id="rId295" Type="http://schemas.openxmlformats.org/officeDocument/2006/relationships/hyperlink" Target="https://www.google.com/maps?q=-11.21726,31.82772" TargetMode="External"/><Relationship Id="rId309" Type="http://schemas.openxmlformats.org/officeDocument/2006/relationships/hyperlink" Target="https://www.google.com/maps?q=-12.86753,28.24073" TargetMode="External"/><Relationship Id="rId27" Type="http://schemas.openxmlformats.org/officeDocument/2006/relationships/hyperlink" Target="https://www.google.com/maps?q=-8.77876,33.78429" TargetMode="External"/><Relationship Id="rId48" Type="http://schemas.openxmlformats.org/officeDocument/2006/relationships/hyperlink" Target="https://www.google.com/maps?q=-8.04528,35.46956" TargetMode="External"/><Relationship Id="rId69" Type="http://schemas.openxmlformats.org/officeDocument/2006/relationships/hyperlink" Target="https://www.google.com/maps?q=-13.55066,29.66462" TargetMode="External"/><Relationship Id="rId113" Type="http://schemas.openxmlformats.org/officeDocument/2006/relationships/hyperlink" Target="https://www.google.com/maps?q=-8.82486,33.67668" TargetMode="External"/><Relationship Id="rId134" Type="http://schemas.openxmlformats.org/officeDocument/2006/relationships/hyperlink" Target="https://www.google.com/maps?q=-13.64386,29.40162" TargetMode="External"/><Relationship Id="rId80" Type="http://schemas.openxmlformats.org/officeDocument/2006/relationships/hyperlink" Target="https://www.google.com/maps?q=-8.91124,33.44802" TargetMode="External"/><Relationship Id="rId155" Type="http://schemas.openxmlformats.org/officeDocument/2006/relationships/hyperlink" Target="https://www.google.com/maps?q=-8.91123,33.44814" TargetMode="External"/><Relationship Id="rId176" Type="http://schemas.openxmlformats.org/officeDocument/2006/relationships/hyperlink" Target="https://www.google.com/maps?q=-7.46833,36.50907" TargetMode="External"/><Relationship Id="rId197" Type="http://schemas.openxmlformats.org/officeDocument/2006/relationships/hyperlink" Target="https://www.google.com/maps?q=-12.16104,27.72204" TargetMode="External"/><Relationship Id="rId201" Type="http://schemas.openxmlformats.org/officeDocument/2006/relationships/hyperlink" Target="https://www.google.com/maps?q=-8.91134,33.44803" TargetMode="External"/><Relationship Id="rId222" Type="http://schemas.openxmlformats.org/officeDocument/2006/relationships/hyperlink" Target="https://www.google.com/maps?q=-12.32597,27.80250" TargetMode="External"/><Relationship Id="rId243" Type="http://schemas.openxmlformats.org/officeDocument/2006/relationships/hyperlink" Target="https://www.google.com/maps?q=-8.50552,35.06890" TargetMode="External"/><Relationship Id="rId264" Type="http://schemas.openxmlformats.org/officeDocument/2006/relationships/hyperlink" Target="https://www.google.com/maps?q=-12.86737,28.24098" TargetMode="External"/><Relationship Id="rId285" Type="http://schemas.openxmlformats.org/officeDocument/2006/relationships/hyperlink" Target="https://www.google.com/maps?q=-8.76899,34.37695" TargetMode="External"/><Relationship Id="rId17" Type="http://schemas.openxmlformats.org/officeDocument/2006/relationships/hyperlink" Target="https://www.google.com/maps?q=-12.97207,30.65171" TargetMode="External"/><Relationship Id="rId38" Type="http://schemas.openxmlformats.org/officeDocument/2006/relationships/hyperlink" Target="https://www.google.com/maps?q=-8.91165,33.44748" TargetMode="External"/><Relationship Id="rId59" Type="http://schemas.openxmlformats.org/officeDocument/2006/relationships/hyperlink" Target="https://www.google.com/maps?q=-8.50572,35.06840" TargetMode="External"/><Relationship Id="rId103" Type="http://schemas.openxmlformats.org/officeDocument/2006/relationships/hyperlink" Target="https://www.google.com/maps?q=-8.91155,33.44774" TargetMode="External"/><Relationship Id="rId124" Type="http://schemas.openxmlformats.org/officeDocument/2006/relationships/hyperlink" Target="https://www.google.com/maps?q=-8.91165,33.44771" TargetMode="External"/><Relationship Id="rId310" Type="http://schemas.openxmlformats.org/officeDocument/2006/relationships/table" Target="../tables/table1.xml"/><Relationship Id="rId70" Type="http://schemas.openxmlformats.org/officeDocument/2006/relationships/hyperlink" Target="https://www.google.com/maps?q=-9.38963,32.72024" TargetMode="External"/><Relationship Id="rId91" Type="http://schemas.openxmlformats.org/officeDocument/2006/relationships/hyperlink" Target="https://www.google.com/maps?q=-8.91123,33.44824" TargetMode="External"/><Relationship Id="rId145" Type="http://schemas.openxmlformats.org/officeDocument/2006/relationships/hyperlink" Target="https://www.google.com/maps?q=-7.40098,36.98826" TargetMode="External"/><Relationship Id="rId166" Type="http://schemas.openxmlformats.org/officeDocument/2006/relationships/hyperlink" Target="https://www.google.com/maps?q=-8.80078,34.22647" TargetMode="External"/><Relationship Id="rId187" Type="http://schemas.openxmlformats.org/officeDocument/2006/relationships/hyperlink" Target="https://www.google.com/maps?q=-12.81863,28.20338" TargetMode="External"/><Relationship Id="rId1" Type="http://schemas.openxmlformats.org/officeDocument/2006/relationships/hyperlink" Target="https://www.google.com/maps?q=-5.38423,38.53568" TargetMode="External"/><Relationship Id="rId212" Type="http://schemas.openxmlformats.org/officeDocument/2006/relationships/hyperlink" Target="https://www.google.com/maps?q=-12.16393,27.73112" TargetMode="External"/><Relationship Id="rId233" Type="http://schemas.openxmlformats.org/officeDocument/2006/relationships/hyperlink" Target="https://www.google.com/maps?q=-6.91823,37.51425" TargetMode="External"/><Relationship Id="rId254" Type="http://schemas.openxmlformats.org/officeDocument/2006/relationships/hyperlink" Target="https://www.google.com/maps?q=-13.68186,29.22124" TargetMode="External"/><Relationship Id="rId28" Type="http://schemas.openxmlformats.org/officeDocument/2006/relationships/hyperlink" Target="https://www.google.com/maps?q=-8.91138,33.44742" TargetMode="External"/><Relationship Id="rId49" Type="http://schemas.openxmlformats.org/officeDocument/2006/relationships/hyperlink" Target="https://www.google.com/maps?q=-8.76858,34.38327" TargetMode="External"/><Relationship Id="rId114" Type="http://schemas.openxmlformats.org/officeDocument/2006/relationships/hyperlink" Target="https://www.google.com/maps?q=-8.82486,33.67668" TargetMode="External"/><Relationship Id="rId275" Type="http://schemas.openxmlformats.org/officeDocument/2006/relationships/hyperlink" Target="https://www.google.com/maps?q=-8.91125,33.46363" TargetMode="External"/><Relationship Id="rId296" Type="http://schemas.openxmlformats.org/officeDocument/2006/relationships/hyperlink" Target="https://www.google.com/maps?q=-11.21726,31.82772" TargetMode="External"/><Relationship Id="rId300" Type="http://schemas.openxmlformats.org/officeDocument/2006/relationships/hyperlink" Target="https://www.google.com/maps?q=-11.21725,31.82770" TargetMode="External"/><Relationship Id="rId60" Type="http://schemas.openxmlformats.org/officeDocument/2006/relationships/hyperlink" Target="https://www.google.com/maps?q=-8.50572,35.06840" TargetMode="External"/><Relationship Id="rId81" Type="http://schemas.openxmlformats.org/officeDocument/2006/relationships/hyperlink" Target="https://www.google.com/maps?q=-8.91124,33.44802" TargetMode="External"/><Relationship Id="rId135" Type="http://schemas.openxmlformats.org/officeDocument/2006/relationships/hyperlink" Target="https://www.google.com/maps?q=-13.64386,29.40162" TargetMode="External"/><Relationship Id="rId156" Type="http://schemas.openxmlformats.org/officeDocument/2006/relationships/hyperlink" Target="https://www.google.com/maps?q=-8.91123,33.44814" TargetMode="External"/><Relationship Id="rId177" Type="http://schemas.openxmlformats.org/officeDocument/2006/relationships/hyperlink" Target="https://www.google.com/maps?q=-7.46833,36.50907" TargetMode="External"/><Relationship Id="rId198" Type="http://schemas.openxmlformats.org/officeDocument/2006/relationships/hyperlink" Target="https://www.google.com/maps?q=-12.16104,27.72204" TargetMode="External"/><Relationship Id="rId202" Type="http://schemas.openxmlformats.org/officeDocument/2006/relationships/hyperlink" Target="https://www.google.com/maps?q=-8.91127,33.44812" TargetMode="External"/><Relationship Id="rId223" Type="http://schemas.openxmlformats.org/officeDocument/2006/relationships/hyperlink" Target="https://www.google.com/maps?q=-8.82670,33.85168" TargetMode="External"/><Relationship Id="rId244" Type="http://schemas.openxmlformats.org/officeDocument/2006/relationships/hyperlink" Target="https://www.google.com/maps?q=-13.47715,29.81025" TargetMode="External"/><Relationship Id="rId18" Type="http://schemas.openxmlformats.org/officeDocument/2006/relationships/hyperlink" Target="https://www.google.com/maps?q=-6.74764,38.90228" TargetMode="External"/><Relationship Id="rId39" Type="http://schemas.openxmlformats.org/officeDocument/2006/relationships/hyperlink" Target="https://www.google.com/maps?q=-8.91165,33.44748" TargetMode="External"/><Relationship Id="rId265" Type="http://schemas.openxmlformats.org/officeDocument/2006/relationships/hyperlink" Target="https://www.google.com/maps?q=-7.46769,36.51067" TargetMode="External"/><Relationship Id="rId286" Type="http://schemas.openxmlformats.org/officeDocument/2006/relationships/hyperlink" Target="https://www.google.com/maps?q=-8.77902,33.78470" TargetMode="External"/><Relationship Id="rId50" Type="http://schemas.openxmlformats.org/officeDocument/2006/relationships/hyperlink" Target="https://www.google.com/maps?q=-8.76858,34.38327" TargetMode="External"/><Relationship Id="rId104" Type="http://schemas.openxmlformats.org/officeDocument/2006/relationships/hyperlink" Target="https://www.google.com/maps?q=-7.67976,36.03869" TargetMode="External"/><Relationship Id="rId125" Type="http://schemas.openxmlformats.org/officeDocument/2006/relationships/hyperlink" Target="https://www.google.com/maps?q=-12.31976,27.79945" TargetMode="External"/><Relationship Id="rId146" Type="http://schemas.openxmlformats.org/officeDocument/2006/relationships/hyperlink" Target="https://www.google.com/maps?q=-10.97072,26.63142" TargetMode="External"/><Relationship Id="rId167" Type="http://schemas.openxmlformats.org/officeDocument/2006/relationships/hyperlink" Target="https://www.google.com/maps?q=-6.92840,37.41259" TargetMode="External"/><Relationship Id="rId188" Type="http://schemas.openxmlformats.org/officeDocument/2006/relationships/hyperlink" Target="https://www.google.com/maps?q=-12.81863,28.20338" TargetMode="External"/><Relationship Id="rId71" Type="http://schemas.openxmlformats.org/officeDocument/2006/relationships/hyperlink" Target="https://www.google.com/maps?q=-9.38963,32.72024" TargetMode="External"/><Relationship Id="rId92" Type="http://schemas.openxmlformats.org/officeDocument/2006/relationships/hyperlink" Target="https://www.google.com/maps?q=-8.91123,33.44824" TargetMode="External"/><Relationship Id="rId213" Type="http://schemas.openxmlformats.org/officeDocument/2006/relationships/hyperlink" Target="https://www.google.com/maps?q=-12.16393,27.73112" TargetMode="External"/><Relationship Id="rId234" Type="http://schemas.openxmlformats.org/officeDocument/2006/relationships/hyperlink" Target="https://www.google.com/maps?q=-6.91823,37.51425" TargetMode="External"/><Relationship Id="rId2" Type="http://schemas.openxmlformats.org/officeDocument/2006/relationships/hyperlink" Target="https://www.google.com/maps?q=-5.38423,38.53568" TargetMode="External"/><Relationship Id="rId29" Type="http://schemas.openxmlformats.org/officeDocument/2006/relationships/hyperlink" Target="https://www.google.com/maps?q=-8.91138,33.44742" TargetMode="External"/><Relationship Id="rId255" Type="http://schemas.openxmlformats.org/officeDocument/2006/relationships/hyperlink" Target="https://www.google.com/maps?q=-13.68186,29.22124" TargetMode="External"/><Relationship Id="rId276" Type="http://schemas.openxmlformats.org/officeDocument/2006/relationships/hyperlink" Target="https://www.google.com/maps?q=-8.91125,33.46363" TargetMode="External"/><Relationship Id="rId297" Type="http://schemas.openxmlformats.org/officeDocument/2006/relationships/hyperlink" Target="https://www.google.com/maps?q=-11.21726,31.82772" TargetMode="External"/><Relationship Id="rId40" Type="http://schemas.openxmlformats.org/officeDocument/2006/relationships/hyperlink" Target="https://www.google.com/maps?q=-9.69005,32.70769" TargetMode="External"/><Relationship Id="rId115" Type="http://schemas.openxmlformats.org/officeDocument/2006/relationships/hyperlink" Target="https://www.google.com/maps?q=-8.85254,33.64728" TargetMode="External"/><Relationship Id="rId136" Type="http://schemas.openxmlformats.org/officeDocument/2006/relationships/hyperlink" Target="https://www.google.com/maps?q=-7.39933,36.99237" TargetMode="External"/><Relationship Id="rId157" Type="http://schemas.openxmlformats.org/officeDocument/2006/relationships/hyperlink" Target="https://www.google.com/maps?q=-8.93148,33.38431" TargetMode="External"/><Relationship Id="rId178" Type="http://schemas.openxmlformats.org/officeDocument/2006/relationships/hyperlink" Target="https://www.google.com/maps?q=-7.47056,36.50038" TargetMode="External"/><Relationship Id="rId301" Type="http://schemas.openxmlformats.org/officeDocument/2006/relationships/hyperlink" Target="https://www.google.com/maps?q=-11.21721,31.82765" TargetMode="External"/><Relationship Id="rId61" Type="http://schemas.openxmlformats.org/officeDocument/2006/relationships/hyperlink" Target="https://www.google.com/maps?q=-8.83089,33.87795" TargetMode="External"/><Relationship Id="rId82" Type="http://schemas.openxmlformats.org/officeDocument/2006/relationships/hyperlink" Target="https://www.google.com/maps?q=-9.68929,32.70705" TargetMode="External"/><Relationship Id="rId199" Type="http://schemas.openxmlformats.org/officeDocument/2006/relationships/hyperlink" Target="https://www.google.com/maps?q=-8.91134,33.44803" TargetMode="External"/><Relationship Id="rId203" Type="http://schemas.openxmlformats.org/officeDocument/2006/relationships/hyperlink" Target="https://www.google.com/maps?q=-8.91127,33.44812" TargetMode="External"/><Relationship Id="rId19" Type="http://schemas.openxmlformats.org/officeDocument/2006/relationships/hyperlink" Target="https://www.google.com/maps?q=-6.74764,38.90228" TargetMode="External"/><Relationship Id="rId224" Type="http://schemas.openxmlformats.org/officeDocument/2006/relationships/hyperlink" Target="https://www.google.com/maps?q=-8.82670,33.85168" TargetMode="External"/><Relationship Id="rId245" Type="http://schemas.openxmlformats.org/officeDocument/2006/relationships/hyperlink" Target="https://www.google.com/maps?q=-13.47715,29.81025" TargetMode="External"/><Relationship Id="rId266" Type="http://schemas.openxmlformats.org/officeDocument/2006/relationships/hyperlink" Target="https://www.google.com/maps?q=-8.91204,33.44310" TargetMode="External"/><Relationship Id="rId287" Type="http://schemas.openxmlformats.org/officeDocument/2006/relationships/hyperlink" Target="https://www.google.com/maps?q=-8.77902,33.78470" TargetMode="External"/><Relationship Id="rId30" Type="http://schemas.openxmlformats.org/officeDocument/2006/relationships/hyperlink" Target="https://www.google.com/maps?q=-8.91138,33.44742" TargetMode="External"/><Relationship Id="rId105" Type="http://schemas.openxmlformats.org/officeDocument/2006/relationships/hyperlink" Target="https://www.google.com/maps?q=-8.81507,33.69046" TargetMode="External"/><Relationship Id="rId126" Type="http://schemas.openxmlformats.org/officeDocument/2006/relationships/hyperlink" Target="https://www.google.com/maps?q=-8.91165,33.44771" TargetMode="External"/><Relationship Id="rId147" Type="http://schemas.openxmlformats.org/officeDocument/2006/relationships/hyperlink" Target="https://www.google.com/maps?q=-7.40098,36.98826" TargetMode="External"/><Relationship Id="rId168" Type="http://schemas.openxmlformats.org/officeDocument/2006/relationships/hyperlink" Target="https://www.google.com/maps?q=-6.92840,37.41259" TargetMode="External"/><Relationship Id="rId51" Type="http://schemas.openxmlformats.org/officeDocument/2006/relationships/hyperlink" Target="https://www.google.com/maps?q=-8.76858,34.38327" TargetMode="External"/><Relationship Id="rId72" Type="http://schemas.openxmlformats.org/officeDocument/2006/relationships/hyperlink" Target="https://www.google.com/maps?q=-9.38963,32.72024" TargetMode="External"/><Relationship Id="rId93" Type="http://schemas.openxmlformats.org/officeDocument/2006/relationships/hyperlink" Target="https://www.google.com/maps?q=-8.91123,33.44824" TargetMode="External"/><Relationship Id="rId189" Type="http://schemas.openxmlformats.org/officeDocument/2006/relationships/hyperlink" Target="https://www.google.com/maps?q=-12.81863,28.20338" TargetMode="External"/><Relationship Id="rId3" Type="http://schemas.openxmlformats.org/officeDocument/2006/relationships/hyperlink" Target="https://www.google.com/maps?q=-5.38403,38.53570" TargetMode="External"/><Relationship Id="rId214" Type="http://schemas.openxmlformats.org/officeDocument/2006/relationships/hyperlink" Target="https://www.google.com/maps?q=-6.68822,38.69262" TargetMode="External"/><Relationship Id="rId235" Type="http://schemas.openxmlformats.org/officeDocument/2006/relationships/hyperlink" Target="https://www.google.com/maps?q=-6.80398,37.69298" TargetMode="External"/><Relationship Id="rId256" Type="http://schemas.openxmlformats.org/officeDocument/2006/relationships/hyperlink" Target="https://www.google.com/maps?q=-13.68176,29.22144" TargetMode="External"/><Relationship Id="rId277" Type="http://schemas.openxmlformats.org/officeDocument/2006/relationships/hyperlink" Target="https://www.google.com/maps?q=-8.76811,34.37875" TargetMode="External"/><Relationship Id="rId298" Type="http://schemas.openxmlformats.org/officeDocument/2006/relationships/hyperlink" Target="https://www.google.com/maps?q=-11.21725,31.82770" TargetMode="External"/><Relationship Id="rId116" Type="http://schemas.openxmlformats.org/officeDocument/2006/relationships/hyperlink" Target="https://www.google.com/maps?q=-8.85254,33.64728" TargetMode="External"/><Relationship Id="rId137" Type="http://schemas.openxmlformats.org/officeDocument/2006/relationships/hyperlink" Target="https://www.google.com/maps?q=-7.39933,36.99237" TargetMode="External"/><Relationship Id="rId158" Type="http://schemas.openxmlformats.org/officeDocument/2006/relationships/hyperlink" Target="https://www.google.com/maps?q=-8.93148,33.38431" TargetMode="External"/><Relationship Id="rId302" Type="http://schemas.openxmlformats.org/officeDocument/2006/relationships/hyperlink" Target="https://www.google.com/maps?q=-11.21721,31.82765" TargetMode="External"/><Relationship Id="rId20" Type="http://schemas.openxmlformats.org/officeDocument/2006/relationships/hyperlink" Target="https://www.google.com/maps?q=-6.74764,38.90228" TargetMode="External"/><Relationship Id="rId41" Type="http://schemas.openxmlformats.org/officeDocument/2006/relationships/hyperlink" Target="https://www.google.com/maps?q=-9.69019,32.70777" TargetMode="External"/><Relationship Id="rId62" Type="http://schemas.openxmlformats.org/officeDocument/2006/relationships/hyperlink" Target="https://www.google.com/maps?q=-8.83089,33.87795" TargetMode="External"/><Relationship Id="rId83" Type="http://schemas.openxmlformats.org/officeDocument/2006/relationships/hyperlink" Target="https://www.google.com/maps?q=-9.68970,32.70744" TargetMode="External"/><Relationship Id="rId179" Type="http://schemas.openxmlformats.org/officeDocument/2006/relationships/hyperlink" Target="https://www.google.com/maps?q=-7.47056,36.50038" TargetMode="External"/><Relationship Id="rId190" Type="http://schemas.openxmlformats.org/officeDocument/2006/relationships/hyperlink" Target="https://www.google.com/maps?q=-12.16066,27.72068" TargetMode="External"/><Relationship Id="rId204" Type="http://schemas.openxmlformats.org/officeDocument/2006/relationships/hyperlink" Target="https://www.google.com/maps?q=-8.91127,33.44812" TargetMode="External"/><Relationship Id="rId225" Type="http://schemas.openxmlformats.org/officeDocument/2006/relationships/hyperlink" Target="https://www.google.com/maps?q=-6.65179,38.03533" TargetMode="External"/><Relationship Id="rId246" Type="http://schemas.openxmlformats.org/officeDocument/2006/relationships/hyperlink" Target="https://www.google.com/maps?q=-13.47715,29.81025" TargetMode="External"/><Relationship Id="rId267" Type="http://schemas.openxmlformats.org/officeDocument/2006/relationships/hyperlink" Target="https://www.google.com/maps?q=-8.91204,33.44310" TargetMode="External"/><Relationship Id="rId288" Type="http://schemas.openxmlformats.org/officeDocument/2006/relationships/hyperlink" Target="https://www.google.com/maps?q=-8.77902,33.78470" TargetMode="External"/><Relationship Id="rId106" Type="http://schemas.openxmlformats.org/officeDocument/2006/relationships/hyperlink" Target="https://www.google.com/maps?q=-8.91155,33.44774" TargetMode="External"/><Relationship Id="rId127" Type="http://schemas.openxmlformats.org/officeDocument/2006/relationships/hyperlink" Target="https://www.google.com/maps?q=-12.32095,27.80008" TargetMode="External"/><Relationship Id="rId10" Type="http://schemas.openxmlformats.org/officeDocument/2006/relationships/hyperlink" Target="https://www.google.com/maps?q=-9.35740,32.71489" TargetMode="External"/><Relationship Id="rId31" Type="http://schemas.openxmlformats.org/officeDocument/2006/relationships/hyperlink" Target="https://www.google.com/maps?q=-9.68988,32.70754" TargetMode="External"/><Relationship Id="rId52" Type="http://schemas.openxmlformats.org/officeDocument/2006/relationships/hyperlink" Target="https://www.google.com/maps?q=-9.73564,32.73603" TargetMode="External"/><Relationship Id="rId73" Type="http://schemas.openxmlformats.org/officeDocument/2006/relationships/hyperlink" Target="https://www.google.com/maps?q=-7.54370,36.42698" TargetMode="External"/><Relationship Id="rId94" Type="http://schemas.openxmlformats.org/officeDocument/2006/relationships/hyperlink" Target="https://www.google.com/maps?q=-13.87922,28.90574" TargetMode="External"/><Relationship Id="rId148" Type="http://schemas.openxmlformats.org/officeDocument/2006/relationships/hyperlink" Target="https://www.google.com/maps?q=-10.97080,26.63147" TargetMode="External"/><Relationship Id="rId169" Type="http://schemas.openxmlformats.org/officeDocument/2006/relationships/hyperlink" Target="https://www.google.com/maps?q=-6.92840,37.41259" TargetMode="External"/><Relationship Id="rId4" Type="http://schemas.openxmlformats.org/officeDocument/2006/relationships/hyperlink" Target="https://www.google.com/maps?q=-5.38403,38.53570" TargetMode="External"/><Relationship Id="rId180" Type="http://schemas.openxmlformats.org/officeDocument/2006/relationships/hyperlink" Target="https://www.google.com/maps?q=-7.47056,36.50038" TargetMode="External"/><Relationship Id="rId215" Type="http://schemas.openxmlformats.org/officeDocument/2006/relationships/hyperlink" Target="https://www.google.com/maps?q=-6.68822,38.69262" TargetMode="External"/><Relationship Id="rId236" Type="http://schemas.openxmlformats.org/officeDocument/2006/relationships/hyperlink" Target="https://www.google.com/maps?q=-6.80398,37.69298" TargetMode="External"/><Relationship Id="rId257" Type="http://schemas.openxmlformats.org/officeDocument/2006/relationships/hyperlink" Target="https://www.google.com/maps?q=-13.68186,29.22124" TargetMode="External"/><Relationship Id="rId278" Type="http://schemas.openxmlformats.org/officeDocument/2006/relationships/hyperlink" Target="https://www.google.com/maps?q=-8.76811,34.37875" TargetMode="External"/><Relationship Id="rId303" Type="http://schemas.openxmlformats.org/officeDocument/2006/relationships/hyperlink" Target="https://www.google.com/maps?q=-11.21721,31.82765" TargetMode="External"/><Relationship Id="rId42" Type="http://schemas.openxmlformats.org/officeDocument/2006/relationships/hyperlink" Target="https://www.google.com/maps?q=-9.69019,32.70777" TargetMode="External"/><Relationship Id="rId84" Type="http://schemas.openxmlformats.org/officeDocument/2006/relationships/hyperlink" Target="https://www.google.com/maps?q=-8.04679,35.46891" TargetMode="External"/><Relationship Id="rId138" Type="http://schemas.openxmlformats.org/officeDocument/2006/relationships/hyperlink" Target="https://www.google.com/maps?q=-7.39933,36.99237" TargetMode="External"/><Relationship Id="rId191" Type="http://schemas.openxmlformats.org/officeDocument/2006/relationships/hyperlink" Target="https://www.google.com/maps?q=-12.16066,27.72068" TargetMode="External"/><Relationship Id="rId205" Type="http://schemas.openxmlformats.org/officeDocument/2006/relationships/hyperlink" Target="https://www.google.com/maps?q=-12.13316,27.67796" TargetMode="External"/><Relationship Id="rId247" Type="http://schemas.openxmlformats.org/officeDocument/2006/relationships/hyperlink" Target="https://www.google.com/maps?q=-13.49374,29.80157" TargetMode="External"/><Relationship Id="rId107" Type="http://schemas.openxmlformats.org/officeDocument/2006/relationships/hyperlink" Target="https://www.google.com/maps?q=-8.81507,33.69046" TargetMode="External"/><Relationship Id="rId289" Type="http://schemas.openxmlformats.org/officeDocument/2006/relationships/hyperlink" Target="https://www.google.com/maps?q=-12.86765,28.24079" TargetMode="External"/><Relationship Id="rId11" Type="http://schemas.openxmlformats.org/officeDocument/2006/relationships/hyperlink" Target="https://www.google.com/maps?q=-13.59827,28.62368" TargetMode="External"/><Relationship Id="rId53" Type="http://schemas.openxmlformats.org/officeDocument/2006/relationships/hyperlink" Target="https://www.google.com/maps?q=-8.79483,33.80990" TargetMode="External"/><Relationship Id="rId149" Type="http://schemas.openxmlformats.org/officeDocument/2006/relationships/hyperlink" Target="https://www.google.com/maps?q=-10.97080,26.63147" TargetMode="External"/><Relationship Id="rId95" Type="http://schemas.openxmlformats.org/officeDocument/2006/relationships/hyperlink" Target="https://www.google.com/maps?q=-13.87922,28.90574" TargetMode="External"/><Relationship Id="rId160" Type="http://schemas.openxmlformats.org/officeDocument/2006/relationships/hyperlink" Target="https://www.google.com/maps?q=-10.72855,29.09628" TargetMode="External"/><Relationship Id="rId216" Type="http://schemas.openxmlformats.org/officeDocument/2006/relationships/hyperlink" Target="https://www.google.com/maps?q=-6.68822,38.69262" TargetMode="External"/><Relationship Id="rId258" Type="http://schemas.openxmlformats.org/officeDocument/2006/relationships/hyperlink" Target="https://www.google.com/maps?q=-13.29602,30.04590" TargetMode="External"/><Relationship Id="rId22" Type="http://schemas.openxmlformats.org/officeDocument/2006/relationships/hyperlink" Target="https://www.google.com/maps?q=-10.73844,26.54196" TargetMode="External"/><Relationship Id="rId64" Type="http://schemas.openxmlformats.org/officeDocument/2006/relationships/hyperlink" Target="https://www.google.com/maps?q=-8.04564,35.46928" TargetMode="External"/><Relationship Id="rId118" Type="http://schemas.openxmlformats.org/officeDocument/2006/relationships/hyperlink" Target="https://www.google.com/maps?q=-12.31976,27.79945" TargetMode="External"/><Relationship Id="rId171" Type="http://schemas.openxmlformats.org/officeDocument/2006/relationships/hyperlink" Target="https://www.google.com/maps?q=-8.80078,34.22647" TargetMode="External"/><Relationship Id="rId227" Type="http://schemas.openxmlformats.org/officeDocument/2006/relationships/hyperlink" Target="https://www.google.com/maps?q=-8.82670,33.85168" TargetMode="External"/><Relationship Id="rId269" Type="http://schemas.openxmlformats.org/officeDocument/2006/relationships/hyperlink" Target="https://www.google.com/maps?q=-7.46769,36.51067" TargetMode="External"/><Relationship Id="rId33" Type="http://schemas.openxmlformats.org/officeDocument/2006/relationships/hyperlink" Target="https://www.google.com/maps?q=-9.68988,32.70754" TargetMode="External"/><Relationship Id="rId129" Type="http://schemas.openxmlformats.org/officeDocument/2006/relationships/hyperlink" Target="https://www.google.com/maps?q=-12.32095,27.80008" TargetMode="External"/><Relationship Id="rId280" Type="http://schemas.openxmlformats.org/officeDocument/2006/relationships/hyperlink" Target="https://www.google.com/maps?q=-8.77902,33.78455" TargetMode="External"/><Relationship Id="rId75" Type="http://schemas.openxmlformats.org/officeDocument/2006/relationships/hyperlink" Target="https://www.google.com/maps?q=-7.54370,36.42698" TargetMode="External"/><Relationship Id="rId140" Type="http://schemas.openxmlformats.org/officeDocument/2006/relationships/hyperlink" Target="https://www.google.com/maps?q=-10.97072,26.63142" TargetMode="External"/><Relationship Id="rId182" Type="http://schemas.openxmlformats.org/officeDocument/2006/relationships/hyperlink" Target="https://www.google.com/maps?q=-7.40186,36.98590" TargetMode="External"/><Relationship Id="rId6" Type="http://schemas.openxmlformats.org/officeDocument/2006/relationships/hyperlink" Target="https://www.google.com/maps?q=-5.38423,38.53568" TargetMode="External"/><Relationship Id="rId238" Type="http://schemas.openxmlformats.org/officeDocument/2006/relationships/hyperlink" Target="https://www.google.com/maps?q=-7.47059,36.50028" TargetMode="External"/><Relationship Id="rId291" Type="http://schemas.openxmlformats.org/officeDocument/2006/relationships/hyperlink" Target="https://www.google.com/maps?q=-12.86765,28.24079" TargetMode="External"/><Relationship Id="rId305" Type="http://schemas.openxmlformats.org/officeDocument/2006/relationships/hyperlink" Target="https://www.google.com/maps?q=-8.91164,33.44778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?q=-6.17723,38.36605" TargetMode="External"/><Relationship Id="rId21" Type="http://schemas.openxmlformats.org/officeDocument/2006/relationships/hyperlink" Target="https://www.google.com/maps?q=-8.00256,35.50895" TargetMode="External"/><Relationship Id="rId42" Type="http://schemas.openxmlformats.org/officeDocument/2006/relationships/hyperlink" Target="https://www.google.com/maps?q=-10.11500,32.67452" TargetMode="External"/><Relationship Id="rId47" Type="http://schemas.openxmlformats.org/officeDocument/2006/relationships/hyperlink" Target="https://www.google.com/maps?q=-13.06527,28.48268" TargetMode="External"/><Relationship Id="rId63" Type="http://schemas.openxmlformats.org/officeDocument/2006/relationships/hyperlink" Target="https://www.google.com/maps?q=-13.64862,29.34005" TargetMode="External"/><Relationship Id="rId68" Type="http://schemas.openxmlformats.org/officeDocument/2006/relationships/hyperlink" Target="https://www.google.com/maps?q=-11.45473,31.73559" TargetMode="External"/><Relationship Id="rId84" Type="http://schemas.openxmlformats.org/officeDocument/2006/relationships/hyperlink" Target="https://www.google.com/maps?q=-12.05293,31.31255" TargetMode="External"/><Relationship Id="rId89" Type="http://schemas.openxmlformats.org/officeDocument/2006/relationships/hyperlink" Target="https://www.google.com/maps?q=-13.01203,30.65657" TargetMode="External"/><Relationship Id="rId16" Type="http://schemas.openxmlformats.org/officeDocument/2006/relationships/hyperlink" Target="https://www.google.com/maps?q=-9.76291,32.73893" TargetMode="External"/><Relationship Id="rId11" Type="http://schemas.openxmlformats.org/officeDocument/2006/relationships/hyperlink" Target="https://www.google.com/maps?q=-12.46036,27.85174" TargetMode="External"/><Relationship Id="rId32" Type="http://schemas.openxmlformats.org/officeDocument/2006/relationships/hyperlink" Target="https://www.google.com/maps?q=-13.06166,30.64353" TargetMode="External"/><Relationship Id="rId37" Type="http://schemas.openxmlformats.org/officeDocument/2006/relationships/hyperlink" Target="https://www.google.com/maps?q=-13.86527,28.91822" TargetMode="External"/><Relationship Id="rId53" Type="http://schemas.openxmlformats.org/officeDocument/2006/relationships/hyperlink" Target="https://www.google.com/maps?q=-7.64886,36.24855" TargetMode="External"/><Relationship Id="rId58" Type="http://schemas.openxmlformats.org/officeDocument/2006/relationships/hyperlink" Target="https://www.google.com/maps?q=-13.06093,30.50243" TargetMode="External"/><Relationship Id="rId74" Type="http://schemas.openxmlformats.org/officeDocument/2006/relationships/hyperlink" Target="https://www.google.com/maps?q=-9.76147,32.73855" TargetMode="External"/><Relationship Id="rId79" Type="http://schemas.openxmlformats.org/officeDocument/2006/relationships/hyperlink" Target="https://www.google.com/maps?q=-11.30944,27.28322" TargetMode="External"/><Relationship Id="rId102" Type="http://schemas.openxmlformats.org/officeDocument/2006/relationships/hyperlink" Target="https://www.google.com/maps?q=-6.83212,39.23921" TargetMode="External"/><Relationship Id="rId5" Type="http://schemas.openxmlformats.org/officeDocument/2006/relationships/hyperlink" Target="https://www.google.com/maps?q=-8.23610,35.35356" TargetMode="External"/><Relationship Id="rId90" Type="http://schemas.openxmlformats.org/officeDocument/2006/relationships/hyperlink" Target="https://www.google.com/maps?q=-8.07224,35.45399" TargetMode="External"/><Relationship Id="rId95" Type="http://schemas.openxmlformats.org/officeDocument/2006/relationships/hyperlink" Target="https://www.google.com/maps?q=-9.90577,32.71809" TargetMode="External"/><Relationship Id="rId22" Type="http://schemas.openxmlformats.org/officeDocument/2006/relationships/hyperlink" Target="https://www.google.com/maps?q=-7.60466,36.31808" TargetMode="External"/><Relationship Id="rId27" Type="http://schemas.openxmlformats.org/officeDocument/2006/relationships/hyperlink" Target="https://www.google.com/maps?q=-6.17723,38.36605" TargetMode="External"/><Relationship Id="rId43" Type="http://schemas.openxmlformats.org/officeDocument/2006/relationships/hyperlink" Target="https://www.google.com/maps?q=-12.55588,27.87269" TargetMode="External"/><Relationship Id="rId48" Type="http://schemas.openxmlformats.org/officeDocument/2006/relationships/hyperlink" Target="https://www.google.com/maps?q=-13.06527,28.48268" TargetMode="External"/><Relationship Id="rId64" Type="http://schemas.openxmlformats.org/officeDocument/2006/relationships/hyperlink" Target="https://www.google.com/maps?q=-12.14565,31.24322" TargetMode="External"/><Relationship Id="rId69" Type="http://schemas.openxmlformats.org/officeDocument/2006/relationships/hyperlink" Target="https://www.google.com/maps?q=-11.45473,31.73559" TargetMode="External"/><Relationship Id="rId80" Type="http://schemas.openxmlformats.org/officeDocument/2006/relationships/hyperlink" Target="https://www.google.com/maps?q=-6.94780,37.34264" TargetMode="External"/><Relationship Id="rId85" Type="http://schemas.openxmlformats.org/officeDocument/2006/relationships/hyperlink" Target="https://www.google.com/maps?q=-13.03258,28.45173" TargetMode="External"/><Relationship Id="rId12" Type="http://schemas.openxmlformats.org/officeDocument/2006/relationships/hyperlink" Target="https://www.google.com/maps?q=-12.46036,27.85174" TargetMode="External"/><Relationship Id="rId17" Type="http://schemas.openxmlformats.org/officeDocument/2006/relationships/hyperlink" Target="https://www.google.com/maps?q=-9.76291,32.73893" TargetMode="External"/><Relationship Id="rId33" Type="http://schemas.openxmlformats.org/officeDocument/2006/relationships/hyperlink" Target="https://www.google.com/maps?q=-12.83116,30.85478" TargetMode="External"/><Relationship Id="rId38" Type="http://schemas.openxmlformats.org/officeDocument/2006/relationships/hyperlink" Target="https://www.google.com/maps?q=-13.86527,28.91822" TargetMode="External"/><Relationship Id="rId59" Type="http://schemas.openxmlformats.org/officeDocument/2006/relationships/hyperlink" Target="https://www.google.com/maps?q=-13.06093,30.50243" TargetMode="External"/><Relationship Id="rId103" Type="http://schemas.openxmlformats.org/officeDocument/2006/relationships/hyperlink" Target="https://www.google.com/maps?q=-6.84467,39.24883" TargetMode="External"/><Relationship Id="rId20" Type="http://schemas.openxmlformats.org/officeDocument/2006/relationships/hyperlink" Target="https://www.google.com/maps?q=-8.00256,35.50895" TargetMode="External"/><Relationship Id="rId41" Type="http://schemas.openxmlformats.org/officeDocument/2006/relationships/hyperlink" Target="https://www.google.com/maps?q=-10.11500,32.67452" TargetMode="External"/><Relationship Id="rId54" Type="http://schemas.openxmlformats.org/officeDocument/2006/relationships/hyperlink" Target="https://www.google.com/maps?q=-10.76431,32.04936" TargetMode="External"/><Relationship Id="rId62" Type="http://schemas.openxmlformats.org/officeDocument/2006/relationships/hyperlink" Target="https://www.google.com/maps?q=-13.64862,29.34005" TargetMode="External"/><Relationship Id="rId70" Type="http://schemas.openxmlformats.org/officeDocument/2006/relationships/hyperlink" Target="https://www.google.com/maps?q=-12.16567,27.73645" TargetMode="External"/><Relationship Id="rId75" Type="http://schemas.openxmlformats.org/officeDocument/2006/relationships/hyperlink" Target="https://www.google.com/maps?q=-9.76147,32.73855" TargetMode="External"/><Relationship Id="rId83" Type="http://schemas.openxmlformats.org/officeDocument/2006/relationships/hyperlink" Target="https://www.google.com/maps?q=-12.05293,31.31255" TargetMode="External"/><Relationship Id="rId88" Type="http://schemas.openxmlformats.org/officeDocument/2006/relationships/hyperlink" Target="https://www.google.com/maps?q=-8.07224,35.45399" TargetMode="External"/><Relationship Id="rId91" Type="http://schemas.openxmlformats.org/officeDocument/2006/relationships/hyperlink" Target="https://www.google.com/maps?q=-13.01203,30.65657" TargetMode="External"/><Relationship Id="rId96" Type="http://schemas.openxmlformats.org/officeDocument/2006/relationships/hyperlink" Target="https://www.google.com/maps?q=-9.90577,32.71809" TargetMode="External"/><Relationship Id="rId1" Type="http://schemas.openxmlformats.org/officeDocument/2006/relationships/hyperlink" Target="https://www.google.com/maps?q=-7.49990,36.46720" TargetMode="External"/><Relationship Id="rId6" Type="http://schemas.openxmlformats.org/officeDocument/2006/relationships/hyperlink" Target="https://www.google.com/maps?q=-8.23610,35.35356" TargetMode="External"/><Relationship Id="rId15" Type="http://schemas.openxmlformats.org/officeDocument/2006/relationships/hyperlink" Target="https://www.google.com/maps?q=-13.06589,30.51113" TargetMode="External"/><Relationship Id="rId23" Type="http://schemas.openxmlformats.org/officeDocument/2006/relationships/hyperlink" Target="https://www.google.com/maps?q=-7.60466,36.31808" TargetMode="External"/><Relationship Id="rId28" Type="http://schemas.openxmlformats.org/officeDocument/2006/relationships/hyperlink" Target="https://www.google.com/maps?q=-12.83116,30.85478" TargetMode="External"/><Relationship Id="rId36" Type="http://schemas.openxmlformats.org/officeDocument/2006/relationships/hyperlink" Target="https://www.google.com/maps?q=-12.16812,31.22351" TargetMode="External"/><Relationship Id="rId49" Type="http://schemas.openxmlformats.org/officeDocument/2006/relationships/hyperlink" Target="https://www.google.com/maps?q=-7.64886,36.24855" TargetMode="External"/><Relationship Id="rId57" Type="http://schemas.openxmlformats.org/officeDocument/2006/relationships/hyperlink" Target="https://www.google.com/maps?q=-11.53612,31.60070" TargetMode="External"/><Relationship Id="rId106" Type="http://schemas.openxmlformats.org/officeDocument/2006/relationships/table" Target="../tables/table2.xml"/><Relationship Id="rId10" Type="http://schemas.openxmlformats.org/officeDocument/2006/relationships/hyperlink" Target="https://www.google.com/maps?q=-12.46036,27.85174" TargetMode="External"/><Relationship Id="rId31" Type="http://schemas.openxmlformats.org/officeDocument/2006/relationships/hyperlink" Target="https://www.google.com/maps?q=-13.06166,30.64353" TargetMode="External"/><Relationship Id="rId44" Type="http://schemas.openxmlformats.org/officeDocument/2006/relationships/hyperlink" Target="https://www.google.com/maps?q=-12.55588,27.87269" TargetMode="External"/><Relationship Id="rId52" Type="http://schemas.openxmlformats.org/officeDocument/2006/relationships/hyperlink" Target="https://www.google.com/maps?q=-7.64886,36.24855" TargetMode="External"/><Relationship Id="rId60" Type="http://schemas.openxmlformats.org/officeDocument/2006/relationships/hyperlink" Target="https://www.google.com/maps?q=-13.06093,30.50243" TargetMode="External"/><Relationship Id="rId65" Type="http://schemas.openxmlformats.org/officeDocument/2006/relationships/hyperlink" Target="https://www.google.com/maps?q=-12.14565,31.24322" TargetMode="External"/><Relationship Id="rId73" Type="http://schemas.openxmlformats.org/officeDocument/2006/relationships/hyperlink" Target="https://www.google.com/maps?q=-9.76147,32.73855" TargetMode="External"/><Relationship Id="rId78" Type="http://schemas.openxmlformats.org/officeDocument/2006/relationships/hyperlink" Target="https://www.google.com/maps?q=-11.30944,27.28322" TargetMode="External"/><Relationship Id="rId81" Type="http://schemas.openxmlformats.org/officeDocument/2006/relationships/hyperlink" Target="https://www.google.com/maps?q=-6.94780,37.34264" TargetMode="External"/><Relationship Id="rId86" Type="http://schemas.openxmlformats.org/officeDocument/2006/relationships/hyperlink" Target="https://www.google.com/maps?q=-13.03258,28.45173" TargetMode="External"/><Relationship Id="rId94" Type="http://schemas.openxmlformats.org/officeDocument/2006/relationships/hyperlink" Target="https://www.google.com/maps?q=-9.90577,32.71809" TargetMode="External"/><Relationship Id="rId99" Type="http://schemas.openxmlformats.org/officeDocument/2006/relationships/hyperlink" Target="https://www.google.com/maps?q=-11.50133,31.64583" TargetMode="External"/><Relationship Id="rId101" Type="http://schemas.openxmlformats.org/officeDocument/2006/relationships/hyperlink" Target="https://www.google.com/maps?q=-6.83212,39.23921" TargetMode="External"/><Relationship Id="rId4" Type="http://schemas.openxmlformats.org/officeDocument/2006/relationships/hyperlink" Target="https://www.google.com/maps?q=-8.23610,35.35356" TargetMode="External"/><Relationship Id="rId9" Type="http://schemas.openxmlformats.org/officeDocument/2006/relationships/hyperlink" Target="https://www.google.com/maps?q=-9.40447,32.71546" TargetMode="External"/><Relationship Id="rId13" Type="http://schemas.openxmlformats.org/officeDocument/2006/relationships/hyperlink" Target="https://www.google.com/maps?q=-13.06589,30.51113" TargetMode="External"/><Relationship Id="rId18" Type="http://schemas.openxmlformats.org/officeDocument/2006/relationships/hyperlink" Target="https://www.google.com/maps?q=-9.76291,32.73893" TargetMode="External"/><Relationship Id="rId39" Type="http://schemas.openxmlformats.org/officeDocument/2006/relationships/hyperlink" Target="https://www.google.com/maps?q=-13.86527,28.91822" TargetMode="External"/><Relationship Id="rId34" Type="http://schemas.openxmlformats.org/officeDocument/2006/relationships/hyperlink" Target="https://www.google.com/maps?q=-12.16812,31.22351" TargetMode="External"/><Relationship Id="rId50" Type="http://schemas.openxmlformats.org/officeDocument/2006/relationships/hyperlink" Target="https://www.google.com/maps?q=-10.76431,32.04936" TargetMode="External"/><Relationship Id="rId55" Type="http://schemas.openxmlformats.org/officeDocument/2006/relationships/hyperlink" Target="https://www.google.com/maps?q=-11.53612,31.60070" TargetMode="External"/><Relationship Id="rId76" Type="http://schemas.openxmlformats.org/officeDocument/2006/relationships/hyperlink" Target="https://www.google.com/maps?q=-6.94780,37.34264" TargetMode="External"/><Relationship Id="rId97" Type="http://schemas.openxmlformats.org/officeDocument/2006/relationships/hyperlink" Target="https://www.google.com/maps?q=-11.50133,31.64583" TargetMode="External"/><Relationship Id="rId104" Type="http://schemas.openxmlformats.org/officeDocument/2006/relationships/hyperlink" Target="https://www.google.com/maps?q=-6.84467,39.24883" TargetMode="External"/><Relationship Id="rId7" Type="http://schemas.openxmlformats.org/officeDocument/2006/relationships/hyperlink" Target="https://www.google.com/maps?q=-9.40447,32.71546" TargetMode="External"/><Relationship Id="rId71" Type="http://schemas.openxmlformats.org/officeDocument/2006/relationships/hyperlink" Target="https://www.google.com/maps?q=-12.16567,27.73645" TargetMode="External"/><Relationship Id="rId92" Type="http://schemas.openxmlformats.org/officeDocument/2006/relationships/hyperlink" Target="https://www.google.com/maps?q=-13.01203,30.65657" TargetMode="External"/><Relationship Id="rId2" Type="http://schemas.openxmlformats.org/officeDocument/2006/relationships/hyperlink" Target="https://www.google.com/maps?q=-7.49990,36.46720" TargetMode="External"/><Relationship Id="rId29" Type="http://schemas.openxmlformats.org/officeDocument/2006/relationships/hyperlink" Target="https://www.google.com/maps?q=-13.06166,30.64353" TargetMode="External"/><Relationship Id="rId24" Type="http://schemas.openxmlformats.org/officeDocument/2006/relationships/hyperlink" Target="https://www.google.com/maps?q=-7.60466,36.31808" TargetMode="External"/><Relationship Id="rId40" Type="http://schemas.openxmlformats.org/officeDocument/2006/relationships/hyperlink" Target="https://www.google.com/maps?q=-10.11500,32.67452" TargetMode="External"/><Relationship Id="rId45" Type="http://schemas.openxmlformats.org/officeDocument/2006/relationships/hyperlink" Target="https://www.google.com/maps?q=-12.55588,27.87269" TargetMode="External"/><Relationship Id="rId66" Type="http://schemas.openxmlformats.org/officeDocument/2006/relationships/hyperlink" Target="https://www.google.com/maps?q=-12.14565,31.24322" TargetMode="External"/><Relationship Id="rId87" Type="http://schemas.openxmlformats.org/officeDocument/2006/relationships/hyperlink" Target="https://www.google.com/maps?q=-13.03258,28.45173" TargetMode="External"/><Relationship Id="rId61" Type="http://schemas.openxmlformats.org/officeDocument/2006/relationships/hyperlink" Target="https://www.google.com/maps?q=-13.64862,29.34005" TargetMode="External"/><Relationship Id="rId82" Type="http://schemas.openxmlformats.org/officeDocument/2006/relationships/hyperlink" Target="https://www.google.com/maps?q=-12.05293,31.31255" TargetMode="External"/><Relationship Id="rId19" Type="http://schemas.openxmlformats.org/officeDocument/2006/relationships/hyperlink" Target="https://www.google.com/maps?q=-8.00256,35.50895" TargetMode="External"/><Relationship Id="rId14" Type="http://schemas.openxmlformats.org/officeDocument/2006/relationships/hyperlink" Target="https://www.google.com/maps?q=-13.06589,30.51113" TargetMode="External"/><Relationship Id="rId30" Type="http://schemas.openxmlformats.org/officeDocument/2006/relationships/hyperlink" Target="https://www.google.com/maps?q=-12.83116,30.85478" TargetMode="External"/><Relationship Id="rId35" Type="http://schemas.openxmlformats.org/officeDocument/2006/relationships/hyperlink" Target="https://www.google.com/maps?q=-12.16812,31.22351" TargetMode="External"/><Relationship Id="rId56" Type="http://schemas.openxmlformats.org/officeDocument/2006/relationships/hyperlink" Target="https://www.google.com/maps?q=-11.53612,31.60070" TargetMode="External"/><Relationship Id="rId77" Type="http://schemas.openxmlformats.org/officeDocument/2006/relationships/hyperlink" Target="https://www.google.com/maps?q=-11.30944,27.28322" TargetMode="External"/><Relationship Id="rId100" Type="http://schemas.openxmlformats.org/officeDocument/2006/relationships/hyperlink" Target="https://www.google.com/maps?q=-6.83212,39.23921" TargetMode="External"/><Relationship Id="rId105" Type="http://schemas.openxmlformats.org/officeDocument/2006/relationships/hyperlink" Target="https://www.google.com/maps?q=-6.84467,39.24883" TargetMode="External"/><Relationship Id="rId8" Type="http://schemas.openxmlformats.org/officeDocument/2006/relationships/hyperlink" Target="https://www.google.com/maps?q=-9.40447,32.71546" TargetMode="External"/><Relationship Id="rId51" Type="http://schemas.openxmlformats.org/officeDocument/2006/relationships/hyperlink" Target="https://www.google.com/maps?q=-10.76431,32.04936" TargetMode="External"/><Relationship Id="rId72" Type="http://schemas.openxmlformats.org/officeDocument/2006/relationships/hyperlink" Target="https://www.google.com/maps?q=-12.16567,27.73645" TargetMode="External"/><Relationship Id="rId93" Type="http://schemas.openxmlformats.org/officeDocument/2006/relationships/hyperlink" Target="https://www.google.com/maps?q=-8.07224,35.45399" TargetMode="External"/><Relationship Id="rId98" Type="http://schemas.openxmlformats.org/officeDocument/2006/relationships/hyperlink" Target="https://www.google.com/maps?q=-11.50133,31.64583" TargetMode="External"/><Relationship Id="rId3" Type="http://schemas.openxmlformats.org/officeDocument/2006/relationships/hyperlink" Target="https://www.google.com/maps?q=-7.49990,36.46720" TargetMode="External"/><Relationship Id="rId25" Type="http://schemas.openxmlformats.org/officeDocument/2006/relationships/hyperlink" Target="https://www.google.com/maps?q=-6.17723,38.36605" TargetMode="External"/><Relationship Id="rId46" Type="http://schemas.openxmlformats.org/officeDocument/2006/relationships/hyperlink" Target="https://www.google.com/maps?q=-13.06527,28.48268" TargetMode="External"/><Relationship Id="rId67" Type="http://schemas.openxmlformats.org/officeDocument/2006/relationships/hyperlink" Target="https://www.google.com/maps?q=-11.45473,31.73559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?q=-8.99522,33.04928" TargetMode="External"/><Relationship Id="rId21" Type="http://schemas.openxmlformats.org/officeDocument/2006/relationships/hyperlink" Target="https://www.google.com/maps?q=-12.73854,30.94803" TargetMode="External"/><Relationship Id="rId42" Type="http://schemas.openxmlformats.org/officeDocument/2006/relationships/hyperlink" Target="https://www.google.com/maps?q=-10.18191,32.60825" TargetMode="External"/><Relationship Id="rId47" Type="http://schemas.openxmlformats.org/officeDocument/2006/relationships/hyperlink" Target="https://www.google.com/maps?q=-11.61628,31.53867" TargetMode="External"/><Relationship Id="rId63" Type="http://schemas.openxmlformats.org/officeDocument/2006/relationships/hyperlink" Target="https://www.google.com/maps?q=-10.19560,32.63417" TargetMode="External"/><Relationship Id="rId68" Type="http://schemas.openxmlformats.org/officeDocument/2006/relationships/hyperlink" Target="https://www.google.com/maps?q=-11.08505,31.94237" TargetMode="External"/><Relationship Id="rId84" Type="http://schemas.openxmlformats.org/officeDocument/2006/relationships/hyperlink" Target="https://www.google.com/maps?q=-9.41588,32.70952" TargetMode="External"/><Relationship Id="rId89" Type="http://schemas.openxmlformats.org/officeDocument/2006/relationships/hyperlink" Target="https://www.google.com/maps?q=-9.86061,32.72910" TargetMode="External"/><Relationship Id="rId16" Type="http://schemas.openxmlformats.org/officeDocument/2006/relationships/hyperlink" Target="https://www.google.com/maps?q=-11.00050,26.88495" TargetMode="External"/><Relationship Id="rId11" Type="http://schemas.openxmlformats.org/officeDocument/2006/relationships/hyperlink" Target="https://www.google.com/maps?q=-11.32001,27.30731" TargetMode="External"/><Relationship Id="rId32" Type="http://schemas.openxmlformats.org/officeDocument/2006/relationships/hyperlink" Target="https://www.google.com/maps?q=-11.53940,31.59753" TargetMode="External"/><Relationship Id="rId37" Type="http://schemas.openxmlformats.org/officeDocument/2006/relationships/hyperlink" Target="https://www.google.com/maps?q=-10.34079,29.45324" TargetMode="External"/><Relationship Id="rId53" Type="http://schemas.openxmlformats.org/officeDocument/2006/relationships/hyperlink" Target="https://www.google.com/maps?q=-6.92170,37.50788" TargetMode="External"/><Relationship Id="rId58" Type="http://schemas.openxmlformats.org/officeDocument/2006/relationships/hyperlink" Target="https://www.google.com/maps?q=-6.79550,39.07666" TargetMode="External"/><Relationship Id="rId74" Type="http://schemas.openxmlformats.org/officeDocument/2006/relationships/hyperlink" Target="https://www.google.com/maps?q=-10.19560,32.63417" TargetMode="External"/><Relationship Id="rId79" Type="http://schemas.openxmlformats.org/officeDocument/2006/relationships/hyperlink" Target="https://www.google.com/maps?q=-10.61069,32.18241" TargetMode="External"/><Relationship Id="rId5" Type="http://schemas.openxmlformats.org/officeDocument/2006/relationships/hyperlink" Target="https://www.google.com/maps?q=-11.00050,26.88495" TargetMode="External"/><Relationship Id="rId90" Type="http://schemas.openxmlformats.org/officeDocument/2006/relationships/hyperlink" Target="https://www.google.com/maps?q=-6.99665,37.26994" TargetMode="External"/><Relationship Id="rId95" Type="http://schemas.openxmlformats.org/officeDocument/2006/relationships/printerSettings" Target="../printerSettings/printerSettings2.bin"/><Relationship Id="rId22" Type="http://schemas.openxmlformats.org/officeDocument/2006/relationships/hyperlink" Target="https://www.google.com/maps?q=-9.84826,32.73780" TargetMode="External"/><Relationship Id="rId27" Type="http://schemas.openxmlformats.org/officeDocument/2006/relationships/hyperlink" Target="https://www.google.com/maps?q=-11.17041,27.08567" TargetMode="External"/><Relationship Id="rId43" Type="http://schemas.openxmlformats.org/officeDocument/2006/relationships/hyperlink" Target="https://www.google.com/maps?q=-8.97461,33.06560" TargetMode="External"/><Relationship Id="rId48" Type="http://schemas.openxmlformats.org/officeDocument/2006/relationships/hyperlink" Target="https://www.google.com/maps?q=-8.67759,34.93940" TargetMode="External"/><Relationship Id="rId64" Type="http://schemas.openxmlformats.org/officeDocument/2006/relationships/hyperlink" Target="https://www.google.com/maps?q=-9.37505,32.71706" TargetMode="External"/><Relationship Id="rId69" Type="http://schemas.openxmlformats.org/officeDocument/2006/relationships/hyperlink" Target="https://www.google.com/maps?q=-9.96923,32.70009" TargetMode="External"/><Relationship Id="rId8" Type="http://schemas.openxmlformats.org/officeDocument/2006/relationships/hyperlink" Target="https://www.google.com/maps?q=-11.17047,27.08577" TargetMode="External"/><Relationship Id="rId51" Type="http://schemas.openxmlformats.org/officeDocument/2006/relationships/hyperlink" Target="https://www.google.com/maps?q=-6.92170,37.50788" TargetMode="External"/><Relationship Id="rId72" Type="http://schemas.openxmlformats.org/officeDocument/2006/relationships/hyperlink" Target="https://www.google.com/maps?q=-10.61066,32.18780" TargetMode="External"/><Relationship Id="rId80" Type="http://schemas.openxmlformats.org/officeDocument/2006/relationships/hyperlink" Target="https://www.google.com/maps?q=-13.21897,30.31906" TargetMode="External"/><Relationship Id="rId85" Type="http://schemas.openxmlformats.org/officeDocument/2006/relationships/hyperlink" Target="https://www.google.com/maps?q=-13.26829,30.15263" TargetMode="External"/><Relationship Id="rId93" Type="http://schemas.openxmlformats.org/officeDocument/2006/relationships/hyperlink" Target="https://www.google.com/maps?q=-6.65756,38.01621" TargetMode="External"/><Relationship Id="rId3" Type="http://schemas.openxmlformats.org/officeDocument/2006/relationships/hyperlink" Target="https://www.google.com/maps?q=-10.61070,32.17969" TargetMode="External"/><Relationship Id="rId12" Type="http://schemas.openxmlformats.org/officeDocument/2006/relationships/hyperlink" Target="https://www.google.com/maps?q=-8.93924,33.18690" TargetMode="External"/><Relationship Id="rId17" Type="http://schemas.openxmlformats.org/officeDocument/2006/relationships/hyperlink" Target="https://www.google.com/maps?q=-11.53784,31.59902" TargetMode="External"/><Relationship Id="rId25" Type="http://schemas.openxmlformats.org/officeDocument/2006/relationships/hyperlink" Target="https://www.google.com/maps?q=-8.99522,33.04928" TargetMode="External"/><Relationship Id="rId33" Type="http://schemas.openxmlformats.org/officeDocument/2006/relationships/hyperlink" Target="https://www.google.com/maps?q=-10.61070,32.17969" TargetMode="External"/><Relationship Id="rId38" Type="http://schemas.openxmlformats.org/officeDocument/2006/relationships/hyperlink" Target="https://www.google.com/maps?q=-10.17339,32.55527" TargetMode="External"/><Relationship Id="rId46" Type="http://schemas.openxmlformats.org/officeDocument/2006/relationships/hyperlink" Target="https://www.google.com/maps?q=-11.61628,31.53867" TargetMode="External"/><Relationship Id="rId59" Type="http://schemas.openxmlformats.org/officeDocument/2006/relationships/hyperlink" Target="https://www.google.com/maps?q=-13.21897,30.31906" TargetMode="External"/><Relationship Id="rId67" Type="http://schemas.openxmlformats.org/officeDocument/2006/relationships/hyperlink" Target="https://www.google.com/maps?q=-10.61066,32.18780" TargetMode="External"/><Relationship Id="rId20" Type="http://schemas.openxmlformats.org/officeDocument/2006/relationships/hyperlink" Target="https://www.google.com/maps?q=-9.84826,32.73780" TargetMode="External"/><Relationship Id="rId41" Type="http://schemas.openxmlformats.org/officeDocument/2006/relationships/hyperlink" Target="https://www.google.com/maps?q=-10.18882,32.50346" TargetMode="External"/><Relationship Id="rId54" Type="http://schemas.openxmlformats.org/officeDocument/2006/relationships/hyperlink" Target="https://www.google.com/maps?q=-8.78662,34.43441" TargetMode="External"/><Relationship Id="rId62" Type="http://schemas.openxmlformats.org/officeDocument/2006/relationships/hyperlink" Target="https://www.google.com/maps?q=-13.21897,30.31906" TargetMode="External"/><Relationship Id="rId70" Type="http://schemas.openxmlformats.org/officeDocument/2006/relationships/hyperlink" Target="https://www.google.com/maps?q=-9.96923,32.70009" TargetMode="External"/><Relationship Id="rId75" Type="http://schemas.openxmlformats.org/officeDocument/2006/relationships/hyperlink" Target="https://www.google.com/maps?q=-9.41179,32.71162" TargetMode="External"/><Relationship Id="rId83" Type="http://schemas.openxmlformats.org/officeDocument/2006/relationships/hyperlink" Target="https://www.google.com/maps?q=-11.07204,31.95569" TargetMode="External"/><Relationship Id="rId88" Type="http://schemas.openxmlformats.org/officeDocument/2006/relationships/hyperlink" Target="https://www.google.com/maps?q=-8.49307,35.11703" TargetMode="External"/><Relationship Id="rId91" Type="http://schemas.openxmlformats.org/officeDocument/2006/relationships/hyperlink" Target="https://www.google.com/maps?q=-12.05037,31.31542" TargetMode="External"/><Relationship Id="rId96" Type="http://schemas.openxmlformats.org/officeDocument/2006/relationships/table" Target="../tables/table3.xml"/><Relationship Id="rId1" Type="http://schemas.openxmlformats.org/officeDocument/2006/relationships/hyperlink" Target="https://www.google.com/maps?q=-10.17319,32.55430" TargetMode="External"/><Relationship Id="rId6" Type="http://schemas.openxmlformats.org/officeDocument/2006/relationships/hyperlink" Target="https://www.google.com/maps?q=-7.87956,35.61441" TargetMode="External"/><Relationship Id="rId15" Type="http://schemas.openxmlformats.org/officeDocument/2006/relationships/hyperlink" Target="https://www.google.com/maps?q=-11.53784,31.59902" TargetMode="External"/><Relationship Id="rId23" Type="http://schemas.openxmlformats.org/officeDocument/2006/relationships/hyperlink" Target="https://www.google.com/maps?q=-10.18249,32.60968" TargetMode="External"/><Relationship Id="rId28" Type="http://schemas.openxmlformats.org/officeDocument/2006/relationships/hyperlink" Target="https://www.google.com/maps?q=-11.17041,27.08567" TargetMode="External"/><Relationship Id="rId36" Type="http://schemas.openxmlformats.org/officeDocument/2006/relationships/hyperlink" Target="https://www.google.com/maps?q=-11.17047,27.08577" TargetMode="External"/><Relationship Id="rId49" Type="http://schemas.openxmlformats.org/officeDocument/2006/relationships/hyperlink" Target="https://www.google.com/maps?q=-12.21534,27.81994" TargetMode="External"/><Relationship Id="rId57" Type="http://schemas.openxmlformats.org/officeDocument/2006/relationships/hyperlink" Target="https://www.google.com/maps?q=-7.99043,35.52901" TargetMode="External"/><Relationship Id="rId10" Type="http://schemas.openxmlformats.org/officeDocument/2006/relationships/hyperlink" Target="https://www.google.com/maps?q=-11.17047,27.08577" TargetMode="External"/><Relationship Id="rId31" Type="http://schemas.openxmlformats.org/officeDocument/2006/relationships/hyperlink" Target="https://www.google.com/maps?q=-11.49193,27.42735" TargetMode="External"/><Relationship Id="rId44" Type="http://schemas.openxmlformats.org/officeDocument/2006/relationships/hyperlink" Target="https://www.google.com/maps?q=-11.17216,27.08800" TargetMode="External"/><Relationship Id="rId52" Type="http://schemas.openxmlformats.org/officeDocument/2006/relationships/hyperlink" Target="https://www.google.com/maps?q=-8.67759,34.93940" TargetMode="External"/><Relationship Id="rId60" Type="http://schemas.openxmlformats.org/officeDocument/2006/relationships/hyperlink" Target="https://www.google.com/maps?q=-13.21383,30.32181" TargetMode="External"/><Relationship Id="rId65" Type="http://schemas.openxmlformats.org/officeDocument/2006/relationships/hyperlink" Target="https://www.google.com/maps?q=-11.08505,31.94237" TargetMode="External"/><Relationship Id="rId73" Type="http://schemas.openxmlformats.org/officeDocument/2006/relationships/hyperlink" Target="https://www.google.com/maps?q=-9.37505,32.71706" TargetMode="External"/><Relationship Id="rId78" Type="http://schemas.openxmlformats.org/officeDocument/2006/relationships/hyperlink" Target="https://www.google.com/maps?q=-9.37707,32.71741" TargetMode="External"/><Relationship Id="rId81" Type="http://schemas.openxmlformats.org/officeDocument/2006/relationships/hyperlink" Target="https://www.google.com/maps?q=-6.14079,38.31748" TargetMode="External"/><Relationship Id="rId86" Type="http://schemas.openxmlformats.org/officeDocument/2006/relationships/hyperlink" Target="https://www.google.com/maps?q=-9.37663,32.71731" TargetMode="External"/><Relationship Id="rId94" Type="http://schemas.openxmlformats.org/officeDocument/2006/relationships/hyperlink" Target="https://www.google.com/maps?q=-13.91902,28.68562" TargetMode="External"/><Relationship Id="rId4" Type="http://schemas.openxmlformats.org/officeDocument/2006/relationships/hyperlink" Target="https://www.google.com/maps?q=-10.34112,29.44378" TargetMode="External"/><Relationship Id="rId9" Type="http://schemas.openxmlformats.org/officeDocument/2006/relationships/hyperlink" Target="https://www.google.com/maps?q=-10.17319,32.55430" TargetMode="External"/><Relationship Id="rId13" Type="http://schemas.openxmlformats.org/officeDocument/2006/relationships/hyperlink" Target="https://www.google.com/maps?q=-10.34112,29.44378" TargetMode="External"/><Relationship Id="rId18" Type="http://schemas.openxmlformats.org/officeDocument/2006/relationships/hyperlink" Target="https://www.google.com/maps?q=-11.32001,27.30731" TargetMode="External"/><Relationship Id="rId39" Type="http://schemas.openxmlformats.org/officeDocument/2006/relationships/hyperlink" Target="https://www.google.com/maps?q=-11.49042,27.42447" TargetMode="External"/><Relationship Id="rId34" Type="http://schemas.openxmlformats.org/officeDocument/2006/relationships/hyperlink" Target="https://www.google.com/maps?q=-7.55387,36.67883" TargetMode="External"/><Relationship Id="rId50" Type="http://schemas.openxmlformats.org/officeDocument/2006/relationships/hyperlink" Target="https://www.google.com/maps?q=-12.21534,27.81994" TargetMode="External"/><Relationship Id="rId55" Type="http://schemas.openxmlformats.org/officeDocument/2006/relationships/hyperlink" Target="https://www.google.com/maps?q=-13.60326,29.50489" TargetMode="External"/><Relationship Id="rId76" Type="http://schemas.openxmlformats.org/officeDocument/2006/relationships/hyperlink" Target="https://www.google.com/maps?q=-9.86002,32.72935" TargetMode="External"/><Relationship Id="rId7" Type="http://schemas.openxmlformats.org/officeDocument/2006/relationships/hyperlink" Target="https://www.google.com/maps?q=-10.61070,32.17969" TargetMode="External"/><Relationship Id="rId71" Type="http://schemas.openxmlformats.org/officeDocument/2006/relationships/hyperlink" Target="https://www.google.com/maps?q=-13.21383,30.32181" TargetMode="External"/><Relationship Id="rId92" Type="http://schemas.openxmlformats.org/officeDocument/2006/relationships/hyperlink" Target="https://www.google.com/maps?q=-10.61089,32.18323" TargetMode="External"/><Relationship Id="rId2" Type="http://schemas.openxmlformats.org/officeDocument/2006/relationships/hyperlink" Target="https://www.google.com/maps?q=-8.93924,33.18690" TargetMode="External"/><Relationship Id="rId29" Type="http://schemas.openxmlformats.org/officeDocument/2006/relationships/hyperlink" Target="https://www.google.com/maps?q=-11.16926,27.08420" TargetMode="External"/><Relationship Id="rId24" Type="http://schemas.openxmlformats.org/officeDocument/2006/relationships/hyperlink" Target="https://www.google.com/maps?q=-10.18249,32.60968" TargetMode="External"/><Relationship Id="rId40" Type="http://schemas.openxmlformats.org/officeDocument/2006/relationships/hyperlink" Target="https://www.google.com/maps?q=-12.74182,30.94487" TargetMode="External"/><Relationship Id="rId45" Type="http://schemas.openxmlformats.org/officeDocument/2006/relationships/hyperlink" Target="https://www.google.com/maps?q=-11.17041,27.08567" TargetMode="External"/><Relationship Id="rId66" Type="http://schemas.openxmlformats.org/officeDocument/2006/relationships/hyperlink" Target="https://www.google.com/maps?q=-6.79550,39.07666" TargetMode="External"/><Relationship Id="rId87" Type="http://schemas.openxmlformats.org/officeDocument/2006/relationships/hyperlink" Target="https://www.google.com/maps?q=-11.42887,31.74054" TargetMode="External"/><Relationship Id="rId61" Type="http://schemas.openxmlformats.org/officeDocument/2006/relationships/hyperlink" Target="https://www.google.com/maps?q=-9.41179,32.71162" TargetMode="External"/><Relationship Id="rId82" Type="http://schemas.openxmlformats.org/officeDocument/2006/relationships/hyperlink" Target="https://www.google.com/maps?q=-10.18919,32.64092" TargetMode="External"/><Relationship Id="rId19" Type="http://schemas.openxmlformats.org/officeDocument/2006/relationships/hyperlink" Target="https://www.google.com/maps?q=-12.73854,30.94803" TargetMode="External"/><Relationship Id="rId14" Type="http://schemas.openxmlformats.org/officeDocument/2006/relationships/hyperlink" Target="https://www.google.com/maps?q=-7.87956,35.61441" TargetMode="External"/><Relationship Id="rId30" Type="http://schemas.openxmlformats.org/officeDocument/2006/relationships/hyperlink" Target="https://www.google.com/maps?q=-11.16926,27.08420" TargetMode="External"/><Relationship Id="rId35" Type="http://schemas.openxmlformats.org/officeDocument/2006/relationships/hyperlink" Target="https://www.google.com/maps?q=-7.66137,36.09654" TargetMode="External"/><Relationship Id="rId56" Type="http://schemas.openxmlformats.org/officeDocument/2006/relationships/hyperlink" Target="https://www.google.com/maps?q=-12.23552,27.91827" TargetMode="External"/><Relationship Id="rId77" Type="http://schemas.openxmlformats.org/officeDocument/2006/relationships/hyperlink" Target="https://www.google.com/maps?q=-9.96707,32.7002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?q=-7.33133,37.17341" TargetMode="External"/><Relationship Id="rId2" Type="http://schemas.openxmlformats.org/officeDocument/2006/relationships/hyperlink" Target="https://www.google.com/maps?q=-7.40549,36.97700" TargetMode="External"/><Relationship Id="rId1" Type="http://schemas.openxmlformats.org/officeDocument/2006/relationships/hyperlink" Target="https://www.google.com/maps?q=-7.33133,37.17341" TargetMode="External"/><Relationship Id="rId6" Type="http://schemas.openxmlformats.org/officeDocument/2006/relationships/table" Target="../tables/table4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google.com/maps?q=-7.40549,36.977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E785-DA81-4E3E-AD1B-782ACE714628}">
  <dimension ref="B1:K276"/>
  <sheetViews>
    <sheetView zoomScaleNormal="100" workbookViewId="0">
      <selection activeCell="J10" sqref="J10"/>
    </sheetView>
  </sheetViews>
  <sheetFormatPr defaultRowHeight="14.5" x14ac:dyDescent="0.35"/>
  <cols>
    <col min="1" max="1" width="20.36328125" bestFit="1" customWidth="1"/>
    <col min="2" max="2" width="25.90625" bestFit="1" customWidth="1"/>
    <col min="3" max="3" width="14" customWidth="1"/>
    <col min="4" max="4" width="11.1796875" customWidth="1"/>
    <col min="5" max="5" width="25.90625" bestFit="1" customWidth="1"/>
    <col min="6" max="6" width="27" customWidth="1"/>
    <col min="7" max="7" width="15.36328125" bestFit="1" customWidth="1"/>
    <col min="8" max="8" width="13.453125" bestFit="1" customWidth="1"/>
    <col min="9" max="9" width="13.6328125" bestFit="1" customWidth="1"/>
    <col min="10" max="10" width="14.54296875" style="1" bestFit="1" customWidth="1"/>
  </cols>
  <sheetData>
    <row r="1" spans="2:11" ht="15" customHeight="1" x14ac:dyDescent="0.35"/>
    <row r="2" spans="2:11" x14ac:dyDescent="0.35">
      <c r="B2" s="8" t="s">
        <v>27</v>
      </c>
      <c r="C2" s="8" t="s">
        <v>1</v>
      </c>
      <c r="D2" s="8" t="s">
        <v>32</v>
      </c>
      <c r="E2" s="8" t="s">
        <v>2</v>
      </c>
      <c r="F2" s="8" t="s">
        <v>13</v>
      </c>
      <c r="G2" s="8" t="s">
        <v>28</v>
      </c>
      <c r="H2" s="8" t="s">
        <v>29</v>
      </c>
      <c r="I2" s="8" t="s">
        <v>30</v>
      </c>
      <c r="J2"/>
      <c r="K2" s="1"/>
    </row>
    <row r="3" spans="2:11" x14ac:dyDescent="0.35">
      <c r="B3" s="9" t="s">
        <v>1906</v>
      </c>
      <c r="C3" s="15">
        <f>COUNTIF('NIGHT DRIVING REPORT '!L:L,C2)</f>
        <v>36</v>
      </c>
      <c r="D3" s="16">
        <f>COUNTIF('NIGHT DRIVING REPORT '!L:L,D2)</f>
        <v>106</v>
      </c>
      <c r="E3" s="17">
        <f>COUNTIF('NIGHT DRIVING REPORT '!L:L,E2)</f>
        <v>0</v>
      </c>
      <c r="F3" s="15">
        <f>COUNTIF('NIGHT DRIVING REPORT '!L:L,'NIGHT DRIVING REPORT '!#REF!)</f>
        <v>0</v>
      </c>
      <c r="G3" s="18">
        <f>SUM('IDLING VOLATION'!H:H)</f>
        <v>918</v>
      </c>
      <c r="H3" s="19">
        <f>SUM('HARSH BRAKE VIOLATION'!H:H)</f>
        <v>536</v>
      </c>
      <c r="I3" s="20">
        <f>SUM(' OVER SPEEDING VIOLATION '!I:I)</f>
        <v>290</v>
      </c>
      <c r="J3"/>
      <c r="K3" s="1"/>
    </row>
    <row r="4" spans="2:11" ht="13.75" customHeight="1" x14ac:dyDescent="0.35">
      <c r="B4" s="10">
        <v>46030</v>
      </c>
      <c r="C4" s="15">
        <v>0</v>
      </c>
      <c r="D4" s="15">
        <v>6</v>
      </c>
      <c r="E4" s="15">
        <v>0</v>
      </c>
      <c r="F4" s="15">
        <v>0</v>
      </c>
      <c r="G4" s="12">
        <v>74</v>
      </c>
      <c r="H4" s="12">
        <v>88</v>
      </c>
      <c r="I4" s="12">
        <v>22</v>
      </c>
      <c r="J4"/>
      <c r="K4" s="1"/>
    </row>
    <row r="5" spans="2:11" x14ac:dyDescent="0.35">
      <c r="F5" s="2"/>
      <c r="H5" s="2"/>
    </row>
    <row r="8" spans="2:11" x14ac:dyDescent="0.35">
      <c r="H8" s="6"/>
    </row>
    <row r="9" spans="2:11" x14ac:dyDescent="0.35">
      <c r="J9"/>
    </row>
    <row r="10" spans="2:11" x14ac:dyDescent="0.35">
      <c r="J10"/>
    </row>
    <row r="11" spans="2:11" x14ac:dyDescent="0.35">
      <c r="J11"/>
    </row>
    <row r="12" spans="2:11" x14ac:dyDescent="0.35">
      <c r="J12"/>
    </row>
    <row r="13" spans="2:11" x14ac:dyDescent="0.35">
      <c r="J13"/>
    </row>
    <row r="14" spans="2:11" x14ac:dyDescent="0.35">
      <c r="J14"/>
    </row>
    <row r="38" spans="10:10" x14ac:dyDescent="0.35">
      <c r="J38"/>
    </row>
    <row r="39" spans="10:10" x14ac:dyDescent="0.35">
      <c r="J39"/>
    </row>
    <row r="40" spans="10:10" x14ac:dyDescent="0.35">
      <c r="J40"/>
    </row>
    <row r="41" spans="10:10" x14ac:dyDescent="0.35">
      <c r="J41"/>
    </row>
    <row r="42" spans="10:10" x14ac:dyDescent="0.35">
      <c r="J42"/>
    </row>
    <row r="43" spans="10:10" x14ac:dyDescent="0.35">
      <c r="J43"/>
    </row>
    <row r="44" spans="10:10" x14ac:dyDescent="0.35">
      <c r="J44"/>
    </row>
    <row r="45" spans="10:10" x14ac:dyDescent="0.35">
      <c r="J45"/>
    </row>
    <row r="46" spans="10:10" x14ac:dyDescent="0.35">
      <c r="J46"/>
    </row>
    <row r="47" spans="10:10" x14ac:dyDescent="0.35">
      <c r="J47"/>
    </row>
    <row r="48" spans="10:10" x14ac:dyDescent="0.35">
      <c r="J48"/>
    </row>
    <row r="49" spans="10:10" x14ac:dyDescent="0.35">
      <c r="J49"/>
    </row>
    <row r="50" spans="10:10" x14ac:dyDescent="0.35">
      <c r="J50"/>
    </row>
    <row r="51" spans="10:10" x14ac:dyDescent="0.35">
      <c r="J51"/>
    </row>
    <row r="52" spans="10:10" x14ac:dyDescent="0.35">
      <c r="J52"/>
    </row>
    <row r="53" spans="10:10" x14ac:dyDescent="0.35">
      <c r="J53"/>
    </row>
    <row r="54" spans="10:10" x14ac:dyDescent="0.35">
      <c r="J54"/>
    </row>
    <row r="55" spans="10:10" x14ac:dyDescent="0.35">
      <c r="J55"/>
    </row>
    <row r="56" spans="10:10" x14ac:dyDescent="0.35">
      <c r="J56"/>
    </row>
    <row r="57" spans="10:10" x14ac:dyDescent="0.35">
      <c r="J57"/>
    </row>
    <row r="58" spans="10:10" x14ac:dyDescent="0.35">
      <c r="J58"/>
    </row>
    <row r="59" spans="10:10" x14ac:dyDescent="0.35">
      <c r="J59"/>
    </row>
    <row r="60" spans="10:10" x14ac:dyDescent="0.35">
      <c r="J60"/>
    </row>
    <row r="61" spans="10:10" x14ac:dyDescent="0.35">
      <c r="J61"/>
    </row>
    <row r="62" spans="10:10" x14ac:dyDescent="0.35">
      <c r="J62"/>
    </row>
    <row r="63" spans="10:10" x14ac:dyDescent="0.35">
      <c r="J63"/>
    </row>
    <row r="64" spans="10:10" x14ac:dyDescent="0.35">
      <c r="J64"/>
    </row>
    <row r="65" spans="10:10" x14ac:dyDescent="0.35">
      <c r="J65"/>
    </row>
    <row r="66" spans="10:10" x14ac:dyDescent="0.35">
      <c r="J66"/>
    </row>
    <row r="67" spans="10:10" x14ac:dyDescent="0.35">
      <c r="J67"/>
    </row>
    <row r="68" spans="10:10" x14ac:dyDescent="0.35">
      <c r="J68"/>
    </row>
    <row r="69" spans="10:10" x14ac:dyDescent="0.35">
      <c r="J69"/>
    </row>
    <row r="70" spans="10:10" x14ac:dyDescent="0.35">
      <c r="J70"/>
    </row>
    <row r="71" spans="10:10" x14ac:dyDescent="0.35">
      <c r="J71"/>
    </row>
    <row r="72" spans="10:10" x14ac:dyDescent="0.35">
      <c r="J72"/>
    </row>
    <row r="73" spans="10:10" x14ac:dyDescent="0.35">
      <c r="J73"/>
    </row>
    <row r="74" spans="10:10" x14ac:dyDescent="0.35">
      <c r="J74"/>
    </row>
    <row r="75" spans="10:10" x14ac:dyDescent="0.35">
      <c r="J75"/>
    </row>
    <row r="76" spans="10:10" x14ac:dyDescent="0.35">
      <c r="J76"/>
    </row>
    <row r="77" spans="10:10" x14ac:dyDescent="0.35">
      <c r="J77"/>
    </row>
    <row r="78" spans="10:10" x14ac:dyDescent="0.35">
      <c r="J78"/>
    </row>
    <row r="79" spans="10:10" x14ac:dyDescent="0.35">
      <c r="J79"/>
    </row>
    <row r="80" spans="10:10" x14ac:dyDescent="0.35">
      <c r="J80"/>
    </row>
    <row r="81" spans="10:10" x14ac:dyDescent="0.35">
      <c r="J81"/>
    </row>
    <row r="82" spans="10:10" x14ac:dyDescent="0.35">
      <c r="J82"/>
    </row>
    <row r="83" spans="10:10" x14ac:dyDescent="0.35">
      <c r="J83"/>
    </row>
    <row r="84" spans="10:10" x14ac:dyDescent="0.35">
      <c r="J84"/>
    </row>
    <row r="85" spans="10:10" x14ac:dyDescent="0.35">
      <c r="J85"/>
    </row>
    <row r="86" spans="10:10" x14ac:dyDescent="0.35">
      <c r="J86"/>
    </row>
    <row r="87" spans="10:10" x14ac:dyDescent="0.35">
      <c r="J87"/>
    </row>
    <row r="88" spans="10:10" x14ac:dyDescent="0.35">
      <c r="J88"/>
    </row>
    <row r="89" spans="10:10" x14ac:dyDescent="0.35">
      <c r="J89"/>
    </row>
    <row r="90" spans="10:10" x14ac:dyDescent="0.35">
      <c r="J90"/>
    </row>
    <row r="91" spans="10:10" x14ac:dyDescent="0.35">
      <c r="J91"/>
    </row>
    <row r="92" spans="10:10" x14ac:dyDescent="0.35">
      <c r="J92"/>
    </row>
    <row r="93" spans="10:10" x14ac:dyDescent="0.35">
      <c r="J93"/>
    </row>
    <row r="94" spans="10:10" x14ac:dyDescent="0.35">
      <c r="J94"/>
    </row>
    <row r="95" spans="10:10" x14ac:dyDescent="0.35">
      <c r="J95"/>
    </row>
    <row r="96" spans="10:10" x14ac:dyDescent="0.35">
      <c r="J96"/>
    </row>
    <row r="97" spans="10:10" x14ac:dyDescent="0.35">
      <c r="J97"/>
    </row>
    <row r="98" spans="10:10" x14ac:dyDescent="0.35">
      <c r="J98"/>
    </row>
    <row r="99" spans="10:10" x14ac:dyDescent="0.35">
      <c r="J99"/>
    </row>
    <row r="100" spans="10:10" x14ac:dyDescent="0.35">
      <c r="J100"/>
    </row>
    <row r="101" spans="10:10" x14ac:dyDescent="0.35">
      <c r="J101"/>
    </row>
    <row r="102" spans="10:10" x14ac:dyDescent="0.35">
      <c r="J102"/>
    </row>
    <row r="103" spans="10:10" x14ac:dyDescent="0.35">
      <c r="J103"/>
    </row>
    <row r="104" spans="10:10" x14ac:dyDescent="0.35">
      <c r="J104"/>
    </row>
    <row r="105" spans="10:10" x14ac:dyDescent="0.35">
      <c r="J105"/>
    </row>
    <row r="106" spans="10:10" x14ac:dyDescent="0.35">
      <c r="J106"/>
    </row>
    <row r="107" spans="10:10" x14ac:dyDescent="0.35">
      <c r="J107"/>
    </row>
    <row r="108" spans="10:10" x14ac:dyDescent="0.35">
      <c r="J108"/>
    </row>
    <row r="109" spans="10:10" x14ac:dyDescent="0.35">
      <c r="J109"/>
    </row>
    <row r="110" spans="10:10" x14ac:dyDescent="0.35">
      <c r="J110"/>
    </row>
    <row r="111" spans="10:10" x14ac:dyDescent="0.35">
      <c r="J111"/>
    </row>
    <row r="112" spans="10:10" x14ac:dyDescent="0.35">
      <c r="J112"/>
    </row>
    <row r="113" spans="10:10" x14ac:dyDescent="0.35">
      <c r="J113"/>
    </row>
    <row r="114" spans="10:10" x14ac:dyDescent="0.35">
      <c r="J114"/>
    </row>
    <row r="115" spans="10:10" x14ac:dyDescent="0.35">
      <c r="J115"/>
    </row>
    <row r="116" spans="10:10" x14ac:dyDescent="0.35">
      <c r="J116"/>
    </row>
    <row r="117" spans="10:10" x14ac:dyDescent="0.35">
      <c r="J117"/>
    </row>
    <row r="118" spans="10:10" x14ac:dyDescent="0.35">
      <c r="J118"/>
    </row>
    <row r="119" spans="10:10" x14ac:dyDescent="0.35">
      <c r="J119"/>
    </row>
    <row r="120" spans="10:10" x14ac:dyDescent="0.35">
      <c r="J120"/>
    </row>
    <row r="121" spans="10:10" x14ac:dyDescent="0.35">
      <c r="J121"/>
    </row>
    <row r="122" spans="10:10" x14ac:dyDescent="0.35">
      <c r="J122"/>
    </row>
    <row r="123" spans="10:10" x14ac:dyDescent="0.35">
      <c r="J123"/>
    </row>
    <row r="124" spans="10:10" x14ac:dyDescent="0.35">
      <c r="J124"/>
    </row>
    <row r="125" spans="10:10" x14ac:dyDescent="0.35">
      <c r="J125"/>
    </row>
    <row r="126" spans="10:10" x14ac:dyDescent="0.35">
      <c r="J126"/>
    </row>
    <row r="127" spans="10:10" x14ac:dyDescent="0.35">
      <c r="J127"/>
    </row>
    <row r="128" spans="10:10" x14ac:dyDescent="0.35">
      <c r="J128"/>
    </row>
    <row r="129" spans="10:10" x14ac:dyDescent="0.35">
      <c r="J129"/>
    </row>
    <row r="130" spans="10:10" x14ac:dyDescent="0.35">
      <c r="J130"/>
    </row>
    <row r="131" spans="10:10" x14ac:dyDescent="0.35">
      <c r="J131"/>
    </row>
    <row r="132" spans="10:10" x14ac:dyDescent="0.35">
      <c r="J132"/>
    </row>
    <row r="133" spans="10:10" x14ac:dyDescent="0.35">
      <c r="J133"/>
    </row>
    <row r="134" spans="10:10" x14ac:dyDescent="0.35">
      <c r="J134"/>
    </row>
    <row r="135" spans="10:10" x14ac:dyDescent="0.35">
      <c r="J135"/>
    </row>
    <row r="136" spans="10:10" x14ac:dyDescent="0.35">
      <c r="J136"/>
    </row>
    <row r="137" spans="10:10" x14ac:dyDescent="0.35">
      <c r="J137"/>
    </row>
    <row r="138" spans="10:10" x14ac:dyDescent="0.35">
      <c r="J138"/>
    </row>
    <row r="139" spans="10:10" x14ac:dyDescent="0.35">
      <c r="J139"/>
    </row>
    <row r="140" spans="10:10" x14ac:dyDescent="0.35">
      <c r="J140"/>
    </row>
    <row r="141" spans="10:10" x14ac:dyDescent="0.35">
      <c r="J141"/>
    </row>
    <row r="142" spans="10:10" x14ac:dyDescent="0.35">
      <c r="J142"/>
    </row>
    <row r="143" spans="10:10" x14ac:dyDescent="0.35">
      <c r="J143"/>
    </row>
    <row r="144" spans="10:10" x14ac:dyDescent="0.35">
      <c r="J144"/>
    </row>
    <row r="145" spans="10:10" x14ac:dyDescent="0.35">
      <c r="J145"/>
    </row>
    <row r="146" spans="10:10" x14ac:dyDescent="0.35">
      <c r="J146"/>
    </row>
    <row r="147" spans="10:10" x14ac:dyDescent="0.35">
      <c r="J147"/>
    </row>
    <row r="148" spans="10:10" x14ac:dyDescent="0.35">
      <c r="J148"/>
    </row>
    <row r="149" spans="10:10" x14ac:dyDescent="0.35">
      <c r="J149"/>
    </row>
    <row r="150" spans="10:10" x14ac:dyDescent="0.35">
      <c r="J150"/>
    </row>
    <row r="151" spans="10:10" x14ac:dyDescent="0.35">
      <c r="J151"/>
    </row>
    <row r="152" spans="10:10" x14ac:dyDescent="0.35">
      <c r="J152"/>
    </row>
    <row r="153" spans="10:10" x14ac:dyDescent="0.35">
      <c r="J153"/>
    </row>
    <row r="154" spans="10:10" x14ac:dyDescent="0.35">
      <c r="J154"/>
    </row>
    <row r="155" spans="10:10" x14ac:dyDescent="0.35">
      <c r="J155"/>
    </row>
    <row r="156" spans="10:10" x14ac:dyDescent="0.35">
      <c r="J156"/>
    </row>
    <row r="157" spans="10:10" x14ac:dyDescent="0.35">
      <c r="J157"/>
    </row>
    <row r="158" spans="10:10" x14ac:dyDescent="0.35">
      <c r="J158"/>
    </row>
    <row r="159" spans="10:10" x14ac:dyDescent="0.35">
      <c r="J159"/>
    </row>
    <row r="160" spans="10:10" x14ac:dyDescent="0.35">
      <c r="J160"/>
    </row>
    <row r="161" spans="10:10" x14ac:dyDescent="0.35">
      <c r="J161"/>
    </row>
    <row r="162" spans="10:10" x14ac:dyDescent="0.35">
      <c r="J162"/>
    </row>
    <row r="163" spans="10:10" x14ac:dyDescent="0.35">
      <c r="J163"/>
    </row>
    <row r="164" spans="10:10" x14ac:dyDescent="0.35">
      <c r="J164"/>
    </row>
    <row r="165" spans="10:10" x14ac:dyDescent="0.35">
      <c r="J165"/>
    </row>
    <row r="166" spans="10:10" x14ac:dyDescent="0.35">
      <c r="J166"/>
    </row>
    <row r="167" spans="10:10" x14ac:dyDescent="0.35">
      <c r="J167"/>
    </row>
    <row r="168" spans="10:10" x14ac:dyDescent="0.35">
      <c r="J168"/>
    </row>
    <row r="169" spans="10:10" x14ac:dyDescent="0.35">
      <c r="J169"/>
    </row>
    <row r="170" spans="10:10" x14ac:dyDescent="0.35">
      <c r="J170"/>
    </row>
    <row r="171" spans="10:10" x14ac:dyDescent="0.35">
      <c r="J171"/>
    </row>
    <row r="172" spans="10:10" x14ac:dyDescent="0.35">
      <c r="J172"/>
    </row>
    <row r="173" spans="10:10" x14ac:dyDescent="0.35">
      <c r="J173"/>
    </row>
    <row r="174" spans="10:10" x14ac:dyDescent="0.35">
      <c r="J174"/>
    </row>
    <row r="175" spans="10:10" x14ac:dyDescent="0.35">
      <c r="J175"/>
    </row>
    <row r="176" spans="10:10" x14ac:dyDescent="0.35">
      <c r="J176"/>
    </row>
    <row r="177" spans="10:10" x14ac:dyDescent="0.35">
      <c r="J177"/>
    </row>
    <row r="178" spans="10:10" x14ac:dyDescent="0.35">
      <c r="J178"/>
    </row>
    <row r="179" spans="10:10" x14ac:dyDescent="0.35">
      <c r="J179"/>
    </row>
    <row r="180" spans="10:10" x14ac:dyDescent="0.35">
      <c r="J180"/>
    </row>
    <row r="181" spans="10:10" x14ac:dyDescent="0.35">
      <c r="J181"/>
    </row>
    <row r="182" spans="10:10" x14ac:dyDescent="0.35">
      <c r="J182"/>
    </row>
    <row r="183" spans="10:10" x14ac:dyDescent="0.35">
      <c r="J183"/>
    </row>
    <row r="184" spans="10:10" x14ac:dyDescent="0.35">
      <c r="J184"/>
    </row>
    <row r="185" spans="10:10" x14ac:dyDescent="0.35">
      <c r="J185"/>
    </row>
    <row r="186" spans="10:10" x14ac:dyDescent="0.35">
      <c r="J186"/>
    </row>
    <row r="187" spans="10:10" x14ac:dyDescent="0.35">
      <c r="J187"/>
    </row>
    <row r="188" spans="10:10" x14ac:dyDescent="0.35">
      <c r="J188"/>
    </row>
    <row r="189" spans="10:10" x14ac:dyDescent="0.35">
      <c r="J189"/>
    </row>
    <row r="190" spans="10:10" x14ac:dyDescent="0.35">
      <c r="J190"/>
    </row>
    <row r="191" spans="10:10" x14ac:dyDescent="0.35">
      <c r="J191"/>
    </row>
    <row r="192" spans="10:10" x14ac:dyDescent="0.35">
      <c r="J192"/>
    </row>
    <row r="193" spans="10:10" x14ac:dyDescent="0.35">
      <c r="J193"/>
    </row>
    <row r="194" spans="10:10" x14ac:dyDescent="0.35">
      <c r="J194"/>
    </row>
    <row r="195" spans="10:10" x14ac:dyDescent="0.35">
      <c r="J195"/>
    </row>
    <row r="196" spans="10:10" x14ac:dyDescent="0.35">
      <c r="J196"/>
    </row>
    <row r="197" spans="10:10" x14ac:dyDescent="0.35">
      <c r="J197"/>
    </row>
    <row r="198" spans="10:10" x14ac:dyDescent="0.35">
      <c r="J198"/>
    </row>
    <row r="199" spans="10:10" x14ac:dyDescent="0.35">
      <c r="J199"/>
    </row>
    <row r="200" spans="10:10" x14ac:dyDescent="0.35">
      <c r="J200"/>
    </row>
    <row r="201" spans="10:10" x14ac:dyDescent="0.35">
      <c r="J201"/>
    </row>
    <row r="202" spans="10:10" x14ac:dyDescent="0.35">
      <c r="J202"/>
    </row>
    <row r="203" spans="10:10" x14ac:dyDescent="0.35">
      <c r="J203"/>
    </row>
    <row r="204" spans="10:10" x14ac:dyDescent="0.35">
      <c r="J204"/>
    </row>
    <row r="205" spans="10:10" x14ac:dyDescent="0.35">
      <c r="J205"/>
    </row>
    <row r="206" spans="10:10" x14ac:dyDescent="0.35">
      <c r="J206"/>
    </row>
    <row r="207" spans="10:10" x14ac:dyDescent="0.35">
      <c r="J207"/>
    </row>
    <row r="208" spans="10:10" x14ac:dyDescent="0.35">
      <c r="J208"/>
    </row>
    <row r="209" spans="10:10" x14ac:dyDescent="0.35">
      <c r="J209"/>
    </row>
    <row r="210" spans="10:10" x14ac:dyDescent="0.35">
      <c r="J210"/>
    </row>
    <row r="211" spans="10:10" x14ac:dyDescent="0.35">
      <c r="J211"/>
    </row>
    <row r="212" spans="10:10" x14ac:dyDescent="0.35">
      <c r="J212"/>
    </row>
    <row r="213" spans="10:10" x14ac:dyDescent="0.35">
      <c r="J213"/>
    </row>
    <row r="214" spans="10:10" x14ac:dyDescent="0.35">
      <c r="J214"/>
    </row>
    <row r="215" spans="10:10" x14ac:dyDescent="0.35">
      <c r="J215"/>
    </row>
    <row r="216" spans="10:10" x14ac:dyDescent="0.35">
      <c r="J216"/>
    </row>
    <row r="217" spans="10:10" x14ac:dyDescent="0.35">
      <c r="J217"/>
    </row>
    <row r="218" spans="10:10" x14ac:dyDescent="0.35">
      <c r="J218"/>
    </row>
    <row r="219" spans="10:10" x14ac:dyDescent="0.35">
      <c r="J219"/>
    </row>
    <row r="220" spans="10:10" x14ac:dyDescent="0.35">
      <c r="J220"/>
    </row>
    <row r="221" spans="10:10" x14ac:dyDescent="0.35">
      <c r="J221"/>
    </row>
    <row r="222" spans="10:10" x14ac:dyDescent="0.35">
      <c r="J222"/>
    </row>
    <row r="223" spans="10:10" x14ac:dyDescent="0.35">
      <c r="J223"/>
    </row>
    <row r="224" spans="10:10" x14ac:dyDescent="0.35">
      <c r="J224"/>
    </row>
    <row r="225" spans="10:10" x14ac:dyDescent="0.35">
      <c r="J225"/>
    </row>
    <row r="226" spans="10:10" x14ac:dyDescent="0.35">
      <c r="J226"/>
    </row>
    <row r="227" spans="10:10" x14ac:dyDescent="0.35">
      <c r="J227"/>
    </row>
    <row r="228" spans="10:10" x14ac:dyDescent="0.35">
      <c r="J228"/>
    </row>
    <row r="229" spans="10:10" x14ac:dyDescent="0.35">
      <c r="J229"/>
    </row>
    <row r="230" spans="10:10" x14ac:dyDescent="0.35">
      <c r="J230"/>
    </row>
    <row r="231" spans="10:10" x14ac:dyDescent="0.35">
      <c r="J231"/>
    </row>
    <row r="232" spans="10:10" x14ac:dyDescent="0.35">
      <c r="J232"/>
    </row>
    <row r="233" spans="10:10" x14ac:dyDescent="0.35">
      <c r="J233"/>
    </row>
    <row r="234" spans="10:10" x14ac:dyDescent="0.35">
      <c r="J234"/>
    </row>
    <row r="235" spans="10:10" x14ac:dyDescent="0.35">
      <c r="J235"/>
    </row>
    <row r="236" spans="10:10" x14ac:dyDescent="0.35">
      <c r="J236"/>
    </row>
    <row r="237" spans="10:10" x14ac:dyDescent="0.35">
      <c r="J237"/>
    </row>
    <row r="238" spans="10:10" x14ac:dyDescent="0.35">
      <c r="J238"/>
    </row>
    <row r="239" spans="10:10" x14ac:dyDescent="0.35">
      <c r="J239"/>
    </row>
    <row r="240" spans="10:10" x14ac:dyDescent="0.35">
      <c r="J240"/>
    </row>
    <row r="241" spans="10:10" x14ac:dyDescent="0.35">
      <c r="J241"/>
    </row>
    <row r="242" spans="10:10" x14ac:dyDescent="0.35">
      <c r="J242"/>
    </row>
    <row r="243" spans="10:10" x14ac:dyDescent="0.35">
      <c r="J243"/>
    </row>
    <row r="244" spans="10:10" x14ac:dyDescent="0.35">
      <c r="J244"/>
    </row>
    <row r="245" spans="10:10" x14ac:dyDescent="0.35">
      <c r="J245"/>
    </row>
    <row r="246" spans="10:10" x14ac:dyDescent="0.35">
      <c r="J246"/>
    </row>
    <row r="247" spans="10:10" x14ac:dyDescent="0.35">
      <c r="J247"/>
    </row>
    <row r="248" spans="10:10" x14ac:dyDescent="0.35">
      <c r="J248"/>
    </row>
    <row r="249" spans="10:10" x14ac:dyDescent="0.35">
      <c r="J249"/>
    </row>
    <row r="250" spans="10:10" x14ac:dyDescent="0.35">
      <c r="J250"/>
    </row>
    <row r="251" spans="10:10" x14ac:dyDescent="0.35">
      <c r="J251"/>
    </row>
    <row r="252" spans="10:10" x14ac:dyDescent="0.35">
      <c r="J252"/>
    </row>
    <row r="253" spans="10:10" x14ac:dyDescent="0.35">
      <c r="J253"/>
    </row>
    <row r="254" spans="10:10" x14ac:dyDescent="0.35">
      <c r="J254"/>
    </row>
    <row r="255" spans="10:10" x14ac:dyDescent="0.35">
      <c r="J255"/>
    </row>
    <row r="256" spans="10:10" x14ac:dyDescent="0.35">
      <c r="J256"/>
    </row>
    <row r="257" spans="10:10" x14ac:dyDescent="0.35">
      <c r="J257"/>
    </row>
    <row r="258" spans="10:10" x14ac:dyDescent="0.35">
      <c r="J258"/>
    </row>
    <row r="259" spans="10:10" x14ac:dyDescent="0.35">
      <c r="J259"/>
    </row>
    <row r="260" spans="10:10" x14ac:dyDescent="0.35">
      <c r="J260"/>
    </row>
    <row r="261" spans="10:10" x14ac:dyDescent="0.35">
      <c r="J261"/>
    </row>
    <row r="262" spans="10:10" x14ac:dyDescent="0.35">
      <c r="J262"/>
    </row>
    <row r="263" spans="10:10" x14ac:dyDescent="0.35">
      <c r="J263"/>
    </row>
    <row r="264" spans="10:10" x14ac:dyDescent="0.35">
      <c r="J264"/>
    </row>
    <row r="265" spans="10:10" x14ac:dyDescent="0.35">
      <c r="J265"/>
    </row>
    <row r="266" spans="10:10" x14ac:dyDescent="0.35">
      <c r="J266"/>
    </row>
    <row r="267" spans="10:10" x14ac:dyDescent="0.35">
      <c r="J267"/>
    </row>
    <row r="268" spans="10:10" x14ac:dyDescent="0.35">
      <c r="J268"/>
    </row>
    <row r="269" spans="10:10" x14ac:dyDescent="0.35">
      <c r="J269"/>
    </row>
    <row r="270" spans="10:10" x14ac:dyDescent="0.35">
      <c r="J270"/>
    </row>
    <row r="271" spans="10:10" x14ac:dyDescent="0.35">
      <c r="J271"/>
    </row>
    <row r="272" spans="10:10" x14ac:dyDescent="0.35">
      <c r="J272"/>
    </row>
    <row r="273" spans="10:10" x14ac:dyDescent="0.35">
      <c r="J273"/>
    </row>
    <row r="274" spans="10:10" x14ac:dyDescent="0.35">
      <c r="J274"/>
    </row>
    <row r="275" spans="10:10" x14ac:dyDescent="0.35">
      <c r="J275"/>
    </row>
    <row r="276" spans="10:10" x14ac:dyDescent="0.35">
      <c r="J276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1FFA-1967-4EB9-BE40-9C0D9337666C}">
  <dimension ref="A1:M371"/>
  <sheetViews>
    <sheetView zoomScale="85" zoomScaleNormal="85" workbookViewId="0">
      <selection activeCell="G1" sqref="G1:H14"/>
    </sheetView>
  </sheetViews>
  <sheetFormatPr defaultColWidth="8.90625" defaultRowHeight="14.5" x14ac:dyDescent="0.35"/>
  <cols>
    <col min="1" max="1" width="13.1796875" style="5" bestFit="1" customWidth="1"/>
    <col min="2" max="2" width="19.453125" style="5" bestFit="1" customWidth="1"/>
    <col min="3" max="3" width="8.90625" style="5"/>
    <col min="4" max="4" width="12.453125" style="5" bestFit="1" customWidth="1"/>
    <col min="5" max="5" width="13.453125" style="5" bestFit="1" customWidth="1"/>
    <col min="6" max="6" width="9.453125" style="5" customWidth="1"/>
    <col min="7" max="7" width="13.1796875" style="5" bestFit="1" customWidth="1"/>
    <col min="8" max="8" width="13.453125" style="5" bestFit="1" customWidth="1"/>
    <col min="9" max="9" width="14.08984375" style="5" bestFit="1" customWidth="1"/>
    <col min="10" max="10" width="15.36328125" style="5" bestFit="1" customWidth="1"/>
    <col min="11" max="11" width="16.08984375" style="5" bestFit="1" customWidth="1"/>
    <col min="12" max="12" width="10.453125" style="5" bestFit="1" customWidth="1"/>
    <col min="13" max="13" width="10.54296875" style="5" bestFit="1" customWidth="1"/>
    <col min="14" max="14" width="15.453125" style="5" bestFit="1" customWidth="1"/>
    <col min="15" max="15" width="16.1796875" style="5" bestFit="1" customWidth="1"/>
    <col min="16" max="16" width="10.54296875" style="5" bestFit="1" customWidth="1"/>
    <col min="17" max="16384" width="8.90625" style="5"/>
  </cols>
  <sheetData>
    <row r="1" spans="1:13" x14ac:dyDescent="0.35">
      <c r="A1" s="21" t="s">
        <v>33</v>
      </c>
      <c r="B1" t="s">
        <v>2249</v>
      </c>
      <c r="D1" s="21" t="s">
        <v>33</v>
      </c>
      <c r="E1" t="s">
        <v>2249</v>
      </c>
      <c r="G1" s="21" t="s">
        <v>33</v>
      </c>
      <c r="H1" t="s">
        <v>2060</v>
      </c>
      <c r="I1"/>
      <c r="J1" s="21" t="s">
        <v>33</v>
      </c>
      <c r="K1" t="s">
        <v>2061</v>
      </c>
    </row>
    <row r="2" spans="1:13" x14ac:dyDescent="0.35">
      <c r="A2" s="91" t="s">
        <v>35</v>
      </c>
      <c r="B2" s="91"/>
      <c r="C2"/>
      <c r="D2" s="90" t="s">
        <v>36</v>
      </c>
      <c r="E2" s="90"/>
      <c r="F2" s="14"/>
      <c r="G2" s="91" t="s">
        <v>37</v>
      </c>
      <c r="H2" s="91"/>
      <c r="I2"/>
      <c r="J2" s="91" t="s">
        <v>38</v>
      </c>
      <c r="K2" s="91"/>
      <c r="L2" s="91"/>
    </row>
    <row r="3" spans="1:13" x14ac:dyDescent="0.35">
      <c r="A3" s="21" t="s">
        <v>21</v>
      </c>
      <c r="B3" t="s">
        <v>39</v>
      </c>
      <c r="C3"/>
      <c r="D3" s="21" t="s">
        <v>45</v>
      </c>
      <c r="E3" t="s">
        <v>46</v>
      </c>
      <c r="F3"/>
      <c r="G3" s="21" t="s">
        <v>21</v>
      </c>
      <c r="H3" t="s">
        <v>46</v>
      </c>
      <c r="I3"/>
      <c r="J3" s="21" t="s">
        <v>40</v>
      </c>
      <c r="K3" s="21" t="s">
        <v>41</v>
      </c>
      <c r="L3"/>
      <c r="M3"/>
    </row>
    <row r="4" spans="1:13" x14ac:dyDescent="0.35">
      <c r="A4" s="6" t="s">
        <v>247</v>
      </c>
      <c r="B4">
        <v>4</v>
      </c>
      <c r="C4"/>
      <c r="D4" s="6" t="s">
        <v>2062</v>
      </c>
      <c r="E4">
        <v>5</v>
      </c>
      <c r="F4"/>
      <c r="G4" s="6" t="s">
        <v>69</v>
      </c>
      <c r="H4">
        <v>2</v>
      </c>
      <c r="I4"/>
      <c r="J4" s="21" t="s">
        <v>21</v>
      </c>
      <c r="K4" t="s">
        <v>32</v>
      </c>
      <c r="L4" t="s">
        <v>34</v>
      </c>
      <c r="M4"/>
    </row>
    <row r="5" spans="1:13" x14ac:dyDescent="0.35">
      <c r="A5" s="6" t="s">
        <v>69</v>
      </c>
      <c r="B5">
        <v>8</v>
      </c>
      <c r="C5"/>
      <c r="D5" s="6" t="s">
        <v>284</v>
      </c>
      <c r="E5">
        <v>7</v>
      </c>
      <c r="F5"/>
      <c r="G5" s="6" t="s">
        <v>866</v>
      </c>
      <c r="H5">
        <v>1</v>
      </c>
      <c r="I5"/>
      <c r="J5" s="6" t="s">
        <v>207</v>
      </c>
      <c r="K5">
        <v>1</v>
      </c>
      <c r="L5">
        <v>1</v>
      </c>
      <c r="M5"/>
    </row>
    <row r="6" spans="1:13" x14ac:dyDescent="0.35">
      <c r="A6" s="6" t="s">
        <v>2176</v>
      </c>
      <c r="B6">
        <v>3</v>
      </c>
      <c r="C6"/>
      <c r="D6" s="6" t="s">
        <v>91</v>
      </c>
      <c r="E6">
        <v>6</v>
      </c>
      <c r="F6"/>
      <c r="G6" s="6" t="s">
        <v>73</v>
      </c>
      <c r="H6">
        <v>2</v>
      </c>
      <c r="I6"/>
      <c r="J6" s="6" t="s">
        <v>2035</v>
      </c>
      <c r="K6">
        <v>1</v>
      </c>
      <c r="L6">
        <v>1</v>
      </c>
      <c r="M6"/>
    </row>
    <row r="7" spans="1:13" x14ac:dyDescent="0.35">
      <c r="A7" s="6" t="s">
        <v>55</v>
      </c>
      <c r="B7">
        <v>3</v>
      </c>
      <c r="C7"/>
      <c r="D7" s="6" t="s">
        <v>239</v>
      </c>
      <c r="E7">
        <v>3</v>
      </c>
      <c r="F7"/>
      <c r="G7" s="6" t="s">
        <v>65</v>
      </c>
      <c r="H7">
        <v>5</v>
      </c>
      <c r="I7"/>
      <c r="J7" s="6" t="s">
        <v>191</v>
      </c>
      <c r="K7">
        <v>1</v>
      </c>
      <c r="L7">
        <v>1</v>
      </c>
      <c r="M7"/>
    </row>
    <row r="8" spans="1:13" x14ac:dyDescent="0.35">
      <c r="A8" s="6" t="s">
        <v>2124</v>
      </c>
      <c r="B8">
        <v>5</v>
      </c>
      <c r="C8"/>
      <c r="D8" s="6" t="s">
        <v>2080</v>
      </c>
      <c r="E8">
        <v>3</v>
      </c>
      <c r="F8"/>
      <c r="G8" s="6" t="s">
        <v>66</v>
      </c>
      <c r="H8">
        <v>5</v>
      </c>
      <c r="I8"/>
      <c r="J8" s="6" t="s">
        <v>233</v>
      </c>
      <c r="K8">
        <v>1</v>
      </c>
      <c r="L8">
        <v>1</v>
      </c>
      <c r="M8"/>
    </row>
    <row r="9" spans="1:13" x14ac:dyDescent="0.35">
      <c r="A9" s="6" t="s">
        <v>97</v>
      </c>
      <c r="B9">
        <v>3</v>
      </c>
      <c r="C9"/>
      <c r="D9" s="6" t="s">
        <v>96</v>
      </c>
      <c r="E9">
        <v>6</v>
      </c>
      <c r="F9"/>
      <c r="G9" s="6" t="s">
        <v>436</v>
      </c>
      <c r="H9">
        <v>1</v>
      </c>
      <c r="I9"/>
      <c r="J9" s="6" t="s">
        <v>97</v>
      </c>
      <c r="K9">
        <v>1</v>
      </c>
      <c r="L9">
        <v>1</v>
      </c>
      <c r="M9"/>
    </row>
    <row r="10" spans="1:13" x14ac:dyDescent="0.35">
      <c r="A10" s="6" t="s">
        <v>2168</v>
      </c>
      <c r="B10">
        <v>3</v>
      </c>
      <c r="C10"/>
      <c r="D10" s="6" t="s">
        <v>97</v>
      </c>
      <c r="E10">
        <v>5</v>
      </c>
      <c r="F10"/>
      <c r="G10" s="6" t="s">
        <v>77</v>
      </c>
      <c r="H10">
        <v>2</v>
      </c>
      <c r="I10"/>
      <c r="J10" s="6" t="s">
        <v>148</v>
      </c>
      <c r="K10">
        <v>1</v>
      </c>
      <c r="L10">
        <v>1</v>
      </c>
      <c r="M10"/>
    </row>
    <row r="11" spans="1:13" x14ac:dyDescent="0.35">
      <c r="A11" s="6" t="s">
        <v>284</v>
      </c>
      <c r="B11">
        <v>3</v>
      </c>
      <c r="C11"/>
      <c r="D11" s="6" t="s">
        <v>886</v>
      </c>
      <c r="E11">
        <v>3</v>
      </c>
      <c r="F11"/>
      <c r="G11" s="6" t="s">
        <v>176</v>
      </c>
      <c r="H11">
        <v>2</v>
      </c>
      <c r="I11"/>
      <c r="J11" s="6" t="s">
        <v>34</v>
      </c>
      <c r="K11">
        <v>6</v>
      </c>
      <c r="L11">
        <v>6</v>
      </c>
      <c r="M11"/>
    </row>
    <row r="12" spans="1:13" x14ac:dyDescent="0.35">
      <c r="A12" s="6" t="s">
        <v>2156</v>
      </c>
      <c r="B12">
        <v>3</v>
      </c>
      <c r="C12"/>
      <c r="D12" s="6" t="s">
        <v>2087</v>
      </c>
      <c r="E12">
        <v>3</v>
      </c>
      <c r="F12"/>
      <c r="G12" s="6" t="s">
        <v>134</v>
      </c>
      <c r="H12">
        <v>1</v>
      </c>
      <c r="I12"/>
      <c r="J12"/>
      <c r="K12"/>
      <c r="L12"/>
      <c r="M12"/>
    </row>
    <row r="13" spans="1:13" x14ac:dyDescent="0.35">
      <c r="A13" s="6" t="s">
        <v>2216</v>
      </c>
      <c r="B13">
        <v>3</v>
      </c>
      <c r="C13"/>
      <c r="D13" s="6" t="s">
        <v>177</v>
      </c>
      <c r="E13">
        <v>3</v>
      </c>
      <c r="F13"/>
      <c r="G13" s="6" t="s">
        <v>164</v>
      </c>
      <c r="H13">
        <v>1</v>
      </c>
      <c r="I13"/>
      <c r="J13"/>
      <c r="K13"/>
      <c r="L13"/>
      <c r="M13"/>
    </row>
    <row r="14" spans="1:13" x14ac:dyDescent="0.35">
      <c r="A14" s="6" t="s">
        <v>135</v>
      </c>
      <c r="B14">
        <v>4</v>
      </c>
      <c r="C14"/>
      <c r="D14" s="6" t="s">
        <v>507</v>
      </c>
      <c r="E14">
        <v>10</v>
      </c>
      <c r="F14"/>
      <c r="G14" s="6" t="s">
        <v>34</v>
      </c>
      <c r="H14">
        <v>22</v>
      </c>
      <c r="I14"/>
      <c r="J14"/>
      <c r="K14"/>
      <c r="L14"/>
      <c r="M14"/>
    </row>
    <row r="15" spans="1:13" x14ac:dyDescent="0.35">
      <c r="A15" s="6" t="s">
        <v>137</v>
      </c>
      <c r="B15">
        <v>3</v>
      </c>
      <c r="C15"/>
      <c r="D15" s="6" t="s">
        <v>2072</v>
      </c>
      <c r="E15">
        <v>4</v>
      </c>
      <c r="F15"/>
      <c r="G15"/>
      <c r="H15"/>
      <c r="I15"/>
      <c r="J15"/>
      <c r="K15"/>
      <c r="L15"/>
      <c r="M15"/>
    </row>
    <row r="16" spans="1:13" x14ac:dyDescent="0.35">
      <c r="A16" s="6" t="s">
        <v>2198</v>
      </c>
      <c r="B16">
        <v>3</v>
      </c>
      <c r="C16"/>
      <c r="D16" s="6" t="s">
        <v>621</v>
      </c>
      <c r="E16">
        <v>3</v>
      </c>
      <c r="F16"/>
      <c r="G16"/>
      <c r="H16"/>
      <c r="I16"/>
      <c r="J16"/>
      <c r="K16"/>
      <c r="L16"/>
      <c r="M16"/>
    </row>
    <row r="17" spans="1:13" x14ac:dyDescent="0.35">
      <c r="A17" s="6" t="s">
        <v>2140</v>
      </c>
      <c r="B17">
        <v>5</v>
      </c>
      <c r="C17"/>
      <c r="D17" s="6" t="s">
        <v>254</v>
      </c>
      <c r="E17">
        <v>5</v>
      </c>
      <c r="F17"/>
      <c r="G17"/>
      <c r="H17"/>
      <c r="I17"/>
      <c r="J17"/>
      <c r="K17"/>
      <c r="L17"/>
      <c r="M17"/>
    </row>
    <row r="18" spans="1:13" x14ac:dyDescent="0.35">
      <c r="A18" s="6" t="s">
        <v>143</v>
      </c>
      <c r="B18">
        <v>4</v>
      </c>
      <c r="C18"/>
      <c r="D18" s="6" t="s">
        <v>2076</v>
      </c>
      <c r="E18">
        <v>4</v>
      </c>
      <c r="F18"/>
      <c r="G18"/>
      <c r="H18"/>
      <c r="I18"/>
      <c r="J18"/>
      <c r="K18"/>
      <c r="L18"/>
      <c r="M18"/>
    </row>
    <row r="19" spans="1:13" x14ac:dyDescent="0.35">
      <c r="A19" s="6" t="s">
        <v>99</v>
      </c>
      <c r="B19">
        <v>3</v>
      </c>
      <c r="C19"/>
      <c r="D19" s="6" t="s">
        <v>34</v>
      </c>
      <c r="E19">
        <v>70</v>
      </c>
      <c r="F19"/>
      <c r="G19"/>
      <c r="H19"/>
      <c r="I19"/>
      <c r="J19"/>
      <c r="K19"/>
      <c r="L19"/>
      <c r="M19"/>
    </row>
    <row r="20" spans="1:13" x14ac:dyDescent="0.35">
      <c r="A20" s="6" t="s">
        <v>2120</v>
      </c>
      <c r="B20">
        <v>3</v>
      </c>
      <c r="D20"/>
      <c r="E20"/>
      <c r="F20"/>
      <c r="G20"/>
      <c r="H20"/>
      <c r="J20"/>
      <c r="K20"/>
      <c r="L20"/>
      <c r="M20"/>
    </row>
    <row r="21" spans="1:13" x14ac:dyDescent="0.35">
      <c r="A21" s="6" t="s">
        <v>2164</v>
      </c>
      <c r="B21">
        <v>3</v>
      </c>
      <c r="D21"/>
      <c r="E21"/>
      <c r="F21"/>
      <c r="G21"/>
      <c r="H21"/>
      <c r="J21"/>
      <c r="K21"/>
      <c r="L21"/>
      <c r="M21"/>
    </row>
    <row r="22" spans="1:13" x14ac:dyDescent="0.35">
      <c r="A22" s="6" t="s">
        <v>2116</v>
      </c>
      <c r="B22">
        <v>3</v>
      </c>
      <c r="D22"/>
      <c r="E22"/>
      <c r="F22"/>
      <c r="G22"/>
      <c r="H22"/>
      <c r="J22"/>
      <c r="K22"/>
      <c r="L22"/>
      <c r="M22"/>
    </row>
    <row r="23" spans="1:13" x14ac:dyDescent="0.35">
      <c r="A23" s="6" t="s">
        <v>224</v>
      </c>
      <c r="B23">
        <v>5</v>
      </c>
      <c r="D23"/>
      <c r="E23"/>
      <c r="F23"/>
      <c r="G23"/>
      <c r="H23"/>
      <c r="J23"/>
      <c r="K23"/>
      <c r="L23"/>
      <c r="M23"/>
    </row>
    <row r="24" spans="1:13" x14ac:dyDescent="0.35">
      <c r="A24" s="6" t="s">
        <v>2189</v>
      </c>
      <c r="B24">
        <v>3</v>
      </c>
      <c r="D24"/>
      <c r="E24"/>
      <c r="F24"/>
      <c r="G24"/>
      <c r="H24"/>
      <c r="J24"/>
      <c r="K24"/>
      <c r="L24"/>
      <c r="M24"/>
    </row>
    <row r="25" spans="1:13" x14ac:dyDescent="0.35">
      <c r="A25" s="6" t="s">
        <v>2172</v>
      </c>
      <c r="B25">
        <v>3</v>
      </c>
      <c r="D25"/>
      <c r="E25"/>
      <c r="F25"/>
      <c r="G25"/>
      <c r="H25"/>
      <c r="J25"/>
      <c r="K25"/>
      <c r="L25"/>
      <c r="M25"/>
    </row>
    <row r="26" spans="1:13" x14ac:dyDescent="0.35">
      <c r="A26" s="6" t="s">
        <v>96</v>
      </c>
      <c r="B26">
        <v>3</v>
      </c>
      <c r="D26"/>
      <c r="E26"/>
      <c r="F26"/>
      <c r="G26"/>
      <c r="H26"/>
      <c r="J26"/>
      <c r="K26"/>
      <c r="L26"/>
      <c r="M26"/>
    </row>
    <row r="27" spans="1:13" x14ac:dyDescent="0.35">
      <c r="A27" s="6" t="s">
        <v>103</v>
      </c>
      <c r="B27">
        <v>4</v>
      </c>
      <c r="D27"/>
      <c r="E27"/>
      <c r="F27"/>
      <c r="G27"/>
      <c r="H27"/>
      <c r="J27"/>
      <c r="K27"/>
      <c r="L27"/>
      <c r="M27"/>
    </row>
    <row r="28" spans="1:13" x14ac:dyDescent="0.35">
      <c r="A28" s="6" t="s">
        <v>2152</v>
      </c>
      <c r="B28">
        <v>3</v>
      </c>
      <c r="D28"/>
      <c r="E28"/>
      <c r="F28"/>
      <c r="G28"/>
      <c r="H28"/>
      <c r="J28"/>
      <c r="K28"/>
      <c r="L28"/>
      <c r="M28"/>
    </row>
    <row r="29" spans="1:13" x14ac:dyDescent="0.35">
      <c r="A29" s="6" t="s">
        <v>66</v>
      </c>
      <c r="B29">
        <v>4</v>
      </c>
      <c r="D29"/>
      <c r="E29"/>
      <c r="F29"/>
      <c r="G29"/>
      <c r="H29"/>
      <c r="J29"/>
      <c r="K29"/>
      <c r="L29"/>
      <c r="M29"/>
    </row>
    <row r="30" spans="1:13" x14ac:dyDescent="0.35">
      <c r="A30" s="6" t="s">
        <v>2145</v>
      </c>
      <c r="B30">
        <v>3</v>
      </c>
      <c r="D30"/>
      <c r="E30"/>
      <c r="F30"/>
      <c r="G30"/>
      <c r="H30"/>
      <c r="J30"/>
      <c r="K30"/>
      <c r="L30"/>
      <c r="M30"/>
    </row>
    <row r="31" spans="1:13" x14ac:dyDescent="0.35">
      <c r="A31" s="6" t="s">
        <v>266</v>
      </c>
      <c r="B31">
        <v>4</v>
      </c>
      <c r="D31"/>
      <c r="E31"/>
      <c r="F31"/>
      <c r="G31"/>
      <c r="H31"/>
      <c r="J31"/>
      <c r="K31"/>
      <c r="L31"/>
      <c r="M31"/>
    </row>
    <row r="32" spans="1:13" x14ac:dyDescent="0.35">
      <c r="A32" s="6" t="s">
        <v>290</v>
      </c>
      <c r="B32">
        <v>4</v>
      </c>
      <c r="D32"/>
      <c r="E32"/>
      <c r="F32"/>
      <c r="G32"/>
      <c r="H32"/>
      <c r="J32"/>
      <c r="K32"/>
      <c r="L32"/>
      <c r="M32"/>
    </row>
    <row r="33" spans="1:13" x14ac:dyDescent="0.35">
      <c r="A33" s="6" t="s">
        <v>1908</v>
      </c>
      <c r="B33">
        <v>4</v>
      </c>
      <c r="D33"/>
      <c r="E33"/>
      <c r="F33"/>
      <c r="G33"/>
      <c r="H33"/>
      <c r="J33"/>
      <c r="K33"/>
      <c r="L33"/>
      <c r="M33"/>
    </row>
    <row r="34" spans="1:13" x14ac:dyDescent="0.35">
      <c r="A34" s="6" t="s">
        <v>34</v>
      </c>
      <c r="B34">
        <v>109</v>
      </c>
      <c r="D34"/>
      <c r="E34"/>
      <c r="F34"/>
      <c r="G34"/>
      <c r="H34"/>
      <c r="J34"/>
      <c r="K34"/>
      <c r="L34"/>
      <c r="M34"/>
    </row>
    <row r="35" spans="1:13" x14ac:dyDescent="0.35">
      <c r="A35"/>
      <c r="B35"/>
      <c r="D35"/>
      <c r="E35"/>
      <c r="F35"/>
      <c r="G35"/>
      <c r="H35"/>
      <c r="J35"/>
      <c r="K35"/>
      <c r="L35"/>
      <c r="M35"/>
    </row>
    <row r="36" spans="1:13" x14ac:dyDescent="0.35">
      <c r="A36"/>
      <c r="B36"/>
      <c r="D36"/>
      <c r="E36"/>
      <c r="F36"/>
      <c r="G36"/>
      <c r="H36"/>
      <c r="J36"/>
      <c r="K36"/>
      <c r="L36"/>
      <c r="M36"/>
    </row>
    <row r="37" spans="1:13" x14ac:dyDescent="0.35">
      <c r="A37"/>
      <c r="B37"/>
      <c r="D37"/>
      <c r="E37"/>
      <c r="F37"/>
      <c r="G37"/>
      <c r="H37"/>
      <c r="J37"/>
      <c r="K37"/>
      <c r="L37"/>
      <c r="M37"/>
    </row>
    <row r="38" spans="1:13" x14ac:dyDescent="0.35">
      <c r="A38"/>
      <c r="B38"/>
      <c r="D38"/>
      <c r="E38"/>
      <c r="F38"/>
      <c r="G38"/>
      <c r="H38"/>
      <c r="J38"/>
      <c r="K38"/>
      <c r="L38"/>
      <c r="M38"/>
    </row>
    <row r="39" spans="1:13" x14ac:dyDescent="0.35">
      <c r="A39"/>
      <c r="B39"/>
      <c r="D39"/>
      <c r="E39"/>
      <c r="F39"/>
      <c r="G39"/>
      <c r="H39"/>
      <c r="J39"/>
      <c r="K39"/>
      <c r="L39"/>
      <c r="M39"/>
    </row>
    <row r="40" spans="1:13" x14ac:dyDescent="0.35">
      <c r="A40"/>
      <c r="B40"/>
      <c r="D40"/>
      <c r="E40"/>
      <c r="F40"/>
      <c r="G40"/>
      <c r="H40"/>
    </row>
    <row r="41" spans="1:13" x14ac:dyDescent="0.35">
      <c r="A41"/>
      <c r="B41"/>
      <c r="D41"/>
      <c r="E41"/>
      <c r="F41"/>
      <c r="G41"/>
      <c r="H41"/>
    </row>
    <row r="42" spans="1:13" x14ac:dyDescent="0.35">
      <c r="A42"/>
      <c r="B42"/>
      <c r="D42"/>
      <c r="E42"/>
      <c r="F42"/>
      <c r="G42"/>
      <c r="H42"/>
    </row>
    <row r="43" spans="1:13" x14ac:dyDescent="0.35">
      <c r="A43"/>
      <c r="B43"/>
      <c r="D43"/>
      <c r="E43"/>
      <c r="G43"/>
      <c r="H43"/>
      <c r="I43"/>
      <c r="J43"/>
    </row>
    <row r="44" spans="1:13" x14ac:dyDescent="0.35">
      <c r="A44"/>
      <c r="B44"/>
      <c r="D44"/>
      <c r="E44"/>
      <c r="G44"/>
      <c r="H44"/>
      <c r="I44"/>
      <c r="J44"/>
    </row>
    <row r="45" spans="1:13" x14ac:dyDescent="0.35">
      <c r="A45"/>
      <c r="B45"/>
      <c r="D45"/>
      <c r="E45"/>
      <c r="G45"/>
      <c r="H45"/>
      <c r="I45"/>
      <c r="J45"/>
    </row>
    <row r="46" spans="1:13" x14ac:dyDescent="0.35">
      <c r="A46"/>
      <c r="B46"/>
      <c r="D46"/>
      <c r="E46"/>
      <c r="G46"/>
      <c r="H46"/>
      <c r="I46"/>
      <c r="J46"/>
    </row>
    <row r="47" spans="1:13" x14ac:dyDescent="0.35">
      <c r="A47"/>
      <c r="B47"/>
      <c r="D47"/>
      <c r="E47"/>
      <c r="G47"/>
      <c r="H47"/>
      <c r="I47"/>
      <c r="J47"/>
    </row>
    <row r="48" spans="1:13" x14ac:dyDescent="0.35">
      <c r="A48"/>
      <c r="B48"/>
      <c r="D48"/>
      <c r="E48"/>
      <c r="G48"/>
      <c r="H48"/>
      <c r="I48"/>
      <c r="J48"/>
    </row>
    <row r="49" spans="1:10" x14ac:dyDescent="0.35">
      <c r="A49"/>
      <c r="B49"/>
      <c r="D49"/>
      <c r="E49"/>
      <c r="G49"/>
      <c r="H49"/>
      <c r="I49"/>
      <c r="J49"/>
    </row>
    <row r="50" spans="1:10" x14ac:dyDescent="0.35">
      <c r="A50"/>
      <c r="B50"/>
      <c r="D50"/>
      <c r="E50"/>
      <c r="G50"/>
      <c r="H50"/>
      <c r="I50"/>
      <c r="J50"/>
    </row>
    <row r="51" spans="1:10" x14ac:dyDescent="0.35">
      <c r="A51"/>
      <c r="B51"/>
      <c r="D51"/>
      <c r="E51"/>
      <c r="G51"/>
      <c r="H51"/>
      <c r="I51"/>
      <c r="J51"/>
    </row>
    <row r="52" spans="1:10" x14ac:dyDescent="0.35">
      <c r="A52"/>
      <c r="B52"/>
      <c r="D52"/>
      <c r="E52"/>
      <c r="G52"/>
      <c r="H52"/>
      <c r="I52"/>
      <c r="J52"/>
    </row>
    <row r="53" spans="1:10" x14ac:dyDescent="0.35">
      <c r="A53"/>
      <c r="B53"/>
      <c r="D53"/>
      <c r="E53"/>
      <c r="G53"/>
      <c r="H53"/>
      <c r="I53"/>
      <c r="J53"/>
    </row>
    <row r="54" spans="1:10" x14ac:dyDescent="0.35">
      <c r="A54"/>
      <c r="B54"/>
      <c r="D54"/>
      <c r="E54"/>
      <c r="G54"/>
      <c r="H54"/>
      <c r="I54"/>
      <c r="J54"/>
    </row>
    <row r="55" spans="1:10" x14ac:dyDescent="0.35">
      <c r="A55"/>
      <c r="B55"/>
      <c r="D55"/>
      <c r="E55"/>
      <c r="G55"/>
      <c r="H55"/>
      <c r="I55"/>
      <c r="J55"/>
    </row>
    <row r="56" spans="1:10" x14ac:dyDescent="0.35">
      <c r="A56"/>
      <c r="B56"/>
      <c r="D56"/>
      <c r="E56"/>
      <c r="G56"/>
      <c r="H56"/>
      <c r="I56"/>
      <c r="J56"/>
    </row>
    <row r="57" spans="1:10" x14ac:dyDescent="0.35">
      <c r="A57"/>
      <c r="B57"/>
      <c r="D57"/>
      <c r="E57"/>
      <c r="G57"/>
      <c r="H57"/>
      <c r="I57"/>
      <c r="J57"/>
    </row>
    <row r="58" spans="1:10" x14ac:dyDescent="0.35">
      <c r="A58"/>
      <c r="B58"/>
      <c r="D58"/>
      <c r="E58"/>
      <c r="G58"/>
      <c r="H58"/>
      <c r="I58"/>
      <c r="J58"/>
    </row>
    <row r="59" spans="1:10" x14ac:dyDescent="0.35">
      <c r="A59"/>
      <c r="B59"/>
      <c r="D59"/>
      <c r="E59"/>
      <c r="G59"/>
      <c r="H59"/>
      <c r="I59"/>
      <c r="J59"/>
    </row>
    <row r="60" spans="1:10" x14ac:dyDescent="0.35">
      <c r="A60"/>
      <c r="B60"/>
      <c r="D60"/>
      <c r="E60"/>
      <c r="G60"/>
      <c r="H60"/>
      <c r="I60"/>
      <c r="J60"/>
    </row>
    <row r="61" spans="1:10" x14ac:dyDescent="0.35">
      <c r="A61"/>
      <c r="B61"/>
      <c r="D61"/>
      <c r="E61"/>
      <c r="G61"/>
      <c r="H61"/>
      <c r="I61"/>
      <c r="J61"/>
    </row>
    <row r="62" spans="1:10" x14ac:dyDescent="0.35">
      <c r="A62"/>
      <c r="B62"/>
      <c r="D62"/>
      <c r="E62"/>
      <c r="G62"/>
      <c r="H62"/>
      <c r="I62"/>
      <c r="J62"/>
    </row>
    <row r="63" spans="1:10" x14ac:dyDescent="0.35">
      <c r="A63"/>
      <c r="B63"/>
      <c r="D63"/>
      <c r="E63"/>
      <c r="G63"/>
      <c r="H63"/>
      <c r="I63"/>
      <c r="J63"/>
    </row>
    <row r="64" spans="1:10" x14ac:dyDescent="0.35">
      <c r="A64"/>
      <c r="B64"/>
      <c r="D64"/>
      <c r="E64"/>
      <c r="G64"/>
      <c r="H64"/>
      <c r="I64"/>
      <c r="J64"/>
    </row>
    <row r="65" spans="1:10" x14ac:dyDescent="0.35">
      <c r="A65"/>
      <c r="B65"/>
      <c r="D65"/>
      <c r="E65"/>
      <c r="G65"/>
      <c r="H65"/>
      <c r="I65"/>
      <c r="J65"/>
    </row>
    <row r="66" spans="1:10" x14ac:dyDescent="0.35">
      <c r="A66"/>
      <c r="B66"/>
      <c r="D66"/>
      <c r="E66"/>
      <c r="G66"/>
      <c r="H66"/>
      <c r="I66"/>
      <c r="J66"/>
    </row>
    <row r="67" spans="1:10" x14ac:dyDescent="0.35">
      <c r="A67"/>
      <c r="B67"/>
      <c r="D67"/>
      <c r="E67"/>
      <c r="G67"/>
      <c r="H67"/>
      <c r="I67"/>
      <c r="J67"/>
    </row>
    <row r="68" spans="1:10" x14ac:dyDescent="0.35">
      <c r="A68"/>
      <c r="B68"/>
      <c r="D68"/>
      <c r="E68"/>
      <c r="G68"/>
      <c r="H68"/>
      <c r="I68"/>
      <c r="J68"/>
    </row>
    <row r="69" spans="1:10" x14ac:dyDescent="0.35">
      <c r="A69"/>
      <c r="B69"/>
      <c r="D69"/>
      <c r="E69"/>
      <c r="G69"/>
      <c r="H69"/>
      <c r="I69"/>
      <c r="J69"/>
    </row>
    <row r="70" spans="1:10" x14ac:dyDescent="0.35">
      <c r="A70"/>
      <c r="B70"/>
      <c r="D70"/>
      <c r="E70"/>
      <c r="G70"/>
      <c r="H70"/>
      <c r="I70"/>
      <c r="J70"/>
    </row>
    <row r="71" spans="1:10" x14ac:dyDescent="0.35">
      <c r="A71"/>
      <c r="B71"/>
      <c r="D71"/>
      <c r="E71"/>
      <c r="G71"/>
      <c r="H71"/>
      <c r="I71"/>
      <c r="J71"/>
    </row>
    <row r="72" spans="1:10" x14ac:dyDescent="0.35">
      <c r="A72"/>
      <c r="B72"/>
      <c r="D72"/>
      <c r="E72"/>
      <c r="G72"/>
      <c r="H72"/>
      <c r="I72"/>
      <c r="J72"/>
    </row>
    <row r="73" spans="1:10" x14ac:dyDescent="0.35">
      <c r="A73"/>
      <c r="B73"/>
      <c r="D73"/>
      <c r="E73"/>
      <c r="G73"/>
      <c r="H73"/>
      <c r="I73"/>
      <c r="J73"/>
    </row>
    <row r="74" spans="1:10" x14ac:dyDescent="0.35">
      <c r="A74"/>
      <c r="B74"/>
      <c r="D74"/>
      <c r="E74"/>
      <c r="G74"/>
      <c r="H74"/>
      <c r="I74"/>
      <c r="J74"/>
    </row>
    <row r="75" spans="1:10" x14ac:dyDescent="0.35">
      <c r="A75"/>
      <c r="B75"/>
      <c r="D75"/>
      <c r="E75"/>
      <c r="G75"/>
      <c r="H75"/>
      <c r="I75"/>
      <c r="J75"/>
    </row>
    <row r="76" spans="1:10" x14ac:dyDescent="0.35">
      <c r="A76"/>
      <c r="B76"/>
      <c r="D76"/>
      <c r="E76"/>
      <c r="G76"/>
      <c r="H76"/>
      <c r="I76"/>
      <c r="J76"/>
    </row>
    <row r="77" spans="1:10" x14ac:dyDescent="0.35">
      <c r="A77"/>
      <c r="B77"/>
      <c r="D77"/>
      <c r="E77"/>
      <c r="G77"/>
      <c r="H77"/>
      <c r="I77"/>
      <c r="J77"/>
    </row>
    <row r="78" spans="1:10" x14ac:dyDescent="0.35">
      <c r="A78"/>
      <c r="B78"/>
      <c r="D78"/>
      <c r="E78"/>
      <c r="G78"/>
      <c r="H78"/>
      <c r="I78"/>
      <c r="J78"/>
    </row>
    <row r="79" spans="1:10" x14ac:dyDescent="0.35">
      <c r="A79"/>
      <c r="B79"/>
      <c r="D79"/>
      <c r="E79"/>
      <c r="G79"/>
      <c r="H79"/>
      <c r="I79"/>
      <c r="J79"/>
    </row>
    <row r="80" spans="1:10" x14ac:dyDescent="0.35">
      <c r="A80"/>
      <c r="B80"/>
      <c r="D80"/>
      <c r="E80"/>
      <c r="G80"/>
      <c r="H80"/>
      <c r="I80"/>
      <c r="J80"/>
    </row>
    <row r="81" spans="1:10" x14ac:dyDescent="0.35">
      <c r="A81"/>
      <c r="B81"/>
      <c r="D81"/>
      <c r="E81"/>
      <c r="G81"/>
      <c r="H81"/>
      <c r="I81"/>
      <c r="J81"/>
    </row>
    <row r="82" spans="1:10" x14ac:dyDescent="0.35">
      <c r="A82"/>
      <c r="B82"/>
      <c r="D82"/>
      <c r="E82"/>
      <c r="G82"/>
      <c r="H82"/>
      <c r="I82"/>
      <c r="J82"/>
    </row>
    <row r="83" spans="1:10" x14ac:dyDescent="0.35">
      <c r="A83"/>
      <c r="B83"/>
      <c r="D83"/>
      <c r="E83"/>
      <c r="G83"/>
      <c r="H83"/>
      <c r="I83"/>
      <c r="J83"/>
    </row>
    <row r="84" spans="1:10" x14ac:dyDescent="0.35">
      <c r="A84"/>
      <c r="B84"/>
      <c r="D84"/>
      <c r="E84"/>
      <c r="G84"/>
      <c r="H84"/>
      <c r="I84"/>
      <c r="J84"/>
    </row>
    <row r="85" spans="1:10" x14ac:dyDescent="0.35">
      <c r="A85"/>
      <c r="B85"/>
      <c r="D85"/>
      <c r="E85"/>
      <c r="G85"/>
      <c r="H85"/>
      <c r="I85"/>
      <c r="J85"/>
    </row>
    <row r="86" spans="1:10" x14ac:dyDescent="0.35">
      <c r="A86"/>
      <c r="B86"/>
      <c r="D86"/>
      <c r="E86"/>
      <c r="G86"/>
      <c r="H86"/>
      <c r="I86"/>
      <c r="J86"/>
    </row>
    <row r="87" spans="1:10" x14ac:dyDescent="0.35">
      <c r="A87"/>
      <c r="B87"/>
      <c r="D87"/>
      <c r="E87"/>
      <c r="G87"/>
      <c r="H87"/>
      <c r="I87"/>
      <c r="J87"/>
    </row>
    <row r="88" spans="1:10" x14ac:dyDescent="0.35">
      <c r="A88"/>
      <c r="B88"/>
      <c r="D88"/>
      <c r="E88"/>
      <c r="G88"/>
      <c r="H88"/>
      <c r="I88"/>
      <c r="J88"/>
    </row>
    <row r="89" spans="1:10" x14ac:dyDescent="0.35">
      <c r="A89"/>
      <c r="B89"/>
      <c r="D89"/>
      <c r="E89"/>
      <c r="G89"/>
      <c r="H89"/>
      <c r="I89"/>
      <c r="J89"/>
    </row>
    <row r="90" spans="1:10" x14ac:dyDescent="0.35">
      <c r="A90"/>
      <c r="B90"/>
      <c r="D90"/>
      <c r="E90"/>
      <c r="G90"/>
      <c r="H90"/>
      <c r="I90"/>
      <c r="J90"/>
    </row>
    <row r="91" spans="1:10" x14ac:dyDescent="0.35">
      <c r="A91"/>
      <c r="B91"/>
      <c r="D91"/>
      <c r="E91"/>
      <c r="G91"/>
      <c r="H91"/>
      <c r="I91"/>
      <c r="J91"/>
    </row>
    <row r="92" spans="1:10" x14ac:dyDescent="0.35">
      <c r="A92"/>
      <c r="B92"/>
      <c r="D92"/>
      <c r="E92"/>
      <c r="G92"/>
      <c r="H92"/>
      <c r="I92"/>
      <c r="J92"/>
    </row>
    <row r="93" spans="1:10" x14ac:dyDescent="0.35">
      <c r="A93"/>
      <c r="B93"/>
      <c r="D93"/>
      <c r="E93"/>
      <c r="G93"/>
      <c r="H93"/>
      <c r="I93"/>
      <c r="J93"/>
    </row>
    <row r="94" spans="1:10" x14ac:dyDescent="0.35">
      <c r="A94"/>
      <c r="B94"/>
      <c r="D94"/>
      <c r="E94"/>
      <c r="G94"/>
      <c r="H94"/>
      <c r="I94"/>
      <c r="J94"/>
    </row>
    <row r="95" spans="1:10" x14ac:dyDescent="0.35">
      <c r="A95"/>
      <c r="B95"/>
      <c r="D95"/>
      <c r="E95"/>
      <c r="G95"/>
      <c r="H95"/>
      <c r="I95"/>
      <c r="J95"/>
    </row>
    <row r="96" spans="1:10" x14ac:dyDescent="0.35">
      <c r="A96"/>
      <c r="B96"/>
      <c r="D96"/>
      <c r="E96"/>
      <c r="G96"/>
      <c r="H96"/>
      <c r="I96"/>
      <c r="J96"/>
    </row>
    <row r="97" spans="1:10" x14ac:dyDescent="0.35">
      <c r="A97"/>
      <c r="B97"/>
      <c r="D97"/>
      <c r="E97"/>
      <c r="G97"/>
      <c r="H97"/>
      <c r="I97"/>
      <c r="J97"/>
    </row>
    <row r="98" spans="1:10" x14ac:dyDescent="0.35">
      <c r="A98"/>
      <c r="B98"/>
      <c r="D98"/>
      <c r="E98"/>
      <c r="G98"/>
      <c r="H98"/>
      <c r="I98"/>
      <c r="J98"/>
    </row>
    <row r="99" spans="1:10" x14ac:dyDescent="0.35">
      <c r="A99"/>
      <c r="B99"/>
      <c r="D99"/>
      <c r="E99"/>
      <c r="G99"/>
      <c r="H99"/>
      <c r="I99"/>
      <c r="J99"/>
    </row>
    <row r="100" spans="1:10" x14ac:dyDescent="0.35">
      <c r="A100"/>
      <c r="B100"/>
      <c r="D100"/>
      <c r="E100"/>
      <c r="G100"/>
      <c r="H100"/>
      <c r="I100"/>
      <c r="J100"/>
    </row>
    <row r="101" spans="1:10" x14ac:dyDescent="0.35">
      <c r="A101"/>
      <c r="B101"/>
      <c r="D101"/>
      <c r="E101"/>
      <c r="G101"/>
      <c r="H101"/>
      <c r="I101"/>
      <c r="J101"/>
    </row>
    <row r="102" spans="1:10" x14ac:dyDescent="0.35">
      <c r="A102"/>
      <c r="B102"/>
      <c r="D102"/>
      <c r="E102"/>
      <c r="G102"/>
      <c r="H102"/>
      <c r="I102"/>
      <c r="J102"/>
    </row>
    <row r="103" spans="1:10" x14ac:dyDescent="0.35">
      <c r="A103"/>
      <c r="B103"/>
      <c r="D103"/>
      <c r="E103"/>
      <c r="G103"/>
      <c r="H103"/>
      <c r="I103"/>
      <c r="J103"/>
    </row>
    <row r="104" spans="1:10" x14ac:dyDescent="0.35">
      <c r="A104"/>
      <c r="B104"/>
      <c r="D104"/>
      <c r="E104"/>
      <c r="G104"/>
      <c r="H104"/>
      <c r="I104"/>
      <c r="J104"/>
    </row>
    <row r="105" spans="1:10" x14ac:dyDescent="0.35">
      <c r="A105"/>
      <c r="B105"/>
      <c r="D105"/>
      <c r="E105"/>
      <c r="G105"/>
      <c r="H105"/>
      <c r="I105"/>
      <c r="J105"/>
    </row>
    <row r="106" spans="1:10" x14ac:dyDescent="0.35">
      <c r="A106"/>
      <c r="B106"/>
      <c r="D106"/>
      <c r="E106"/>
      <c r="G106"/>
      <c r="H106"/>
      <c r="I106"/>
      <c r="J106"/>
    </row>
    <row r="107" spans="1:10" x14ac:dyDescent="0.35">
      <c r="A107"/>
      <c r="B107"/>
      <c r="D107"/>
      <c r="E107"/>
      <c r="G107"/>
      <c r="H107"/>
      <c r="I107"/>
      <c r="J107"/>
    </row>
    <row r="108" spans="1:10" x14ac:dyDescent="0.35">
      <c r="A108"/>
      <c r="B108"/>
      <c r="D108"/>
      <c r="E108"/>
      <c r="G108"/>
      <c r="H108"/>
      <c r="I108"/>
      <c r="J108"/>
    </row>
    <row r="109" spans="1:10" x14ac:dyDescent="0.35">
      <c r="A109"/>
      <c r="B109"/>
      <c r="D109"/>
      <c r="E109"/>
      <c r="G109"/>
      <c r="H109"/>
      <c r="I109"/>
      <c r="J109"/>
    </row>
    <row r="110" spans="1:10" x14ac:dyDescent="0.35">
      <c r="A110"/>
      <c r="B110"/>
      <c r="D110"/>
      <c r="E110"/>
      <c r="G110"/>
      <c r="H110"/>
      <c r="I110"/>
      <c r="J110"/>
    </row>
    <row r="111" spans="1:10" x14ac:dyDescent="0.35">
      <c r="A111"/>
      <c r="B111"/>
      <c r="D111"/>
      <c r="E111"/>
      <c r="G111"/>
      <c r="H111"/>
      <c r="I111"/>
      <c r="J111"/>
    </row>
    <row r="112" spans="1:10" x14ac:dyDescent="0.35">
      <c r="A112"/>
      <c r="B112"/>
      <c r="D112"/>
      <c r="E112"/>
      <c r="G112"/>
      <c r="H112"/>
      <c r="I112"/>
      <c r="J112"/>
    </row>
    <row r="113" spans="1:10" x14ac:dyDescent="0.35">
      <c r="A113"/>
      <c r="B113"/>
      <c r="D113"/>
      <c r="E113"/>
      <c r="G113"/>
      <c r="H113"/>
      <c r="I113"/>
      <c r="J113"/>
    </row>
    <row r="114" spans="1:10" x14ac:dyDescent="0.35">
      <c r="A114"/>
      <c r="B114"/>
      <c r="D114"/>
      <c r="E114"/>
      <c r="G114"/>
      <c r="H114"/>
      <c r="I114"/>
      <c r="J114"/>
    </row>
    <row r="115" spans="1:10" x14ac:dyDescent="0.35">
      <c r="A115"/>
      <c r="B115"/>
      <c r="D115"/>
      <c r="E115"/>
      <c r="G115"/>
      <c r="H115"/>
      <c r="I115"/>
      <c r="J115"/>
    </row>
    <row r="116" spans="1:10" x14ac:dyDescent="0.35">
      <c r="A116"/>
      <c r="B116"/>
      <c r="D116"/>
      <c r="E116"/>
      <c r="G116"/>
      <c r="H116"/>
      <c r="I116"/>
      <c r="J116"/>
    </row>
    <row r="117" spans="1:10" x14ac:dyDescent="0.35">
      <c r="A117"/>
      <c r="B117"/>
      <c r="D117"/>
      <c r="E117"/>
      <c r="G117"/>
      <c r="H117"/>
      <c r="I117"/>
      <c r="J117"/>
    </row>
    <row r="118" spans="1:10" x14ac:dyDescent="0.35">
      <c r="A118"/>
      <c r="B118"/>
      <c r="D118"/>
      <c r="E118"/>
      <c r="G118"/>
      <c r="H118"/>
      <c r="I118"/>
      <c r="J118"/>
    </row>
    <row r="119" spans="1:10" x14ac:dyDescent="0.35">
      <c r="A119"/>
      <c r="B119"/>
      <c r="D119"/>
      <c r="E119"/>
      <c r="G119"/>
      <c r="H119"/>
      <c r="I119"/>
      <c r="J119"/>
    </row>
    <row r="120" spans="1:10" x14ac:dyDescent="0.35">
      <c r="A120"/>
      <c r="B120"/>
      <c r="D120"/>
      <c r="E120"/>
      <c r="G120"/>
      <c r="H120"/>
      <c r="I120"/>
      <c r="J120"/>
    </row>
    <row r="121" spans="1:10" x14ac:dyDescent="0.35">
      <c r="A121"/>
      <c r="B121"/>
      <c r="D121"/>
      <c r="E121"/>
      <c r="G121"/>
      <c r="H121"/>
      <c r="I121"/>
      <c r="J121"/>
    </row>
    <row r="122" spans="1:10" x14ac:dyDescent="0.35">
      <c r="A122"/>
      <c r="B122"/>
      <c r="D122"/>
      <c r="E122"/>
      <c r="G122"/>
      <c r="H122"/>
      <c r="I122"/>
      <c r="J122"/>
    </row>
    <row r="123" spans="1:10" x14ac:dyDescent="0.35">
      <c r="A123"/>
      <c r="B123"/>
      <c r="D123"/>
      <c r="E123"/>
      <c r="G123"/>
      <c r="H123"/>
      <c r="I123"/>
      <c r="J123"/>
    </row>
    <row r="124" spans="1:10" x14ac:dyDescent="0.35">
      <c r="A124"/>
      <c r="B124"/>
      <c r="D124"/>
      <c r="E124"/>
      <c r="G124"/>
      <c r="H124"/>
      <c r="I124"/>
      <c r="J124"/>
    </row>
    <row r="125" spans="1:10" x14ac:dyDescent="0.35">
      <c r="A125"/>
      <c r="B125"/>
      <c r="D125"/>
      <c r="E125"/>
      <c r="G125"/>
      <c r="H125"/>
      <c r="I125"/>
      <c r="J125"/>
    </row>
    <row r="126" spans="1:10" x14ac:dyDescent="0.35">
      <c r="A126"/>
      <c r="B126"/>
      <c r="D126"/>
      <c r="E126"/>
      <c r="G126"/>
      <c r="H126"/>
      <c r="I126"/>
      <c r="J126"/>
    </row>
    <row r="127" spans="1:10" x14ac:dyDescent="0.35">
      <c r="A127"/>
      <c r="B127"/>
      <c r="D127"/>
      <c r="E127"/>
      <c r="G127"/>
      <c r="H127"/>
      <c r="I127"/>
      <c r="J127"/>
    </row>
    <row r="128" spans="1:10" x14ac:dyDescent="0.35">
      <c r="A128"/>
      <c r="B128"/>
      <c r="D128"/>
      <c r="E128"/>
      <c r="G128"/>
      <c r="H128"/>
      <c r="I128"/>
      <c r="J128"/>
    </row>
    <row r="129" spans="1:10" x14ac:dyDescent="0.35">
      <c r="A129"/>
      <c r="B129"/>
      <c r="D129"/>
      <c r="E129"/>
      <c r="G129"/>
      <c r="H129"/>
      <c r="I129"/>
      <c r="J129"/>
    </row>
    <row r="130" spans="1:10" x14ac:dyDescent="0.35">
      <c r="A130"/>
      <c r="B130"/>
      <c r="D130"/>
      <c r="E130"/>
      <c r="G130"/>
      <c r="H130"/>
      <c r="I130"/>
      <c r="J130"/>
    </row>
    <row r="131" spans="1:10" x14ac:dyDescent="0.35">
      <c r="A131"/>
      <c r="B131"/>
      <c r="D131"/>
      <c r="E131"/>
      <c r="G131"/>
      <c r="H131"/>
      <c r="I131"/>
      <c r="J131"/>
    </row>
    <row r="132" spans="1:10" x14ac:dyDescent="0.35">
      <c r="A132"/>
      <c r="B132"/>
      <c r="D132"/>
      <c r="E132"/>
      <c r="G132"/>
      <c r="H132"/>
      <c r="I132"/>
      <c r="J132"/>
    </row>
    <row r="133" spans="1:10" x14ac:dyDescent="0.35">
      <c r="A133"/>
      <c r="B133"/>
      <c r="D133"/>
      <c r="E133"/>
      <c r="G133"/>
      <c r="H133"/>
      <c r="I133"/>
      <c r="J133"/>
    </row>
    <row r="134" spans="1:10" x14ac:dyDescent="0.35">
      <c r="A134"/>
      <c r="B134"/>
      <c r="D134"/>
      <c r="E134"/>
      <c r="G134"/>
      <c r="H134"/>
      <c r="I134"/>
      <c r="J134"/>
    </row>
    <row r="135" spans="1:10" x14ac:dyDescent="0.35">
      <c r="A135"/>
      <c r="B135"/>
      <c r="D135"/>
      <c r="E135"/>
      <c r="G135"/>
      <c r="H135"/>
      <c r="I135"/>
      <c r="J135"/>
    </row>
    <row r="136" spans="1:10" x14ac:dyDescent="0.35">
      <c r="A136"/>
      <c r="B136"/>
      <c r="D136"/>
      <c r="E136"/>
      <c r="G136"/>
      <c r="H136"/>
      <c r="I136"/>
      <c r="J136"/>
    </row>
    <row r="137" spans="1:10" x14ac:dyDescent="0.35">
      <c r="A137"/>
      <c r="B137"/>
      <c r="D137"/>
      <c r="E137"/>
      <c r="G137"/>
      <c r="H137"/>
      <c r="I137"/>
      <c r="J137"/>
    </row>
    <row r="138" spans="1:10" x14ac:dyDescent="0.35">
      <c r="A138"/>
      <c r="B138"/>
      <c r="D138"/>
      <c r="E138"/>
      <c r="G138"/>
      <c r="H138"/>
      <c r="I138"/>
      <c r="J138"/>
    </row>
    <row r="139" spans="1:10" x14ac:dyDescent="0.35">
      <c r="A139"/>
      <c r="B139"/>
      <c r="D139"/>
      <c r="E139"/>
      <c r="G139"/>
      <c r="H139"/>
      <c r="I139"/>
      <c r="J139"/>
    </row>
    <row r="140" spans="1:10" x14ac:dyDescent="0.35">
      <c r="A140"/>
      <c r="B140"/>
      <c r="D140"/>
      <c r="E140"/>
      <c r="G140"/>
      <c r="H140"/>
      <c r="I140"/>
      <c r="J140"/>
    </row>
    <row r="141" spans="1:10" x14ac:dyDescent="0.35">
      <c r="A141"/>
      <c r="B141"/>
      <c r="D141"/>
      <c r="E141"/>
      <c r="G141"/>
      <c r="H141"/>
      <c r="I141"/>
      <c r="J141"/>
    </row>
    <row r="142" spans="1:10" x14ac:dyDescent="0.35">
      <c r="A142"/>
      <c r="B142"/>
      <c r="D142"/>
      <c r="E142"/>
      <c r="G142"/>
      <c r="H142"/>
      <c r="I142"/>
      <c r="J142"/>
    </row>
    <row r="143" spans="1:10" x14ac:dyDescent="0.35">
      <c r="A143"/>
      <c r="B143"/>
      <c r="D143"/>
      <c r="E143"/>
      <c r="G143"/>
      <c r="H143"/>
      <c r="I143"/>
      <c r="J143"/>
    </row>
    <row r="144" spans="1:10" x14ac:dyDescent="0.35">
      <c r="A144"/>
      <c r="B144"/>
      <c r="D144"/>
      <c r="E144"/>
      <c r="G144"/>
      <c r="H144"/>
      <c r="I144"/>
      <c r="J144"/>
    </row>
    <row r="145" spans="1:10" x14ac:dyDescent="0.35">
      <c r="A145"/>
      <c r="B145"/>
      <c r="D145"/>
      <c r="E145"/>
      <c r="G145"/>
      <c r="H145"/>
      <c r="I145"/>
      <c r="J145"/>
    </row>
    <row r="146" spans="1:10" x14ac:dyDescent="0.35">
      <c r="A146"/>
      <c r="B146"/>
      <c r="D146"/>
      <c r="E146"/>
      <c r="G146"/>
      <c r="H146"/>
      <c r="I146"/>
      <c r="J146"/>
    </row>
    <row r="147" spans="1:10" x14ac:dyDescent="0.35">
      <c r="A147"/>
      <c r="B147"/>
      <c r="D147"/>
      <c r="E147"/>
      <c r="G147"/>
      <c r="H147"/>
      <c r="I147"/>
      <c r="J147"/>
    </row>
    <row r="148" spans="1:10" x14ac:dyDescent="0.35">
      <c r="A148"/>
      <c r="B148"/>
      <c r="D148"/>
      <c r="E148"/>
      <c r="G148"/>
      <c r="H148"/>
      <c r="I148"/>
      <c r="J148"/>
    </row>
    <row r="149" spans="1:10" x14ac:dyDescent="0.35">
      <c r="A149"/>
      <c r="B149"/>
      <c r="D149"/>
      <c r="E149"/>
      <c r="G149"/>
      <c r="H149"/>
      <c r="I149"/>
      <c r="J149"/>
    </row>
    <row r="150" spans="1:10" x14ac:dyDescent="0.35">
      <c r="A150"/>
      <c r="B150"/>
      <c r="D150"/>
      <c r="E150"/>
      <c r="G150"/>
      <c r="H150"/>
      <c r="I150"/>
      <c r="J150"/>
    </row>
    <row r="151" spans="1:10" x14ac:dyDescent="0.35">
      <c r="A151"/>
      <c r="B151"/>
      <c r="D151"/>
      <c r="E151"/>
      <c r="G151"/>
      <c r="H151"/>
      <c r="I151"/>
      <c r="J151"/>
    </row>
    <row r="152" spans="1:10" x14ac:dyDescent="0.35">
      <c r="A152"/>
      <c r="B152"/>
      <c r="D152"/>
      <c r="E152"/>
      <c r="G152"/>
      <c r="H152"/>
      <c r="I152"/>
      <c r="J152"/>
    </row>
    <row r="153" spans="1:10" x14ac:dyDescent="0.35">
      <c r="A153"/>
      <c r="B153"/>
      <c r="D153"/>
      <c r="E153"/>
      <c r="G153"/>
      <c r="H153"/>
      <c r="I153"/>
      <c r="J153"/>
    </row>
    <row r="154" spans="1:10" x14ac:dyDescent="0.35">
      <c r="A154"/>
      <c r="B154"/>
      <c r="D154"/>
      <c r="E154"/>
      <c r="G154"/>
      <c r="H154"/>
      <c r="I154"/>
      <c r="J154"/>
    </row>
    <row r="155" spans="1:10" x14ac:dyDescent="0.35">
      <c r="A155"/>
      <c r="B155"/>
      <c r="D155"/>
      <c r="E155"/>
      <c r="G155"/>
      <c r="H155"/>
      <c r="I155"/>
      <c r="J155"/>
    </row>
    <row r="156" spans="1:10" x14ac:dyDescent="0.35">
      <c r="A156"/>
      <c r="B156"/>
      <c r="D156"/>
      <c r="E156"/>
      <c r="G156"/>
      <c r="H156"/>
      <c r="I156"/>
      <c r="J156"/>
    </row>
    <row r="157" spans="1:10" x14ac:dyDescent="0.35">
      <c r="A157"/>
      <c r="B157"/>
      <c r="D157"/>
      <c r="E157"/>
      <c r="G157"/>
      <c r="H157"/>
      <c r="I157"/>
      <c r="J157"/>
    </row>
    <row r="158" spans="1:10" x14ac:dyDescent="0.35">
      <c r="A158"/>
      <c r="B158"/>
      <c r="D158"/>
      <c r="E158"/>
      <c r="G158"/>
      <c r="H158"/>
      <c r="I158"/>
      <c r="J158"/>
    </row>
    <row r="159" spans="1:10" x14ac:dyDescent="0.35">
      <c r="A159"/>
      <c r="B159"/>
      <c r="D159"/>
      <c r="E159"/>
      <c r="G159"/>
      <c r="H159"/>
      <c r="I159"/>
      <c r="J159"/>
    </row>
    <row r="160" spans="1:10" x14ac:dyDescent="0.35">
      <c r="A160"/>
      <c r="B160"/>
      <c r="D160"/>
      <c r="E160"/>
      <c r="G160"/>
      <c r="H160"/>
      <c r="I160"/>
      <c r="J160"/>
    </row>
    <row r="161" spans="1:10" x14ac:dyDescent="0.35">
      <c r="A161"/>
      <c r="B161"/>
      <c r="D161"/>
      <c r="E161"/>
      <c r="G161"/>
      <c r="H161"/>
      <c r="I161"/>
      <c r="J161"/>
    </row>
    <row r="162" spans="1:10" x14ac:dyDescent="0.35">
      <c r="A162"/>
      <c r="B162"/>
      <c r="D162"/>
      <c r="E162"/>
      <c r="G162"/>
      <c r="H162"/>
      <c r="I162"/>
      <c r="J162"/>
    </row>
    <row r="163" spans="1:10" x14ac:dyDescent="0.35">
      <c r="A163"/>
      <c r="B163"/>
      <c r="D163"/>
      <c r="E163"/>
      <c r="G163"/>
      <c r="H163"/>
      <c r="I163"/>
      <c r="J163"/>
    </row>
    <row r="164" spans="1:10" x14ac:dyDescent="0.35">
      <c r="A164"/>
      <c r="B164"/>
      <c r="D164"/>
      <c r="E164"/>
      <c r="G164"/>
      <c r="H164"/>
      <c r="I164"/>
      <c r="J164"/>
    </row>
    <row r="165" spans="1:10" x14ac:dyDescent="0.35">
      <c r="A165"/>
      <c r="B165"/>
      <c r="D165"/>
      <c r="E165"/>
      <c r="G165"/>
      <c r="H165"/>
      <c r="I165"/>
      <c r="J165"/>
    </row>
    <row r="166" spans="1:10" x14ac:dyDescent="0.35">
      <c r="A166"/>
      <c r="B166"/>
      <c r="G166"/>
      <c r="H166"/>
      <c r="I166"/>
      <c r="J166"/>
    </row>
    <row r="167" spans="1:10" x14ac:dyDescent="0.35">
      <c r="A167"/>
      <c r="B167"/>
      <c r="G167"/>
      <c r="H167"/>
      <c r="I167"/>
      <c r="J167"/>
    </row>
    <row r="168" spans="1:10" x14ac:dyDescent="0.35">
      <c r="A168"/>
      <c r="B168"/>
    </row>
    <row r="169" spans="1:10" x14ac:dyDescent="0.35">
      <c r="A169"/>
      <c r="B169"/>
    </row>
    <row r="170" spans="1:10" x14ac:dyDescent="0.35">
      <c r="A170"/>
      <c r="B170"/>
    </row>
    <row r="171" spans="1:10" x14ac:dyDescent="0.35">
      <c r="A171"/>
      <c r="B171"/>
    </row>
    <row r="172" spans="1:10" x14ac:dyDescent="0.35">
      <c r="A172"/>
      <c r="B172"/>
    </row>
    <row r="173" spans="1:10" x14ac:dyDescent="0.35">
      <c r="A173"/>
      <c r="B173"/>
    </row>
    <row r="174" spans="1:10" x14ac:dyDescent="0.35">
      <c r="A174"/>
      <c r="B174"/>
    </row>
    <row r="175" spans="1:10" x14ac:dyDescent="0.35">
      <c r="A175"/>
      <c r="B175"/>
    </row>
    <row r="176" spans="1:10" x14ac:dyDescent="0.35">
      <c r="A176"/>
      <c r="B176"/>
    </row>
    <row r="177" spans="1:2" x14ac:dyDescent="0.35">
      <c r="A177"/>
      <c r="B177"/>
    </row>
    <row r="178" spans="1:2" x14ac:dyDescent="0.35">
      <c r="A178"/>
      <c r="B178"/>
    </row>
    <row r="179" spans="1:2" x14ac:dyDescent="0.35">
      <c r="A179"/>
      <c r="B179"/>
    </row>
    <row r="180" spans="1:2" x14ac:dyDescent="0.35">
      <c r="A180"/>
      <c r="B180"/>
    </row>
    <row r="181" spans="1:2" x14ac:dyDescent="0.35">
      <c r="A181"/>
      <c r="B181"/>
    </row>
    <row r="182" spans="1:2" x14ac:dyDescent="0.35">
      <c r="A182"/>
      <c r="B182"/>
    </row>
    <row r="183" spans="1:2" x14ac:dyDescent="0.35">
      <c r="A183"/>
      <c r="B183"/>
    </row>
    <row r="184" spans="1:2" x14ac:dyDescent="0.35">
      <c r="A184"/>
      <c r="B184"/>
    </row>
    <row r="185" spans="1:2" x14ac:dyDescent="0.35">
      <c r="A185"/>
      <c r="B185"/>
    </row>
    <row r="186" spans="1:2" x14ac:dyDescent="0.35">
      <c r="A186"/>
      <c r="B186"/>
    </row>
    <row r="187" spans="1:2" x14ac:dyDescent="0.35">
      <c r="A187"/>
      <c r="B187"/>
    </row>
    <row r="188" spans="1:2" x14ac:dyDescent="0.35">
      <c r="A188"/>
      <c r="B188"/>
    </row>
    <row r="189" spans="1:2" x14ac:dyDescent="0.35">
      <c r="A189"/>
      <c r="B189"/>
    </row>
    <row r="190" spans="1:2" x14ac:dyDescent="0.35">
      <c r="A190"/>
      <c r="B190"/>
    </row>
    <row r="191" spans="1:2" x14ac:dyDescent="0.35">
      <c r="A191"/>
      <c r="B191"/>
    </row>
    <row r="192" spans="1:2" x14ac:dyDescent="0.35">
      <c r="A192"/>
      <c r="B192"/>
    </row>
    <row r="193" spans="1:2" x14ac:dyDescent="0.35">
      <c r="A193"/>
      <c r="B193"/>
    </row>
    <row r="194" spans="1:2" x14ac:dyDescent="0.35">
      <c r="A194"/>
      <c r="B194"/>
    </row>
    <row r="195" spans="1:2" x14ac:dyDescent="0.35">
      <c r="A195"/>
      <c r="B195"/>
    </row>
    <row r="196" spans="1:2" x14ac:dyDescent="0.35">
      <c r="A196"/>
      <c r="B196"/>
    </row>
    <row r="197" spans="1:2" x14ac:dyDescent="0.35">
      <c r="A197"/>
      <c r="B197"/>
    </row>
    <row r="198" spans="1:2" x14ac:dyDescent="0.35">
      <c r="A198"/>
      <c r="B198"/>
    </row>
    <row r="199" spans="1:2" x14ac:dyDescent="0.35">
      <c r="A199"/>
      <c r="B199"/>
    </row>
    <row r="200" spans="1:2" x14ac:dyDescent="0.35">
      <c r="A200"/>
      <c r="B200"/>
    </row>
    <row r="201" spans="1:2" x14ac:dyDescent="0.35">
      <c r="A201"/>
      <c r="B201"/>
    </row>
    <row r="202" spans="1:2" x14ac:dyDescent="0.35">
      <c r="A202"/>
      <c r="B202"/>
    </row>
    <row r="203" spans="1:2" x14ac:dyDescent="0.35">
      <c r="A203"/>
      <c r="B203"/>
    </row>
    <row r="204" spans="1:2" x14ac:dyDescent="0.35">
      <c r="A204"/>
      <c r="B204"/>
    </row>
    <row r="205" spans="1:2" x14ac:dyDescent="0.35">
      <c r="A205"/>
      <c r="B205"/>
    </row>
    <row r="206" spans="1:2" x14ac:dyDescent="0.35">
      <c r="A206"/>
      <c r="B206"/>
    </row>
    <row r="207" spans="1:2" x14ac:dyDescent="0.35">
      <c r="A207"/>
      <c r="B207"/>
    </row>
    <row r="208" spans="1:2" x14ac:dyDescent="0.35">
      <c r="A208"/>
      <c r="B208"/>
    </row>
    <row r="209" spans="1:2" x14ac:dyDescent="0.35">
      <c r="A209"/>
      <c r="B209"/>
    </row>
    <row r="210" spans="1:2" x14ac:dyDescent="0.35">
      <c r="A210"/>
      <c r="B210"/>
    </row>
    <row r="211" spans="1:2" x14ac:dyDescent="0.35">
      <c r="A211"/>
      <c r="B211"/>
    </row>
    <row r="212" spans="1:2" x14ac:dyDescent="0.35">
      <c r="A212"/>
      <c r="B212"/>
    </row>
    <row r="213" spans="1:2" x14ac:dyDescent="0.35">
      <c r="A213"/>
      <c r="B213"/>
    </row>
    <row r="214" spans="1:2" x14ac:dyDescent="0.35">
      <c r="A214"/>
      <c r="B214"/>
    </row>
    <row r="215" spans="1:2" x14ac:dyDescent="0.35">
      <c r="A215"/>
      <c r="B215"/>
    </row>
    <row r="216" spans="1:2" x14ac:dyDescent="0.35">
      <c r="A216"/>
      <c r="B216"/>
    </row>
    <row r="217" spans="1:2" x14ac:dyDescent="0.35">
      <c r="A217"/>
      <c r="B217"/>
    </row>
    <row r="218" spans="1:2" x14ac:dyDescent="0.35">
      <c r="A218"/>
      <c r="B218"/>
    </row>
    <row r="219" spans="1:2" x14ac:dyDescent="0.35">
      <c r="A219"/>
      <c r="B219"/>
    </row>
    <row r="220" spans="1:2" x14ac:dyDescent="0.35">
      <c r="A220"/>
      <c r="B220"/>
    </row>
    <row r="221" spans="1:2" x14ac:dyDescent="0.35">
      <c r="A221"/>
      <c r="B221"/>
    </row>
    <row r="222" spans="1:2" x14ac:dyDescent="0.35">
      <c r="A222"/>
      <c r="B222"/>
    </row>
    <row r="223" spans="1:2" x14ac:dyDescent="0.35">
      <c r="A223"/>
      <c r="B223"/>
    </row>
    <row r="224" spans="1:2" x14ac:dyDescent="0.35">
      <c r="A224"/>
      <c r="B224"/>
    </row>
    <row r="225" spans="1:2" x14ac:dyDescent="0.35">
      <c r="A225"/>
      <c r="B225"/>
    </row>
    <row r="226" spans="1:2" x14ac:dyDescent="0.35">
      <c r="A226"/>
      <c r="B226"/>
    </row>
    <row r="227" spans="1:2" x14ac:dyDescent="0.35">
      <c r="A227"/>
      <c r="B227"/>
    </row>
    <row r="228" spans="1:2" x14ac:dyDescent="0.35">
      <c r="A228"/>
      <c r="B228"/>
    </row>
    <row r="229" spans="1:2" x14ac:dyDescent="0.35">
      <c r="A229"/>
      <c r="B229"/>
    </row>
    <row r="230" spans="1:2" x14ac:dyDescent="0.35">
      <c r="A230"/>
      <c r="B230"/>
    </row>
    <row r="231" spans="1:2" x14ac:dyDescent="0.35">
      <c r="A231"/>
      <c r="B231"/>
    </row>
    <row r="232" spans="1:2" x14ac:dyDescent="0.35">
      <c r="A232"/>
      <c r="B232"/>
    </row>
    <row r="233" spans="1:2" x14ac:dyDescent="0.35">
      <c r="A233"/>
      <c r="B233"/>
    </row>
    <row r="234" spans="1:2" x14ac:dyDescent="0.35">
      <c r="A234"/>
      <c r="B234"/>
    </row>
    <row r="235" spans="1:2" x14ac:dyDescent="0.35">
      <c r="A235"/>
      <c r="B235"/>
    </row>
    <row r="236" spans="1:2" x14ac:dyDescent="0.35">
      <c r="A236"/>
      <c r="B236"/>
    </row>
    <row r="237" spans="1:2" x14ac:dyDescent="0.35">
      <c r="A237"/>
      <c r="B237"/>
    </row>
    <row r="238" spans="1:2" x14ac:dyDescent="0.35">
      <c r="A238"/>
      <c r="B238"/>
    </row>
    <row r="239" spans="1:2" x14ac:dyDescent="0.35">
      <c r="A239"/>
      <c r="B239"/>
    </row>
    <row r="240" spans="1:2" x14ac:dyDescent="0.35">
      <c r="A240"/>
      <c r="B240"/>
    </row>
    <row r="241" spans="1:2" x14ac:dyDescent="0.35">
      <c r="A241"/>
      <c r="B241"/>
    </row>
    <row r="242" spans="1:2" x14ac:dyDescent="0.35">
      <c r="A242"/>
      <c r="B242"/>
    </row>
    <row r="243" spans="1:2" x14ac:dyDescent="0.35">
      <c r="A243"/>
      <c r="B243"/>
    </row>
    <row r="244" spans="1:2" x14ac:dyDescent="0.35">
      <c r="A244"/>
      <c r="B244"/>
    </row>
    <row r="245" spans="1:2" x14ac:dyDescent="0.35">
      <c r="A245"/>
      <c r="B245"/>
    </row>
    <row r="246" spans="1:2" x14ac:dyDescent="0.35">
      <c r="A246"/>
      <c r="B246"/>
    </row>
    <row r="247" spans="1:2" x14ac:dyDescent="0.35">
      <c r="A247"/>
      <c r="B247"/>
    </row>
    <row r="248" spans="1:2" x14ac:dyDescent="0.35">
      <c r="A248"/>
      <c r="B248"/>
    </row>
    <row r="249" spans="1:2" x14ac:dyDescent="0.35">
      <c r="A249"/>
      <c r="B249"/>
    </row>
    <row r="250" spans="1:2" x14ac:dyDescent="0.35">
      <c r="A250"/>
      <c r="B250"/>
    </row>
    <row r="251" spans="1:2" x14ac:dyDescent="0.35">
      <c r="A251"/>
      <c r="B251"/>
    </row>
    <row r="252" spans="1:2" x14ac:dyDescent="0.35">
      <c r="A252"/>
      <c r="B252"/>
    </row>
    <row r="253" spans="1:2" x14ac:dyDescent="0.35">
      <c r="A253"/>
      <c r="B253"/>
    </row>
    <row r="254" spans="1:2" x14ac:dyDescent="0.35">
      <c r="A254"/>
      <c r="B254"/>
    </row>
    <row r="255" spans="1:2" x14ac:dyDescent="0.35">
      <c r="A255"/>
      <c r="B255"/>
    </row>
    <row r="256" spans="1:2" x14ac:dyDescent="0.35">
      <c r="A256"/>
      <c r="B256"/>
    </row>
    <row r="257" spans="1:2" x14ac:dyDescent="0.35">
      <c r="A257"/>
      <c r="B257"/>
    </row>
    <row r="258" spans="1:2" x14ac:dyDescent="0.35">
      <c r="A258"/>
      <c r="B258"/>
    </row>
    <row r="259" spans="1:2" x14ac:dyDescent="0.35">
      <c r="A259"/>
      <c r="B259"/>
    </row>
    <row r="260" spans="1:2" x14ac:dyDescent="0.35">
      <c r="A260"/>
      <c r="B260"/>
    </row>
    <row r="261" spans="1:2" x14ac:dyDescent="0.35">
      <c r="A261"/>
      <c r="B261"/>
    </row>
    <row r="262" spans="1:2" x14ac:dyDescent="0.35">
      <c r="A262"/>
      <c r="B262"/>
    </row>
    <row r="263" spans="1:2" x14ac:dyDescent="0.35">
      <c r="A263"/>
      <c r="B263"/>
    </row>
    <row r="264" spans="1:2" x14ac:dyDescent="0.35">
      <c r="A264"/>
      <c r="B264"/>
    </row>
    <row r="265" spans="1:2" x14ac:dyDescent="0.35">
      <c r="A265"/>
      <c r="B265"/>
    </row>
    <row r="266" spans="1:2" x14ac:dyDescent="0.35">
      <c r="A266"/>
      <c r="B266"/>
    </row>
    <row r="267" spans="1:2" x14ac:dyDescent="0.35">
      <c r="A267"/>
      <c r="B267"/>
    </row>
    <row r="268" spans="1:2" x14ac:dyDescent="0.35">
      <c r="A268"/>
      <c r="B268"/>
    </row>
    <row r="269" spans="1:2" x14ac:dyDescent="0.35">
      <c r="A269"/>
      <c r="B269"/>
    </row>
    <row r="270" spans="1:2" x14ac:dyDescent="0.35">
      <c r="A270"/>
      <c r="B270"/>
    </row>
    <row r="271" spans="1:2" x14ac:dyDescent="0.35">
      <c r="A271"/>
      <c r="B271"/>
    </row>
    <row r="272" spans="1:2" x14ac:dyDescent="0.35">
      <c r="A272"/>
      <c r="B272"/>
    </row>
    <row r="273" spans="1:2" x14ac:dyDescent="0.35">
      <c r="A273"/>
      <c r="B273"/>
    </row>
    <row r="274" spans="1:2" x14ac:dyDescent="0.35">
      <c r="A274"/>
      <c r="B274"/>
    </row>
    <row r="275" spans="1:2" x14ac:dyDescent="0.35">
      <c r="A275"/>
      <c r="B275"/>
    </row>
    <row r="276" spans="1:2" x14ac:dyDescent="0.35">
      <c r="A276"/>
      <c r="B276"/>
    </row>
    <row r="277" spans="1:2" x14ac:dyDescent="0.35">
      <c r="A277"/>
      <c r="B277"/>
    </row>
    <row r="278" spans="1:2" x14ac:dyDescent="0.35">
      <c r="A278"/>
      <c r="B278"/>
    </row>
    <row r="279" spans="1:2" x14ac:dyDescent="0.35">
      <c r="A279"/>
      <c r="B279"/>
    </row>
    <row r="280" spans="1:2" x14ac:dyDescent="0.35">
      <c r="A280"/>
      <c r="B280"/>
    </row>
    <row r="281" spans="1:2" x14ac:dyDescent="0.35">
      <c r="A281"/>
      <c r="B281"/>
    </row>
    <row r="282" spans="1:2" x14ac:dyDescent="0.35">
      <c r="A282"/>
      <c r="B282"/>
    </row>
    <row r="283" spans="1:2" x14ac:dyDescent="0.35">
      <c r="A283"/>
      <c r="B283"/>
    </row>
    <row r="284" spans="1:2" x14ac:dyDescent="0.35">
      <c r="A284"/>
      <c r="B284"/>
    </row>
    <row r="285" spans="1:2" x14ac:dyDescent="0.35">
      <c r="A285"/>
      <c r="B285"/>
    </row>
    <row r="286" spans="1:2" x14ac:dyDescent="0.35">
      <c r="A286"/>
      <c r="B286"/>
    </row>
    <row r="287" spans="1:2" x14ac:dyDescent="0.35">
      <c r="A287"/>
      <c r="B287"/>
    </row>
    <row r="288" spans="1:2" x14ac:dyDescent="0.35">
      <c r="A288"/>
      <c r="B288"/>
    </row>
    <row r="289" spans="1:2" x14ac:dyDescent="0.35">
      <c r="A289"/>
      <c r="B289"/>
    </row>
    <row r="290" spans="1:2" x14ac:dyDescent="0.35">
      <c r="A290"/>
      <c r="B290"/>
    </row>
    <row r="291" spans="1:2" x14ac:dyDescent="0.35">
      <c r="A291"/>
      <c r="B291"/>
    </row>
    <row r="292" spans="1:2" x14ac:dyDescent="0.35">
      <c r="A292"/>
      <c r="B292"/>
    </row>
    <row r="293" spans="1:2" x14ac:dyDescent="0.35">
      <c r="A293"/>
      <c r="B293"/>
    </row>
    <row r="294" spans="1:2" x14ac:dyDescent="0.35">
      <c r="A294"/>
      <c r="B294"/>
    </row>
    <row r="295" spans="1:2" x14ac:dyDescent="0.35">
      <c r="A295"/>
      <c r="B295"/>
    </row>
    <row r="296" spans="1:2" x14ac:dyDescent="0.35">
      <c r="A296"/>
      <c r="B296"/>
    </row>
    <row r="297" spans="1:2" x14ac:dyDescent="0.35">
      <c r="A297"/>
      <c r="B297"/>
    </row>
    <row r="298" spans="1:2" x14ac:dyDescent="0.35">
      <c r="A298"/>
      <c r="B298"/>
    </row>
    <row r="299" spans="1:2" x14ac:dyDescent="0.35">
      <c r="A299"/>
      <c r="B299"/>
    </row>
    <row r="300" spans="1:2" x14ac:dyDescent="0.35">
      <c r="A300"/>
      <c r="B300"/>
    </row>
    <row r="301" spans="1:2" x14ac:dyDescent="0.35">
      <c r="A301"/>
      <c r="B301"/>
    </row>
    <row r="302" spans="1:2" x14ac:dyDescent="0.35">
      <c r="A302"/>
      <c r="B302"/>
    </row>
    <row r="303" spans="1:2" x14ac:dyDescent="0.35">
      <c r="A303"/>
      <c r="B303"/>
    </row>
    <row r="304" spans="1:2" x14ac:dyDescent="0.35">
      <c r="A304"/>
      <c r="B304"/>
    </row>
    <row r="305" spans="1:2" x14ac:dyDescent="0.35">
      <c r="A305"/>
      <c r="B305"/>
    </row>
    <row r="306" spans="1:2" x14ac:dyDescent="0.35">
      <c r="A306"/>
      <c r="B306"/>
    </row>
    <row r="307" spans="1:2" x14ac:dyDescent="0.35">
      <c r="A307"/>
      <c r="B307"/>
    </row>
    <row r="308" spans="1:2" x14ac:dyDescent="0.35">
      <c r="A308"/>
      <c r="B308"/>
    </row>
    <row r="309" spans="1:2" x14ac:dyDescent="0.35">
      <c r="A309"/>
      <c r="B309"/>
    </row>
    <row r="310" spans="1:2" x14ac:dyDescent="0.35">
      <c r="A310"/>
      <c r="B310"/>
    </row>
    <row r="311" spans="1:2" x14ac:dyDescent="0.35">
      <c r="A311"/>
      <c r="B311"/>
    </row>
    <row r="312" spans="1:2" x14ac:dyDescent="0.35">
      <c r="A312"/>
      <c r="B312"/>
    </row>
    <row r="313" spans="1:2" x14ac:dyDescent="0.35">
      <c r="A313"/>
      <c r="B313"/>
    </row>
    <row r="314" spans="1:2" x14ac:dyDescent="0.35">
      <c r="A314"/>
      <c r="B314"/>
    </row>
    <row r="315" spans="1:2" x14ac:dyDescent="0.35">
      <c r="A315"/>
      <c r="B315"/>
    </row>
    <row r="316" spans="1:2" x14ac:dyDescent="0.35">
      <c r="A316"/>
      <c r="B316"/>
    </row>
    <row r="317" spans="1:2" x14ac:dyDescent="0.35">
      <c r="A317"/>
      <c r="B317"/>
    </row>
    <row r="318" spans="1:2" x14ac:dyDescent="0.35">
      <c r="A318"/>
      <c r="B318"/>
    </row>
    <row r="319" spans="1:2" x14ac:dyDescent="0.35">
      <c r="A319"/>
      <c r="B319"/>
    </row>
    <row r="320" spans="1:2" x14ac:dyDescent="0.35">
      <c r="A320"/>
      <c r="B320"/>
    </row>
    <row r="321" spans="1:2" x14ac:dyDescent="0.35">
      <c r="A321"/>
      <c r="B321"/>
    </row>
    <row r="322" spans="1:2" x14ac:dyDescent="0.35">
      <c r="A322"/>
      <c r="B322"/>
    </row>
    <row r="323" spans="1:2" x14ac:dyDescent="0.35">
      <c r="A323"/>
      <c r="B323"/>
    </row>
    <row r="324" spans="1:2" x14ac:dyDescent="0.35">
      <c r="A324"/>
      <c r="B324"/>
    </row>
    <row r="325" spans="1:2" x14ac:dyDescent="0.35">
      <c r="A325"/>
      <c r="B325"/>
    </row>
    <row r="326" spans="1:2" x14ac:dyDescent="0.35">
      <c r="A326"/>
      <c r="B326"/>
    </row>
    <row r="327" spans="1:2" x14ac:dyDescent="0.35">
      <c r="A327"/>
      <c r="B327"/>
    </row>
    <row r="328" spans="1:2" x14ac:dyDescent="0.35">
      <c r="A328"/>
      <c r="B328"/>
    </row>
    <row r="329" spans="1:2" x14ac:dyDescent="0.35">
      <c r="A329"/>
      <c r="B329"/>
    </row>
    <row r="330" spans="1:2" x14ac:dyDescent="0.35">
      <c r="A330"/>
      <c r="B330"/>
    </row>
    <row r="331" spans="1:2" x14ac:dyDescent="0.35">
      <c r="A331"/>
      <c r="B331"/>
    </row>
    <row r="332" spans="1:2" x14ac:dyDescent="0.35">
      <c r="A332"/>
      <c r="B332"/>
    </row>
    <row r="333" spans="1:2" x14ac:dyDescent="0.35">
      <c r="A333"/>
      <c r="B333"/>
    </row>
    <row r="334" spans="1:2" x14ac:dyDescent="0.35">
      <c r="A334"/>
      <c r="B334"/>
    </row>
    <row r="335" spans="1:2" x14ac:dyDescent="0.35">
      <c r="A335"/>
      <c r="B335"/>
    </row>
    <row r="336" spans="1:2" x14ac:dyDescent="0.35">
      <c r="A336"/>
      <c r="B336"/>
    </row>
    <row r="337" spans="1:2" x14ac:dyDescent="0.35">
      <c r="A337"/>
      <c r="B337"/>
    </row>
    <row r="338" spans="1:2" x14ac:dyDescent="0.35">
      <c r="A338"/>
      <c r="B338"/>
    </row>
    <row r="339" spans="1:2" x14ac:dyDescent="0.35">
      <c r="A339"/>
      <c r="B339"/>
    </row>
    <row r="340" spans="1:2" x14ac:dyDescent="0.35">
      <c r="A340"/>
      <c r="B340"/>
    </row>
    <row r="341" spans="1:2" x14ac:dyDescent="0.35">
      <c r="A341"/>
      <c r="B341"/>
    </row>
    <row r="342" spans="1:2" x14ac:dyDescent="0.35">
      <c r="A342"/>
      <c r="B342"/>
    </row>
    <row r="343" spans="1:2" x14ac:dyDescent="0.35">
      <c r="A343"/>
      <c r="B343"/>
    </row>
    <row r="344" spans="1:2" x14ac:dyDescent="0.35">
      <c r="A344"/>
      <c r="B344"/>
    </row>
    <row r="345" spans="1:2" x14ac:dyDescent="0.35">
      <c r="A345"/>
      <c r="B345"/>
    </row>
    <row r="346" spans="1:2" x14ac:dyDescent="0.35">
      <c r="A346"/>
      <c r="B346"/>
    </row>
    <row r="347" spans="1:2" x14ac:dyDescent="0.35">
      <c r="A347"/>
      <c r="B347"/>
    </row>
    <row r="348" spans="1:2" x14ac:dyDescent="0.35">
      <c r="A348"/>
      <c r="B348"/>
    </row>
    <row r="349" spans="1:2" x14ac:dyDescent="0.35">
      <c r="A349"/>
      <c r="B349"/>
    </row>
    <row r="350" spans="1:2" x14ac:dyDescent="0.35">
      <c r="A350"/>
      <c r="B350"/>
    </row>
    <row r="351" spans="1:2" x14ac:dyDescent="0.35">
      <c r="A351"/>
      <c r="B351"/>
    </row>
    <row r="352" spans="1:2" x14ac:dyDescent="0.35">
      <c r="A352"/>
      <c r="B352"/>
    </row>
    <row r="353" spans="1:2" x14ac:dyDescent="0.35">
      <c r="A353"/>
      <c r="B353"/>
    </row>
    <row r="354" spans="1:2" x14ac:dyDescent="0.35">
      <c r="A354"/>
      <c r="B354"/>
    </row>
    <row r="355" spans="1:2" x14ac:dyDescent="0.35">
      <c r="A355"/>
      <c r="B355"/>
    </row>
    <row r="356" spans="1:2" x14ac:dyDescent="0.35">
      <c r="A356"/>
      <c r="B356"/>
    </row>
    <row r="357" spans="1:2" x14ac:dyDescent="0.35">
      <c r="A357"/>
      <c r="B357"/>
    </row>
    <row r="358" spans="1:2" x14ac:dyDescent="0.35">
      <c r="A358"/>
      <c r="B358"/>
    </row>
    <row r="359" spans="1:2" x14ac:dyDescent="0.35">
      <c r="A359"/>
      <c r="B359"/>
    </row>
    <row r="360" spans="1:2" x14ac:dyDescent="0.35">
      <c r="A360"/>
      <c r="B360"/>
    </row>
    <row r="361" spans="1:2" x14ac:dyDescent="0.35">
      <c r="A361"/>
      <c r="B361"/>
    </row>
    <row r="362" spans="1:2" x14ac:dyDescent="0.35">
      <c r="A362"/>
      <c r="B362"/>
    </row>
    <row r="363" spans="1:2" x14ac:dyDescent="0.35">
      <c r="A363"/>
      <c r="B363"/>
    </row>
    <row r="364" spans="1:2" x14ac:dyDescent="0.35">
      <c r="A364"/>
      <c r="B364"/>
    </row>
    <row r="365" spans="1:2" x14ac:dyDescent="0.35">
      <c r="A365"/>
      <c r="B365"/>
    </row>
    <row r="366" spans="1:2" x14ac:dyDescent="0.35">
      <c r="A366"/>
      <c r="B366"/>
    </row>
    <row r="367" spans="1:2" x14ac:dyDescent="0.35">
      <c r="A367"/>
      <c r="B367"/>
    </row>
    <row r="368" spans="1:2" x14ac:dyDescent="0.35">
      <c r="A368"/>
      <c r="B368"/>
    </row>
    <row r="369" spans="1:2" x14ac:dyDescent="0.35">
      <c r="A369"/>
      <c r="B369"/>
    </row>
    <row r="370" spans="1:2" x14ac:dyDescent="0.35">
      <c r="A370"/>
      <c r="B370"/>
    </row>
    <row r="371" spans="1:2" x14ac:dyDescent="0.35">
      <c r="A371"/>
      <c r="B371"/>
    </row>
  </sheetData>
  <mergeCells count="4">
    <mergeCell ref="D2:E2"/>
    <mergeCell ref="G2:H2"/>
    <mergeCell ref="J2:L2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FF34-828C-4704-84C3-4EE98431D475}">
  <dimension ref="A1:H263"/>
  <sheetViews>
    <sheetView zoomScaleNormal="100" workbookViewId="0">
      <pane ySplit="1" topLeftCell="A2" activePane="bottomLeft" state="frozen"/>
      <selection pane="bottomLeft" activeCell="B234" sqref="B234:H263"/>
    </sheetView>
  </sheetViews>
  <sheetFormatPr defaultRowHeight="14.5" x14ac:dyDescent="0.35"/>
  <cols>
    <col min="1" max="1" width="4.90625" customWidth="1"/>
    <col min="2" max="2" width="8.6328125" customWidth="1"/>
    <col min="3" max="3" width="14" bestFit="1" customWidth="1"/>
    <col min="4" max="4" width="7.90625" bestFit="1" customWidth="1"/>
    <col min="5" max="5" width="14" bestFit="1" customWidth="1"/>
    <col min="6" max="6" width="126.1796875" bestFit="1" customWidth="1"/>
    <col min="7" max="7" width="48.453125" bestFit="1" customWidth="1"/>
    <col min="8" max="8" width="13.1796875" bestFit="1" customWidth="1"/>
  </cols>
  <sheetData>
    <row r="1" spans="1:8" x14ac:dyDescent="0.35">
      <c r="A1" s="80" t="s">
        <v>20</v>
      </c>
      <c r="B1" s="71" t="s">
        <v>26</v>
      </c>
      <c r="C1" s="71" t="s">
        <v>22</v>
      </c>
      <c r="D1" s="71" t="s">
        <v>33</v>
      </c>
      <c r="E1" s="71" t="s">
        <v>23</v>
      </c>
      <c r="F1" s="71" t="s">
        <v>24</v>
      </c>
      <c r="G1" s="71" t="s">
        <v>16</v>
      </c>
      <c r="H1" s="81" t="s">
        <v>31</v>
      </c>
    </row>
    <row r="2" spans="1:8" x14ac:dyDescent="0.35">
      <c r="A2" s="50">
        <v>1</v>
      </c>
      <c r="B2" s="74" t="s">
        <v>488</v>
      </c>
      <c r="C2" s="75" t="s">
        <v>888</v>
      </c>
      <c r="D2" s="75" t="str">
        <f t="shared" ref="D2:D65" si="0">LEFT(C:C,10)</f>
        <v>2026-01-01</v>
      </c>
      <c r="E2" s="75" t="s">
        <v>889</v>
      </c>
      <c r="F2" s="74" t="s">
        <v>890</v>
      </c>
      <c r="G2" s="74" t="s">
        <v>891</v>
      </c>
      <c r="H2" s="83">
        <v>4</v>
      </c>
    </row>
    <row r="3" spans="1:8" x14ac:dyDescent="0.35">
      <c r="A3" s="50">
        <v>2</v>
      </c>
      <c r="B3" s="74" t="s">
        <v>264</v>
      </c>
      <c r="C3" s="75" t="s">
        <v>892</v>
      </c>
      <c r="D3" s="75" t="str">
        <f t="shared" si="0"/>
        <v>2026-01-01</v>
      </c>
      <c r="E3" s="75" t="s">
        <v>893</v>
      </c>
      <c r="F3" s="74" t="s">
        <v>894</v>
      </c>
      <c r="G3" s="74" t="s">
        <v>895</v>
      </c>
      <c r="H3" s="83">
        <v>4</v>
      </c>
    </row>
    <row r="4" spans="1:8" x14ac:dyDescent="0.35">
      <c r="A4" s="50">
        <v>3</v>
      </c>
      <c r="B4" s="74" t="s">
        <v>79</v>
      </c>
      <c r="C4" s="75" t="s">
        <v>896</v>
      </c>
      <c r="D4" s="75" t="str">
        <f t="shared" si="0"/>
        <v>2026-01-01</v>
      </c>
      <c r="E4" s="75" t="s">
        <v>897</v>
      </c>
      <c r="F4" s="74" t="s">
        <v>898</v>
      </c>
      <c r="G4" s="74" t="s">
        <v>899</v>
      </c>
      <c r="H4" s="83">
        <v>5</v>
      </c>
    </row>
    <row r="5" spans="1:8" x14ac:dyDescent="0.35">
      <c r="A5" s="50">
        <v>4</v>
      </c>
      <c r="B5" s="74" t="s">
        <v>594</v>
      </c>
      <c r="C5" s="75" t="s">
        <v>900</v>
      </c>
      <c r="D5" s="75" t="str">
        <f t="shared" si="0"/>
        <v>2026-01-01</v>
      </c>
      <c r="E5" s="75" t="s">
        <v>901</v>
      </c>
      <c r="F5" s="74" t="s">
        <v>902</v>
      </c>
      <c r="G5" s="74" t="s">
        <v>903</v>
      </c>
      <c r="H5" s="83">
        <v>3</v>
      </c>
    </row>
    <row r="6" spans="1:8" x14ac:dyDescent="0.35">
      <c r="A6" s="50">
        <v>5</v>
      </c>
      <c r="B6" s="74" t="s">
        <v>83</v>
      </c>
      <c r="C6" s="75" t="s">
        <v>904</v>
      </c>
      <c r="D6" s="75" t="str">
        <f t="shared" si="0"/>
        <v>2026-01-01</v>
      </c>
      <c r="E6" s="75" t="s">
        <v>905</v>
      </c>
      <c r="F6" s="74" t="s">
        <v>906</v>
      </c>
      <c r="G6" s="74" t="s">
        <v>513</v>
      </c>
      <c r="H6" s="83">
        <v>4</v>
      </c>
    </row>
    <row r="7" spans="1:8" x14ac:dyDescent="0.35">
      <c r="A7" s="50">
        <v>6</v>
      </c>
      <c r="B7" s="74" t="s">
        <v>214</v>
      </c>
      <c r="C7" s="75" t="s">
        <v>907</v>
      </c>
      <c r="D7" s="75" t="str">
        <f t="shared" si="0"/>
        <v>2026-01-01</v>
      </c>
      <c r="E7" s="75" t="s">
        <v>908</v>
      </c>
      <c r="F7" s="74" t="s">
        <v>909</v>
      </c>
      <c r="G7" s="74" t="s">
        <v>639</v>
      </c>
      <c r="H7" s="83">
        <v>3</v>
      </c>
    </row>
    <row r="8" spans="1:8" x14ac:dyDescent="0.35">
      <c r="A8" s="50">
        <v>7</v>
      </c>
      <c r="B8" s="74" t="s">
        <v>619</v>
      </c>
      <c r="C8" s="75" t="s">
        <v>910</v>
      </c>
      <c r="D8" s="75" t="str">
        <f t="shared" si="0"/>
        <v>2026-01-01</v>
      </c>
      <c r="E8" s="75" t="s">
        <v>911</v>
      </c>
      <c r="F8" s="74" t="s">
        <v>912</v>
      </c>
      <c r="G8" s="74" t="s">
        <v>608</v>
      </c>
      <c r="H8" s="83">
        <v>3</v>
      </c>
    </row>
    <row r="9" spans="1:8" x14ac:dyDescent="0.35">
      <c r="A9" s="50">
        <v>8</v>
      </c>
      <c r="B9" s="74" t="s">
        <v>87</v>
      </c>
      <c r="C9" s="75" t="s">
        <v>913</v>
      </c>
      <c r="D9" s="75" t="str">
        <f t="shared" si="0"/>
        <v>2026-01-01</v>
      </c>
      <c r="E9" s="75" t="s">
        <v>914</v>
      </c>
      <c r="F9" s="74" t="s">
        <v>915</v>
      </c>
      <c r="G9" s="74" t="s">
        <v>916</v>
      </c>
      <c r="H9" s="83">
        <v>3</v>
      </c>
    </row>
    <row r="10" spans="1:8" x14ac:dyDescent="0.35">
      <c r="A10" s="50">
        <v>9</v>
      </c>
      <c r="B10" s="74" t="s">
        <v>95</v>
      </c>
      <c r="C10" s="75" t="s">
        <v>917</v>
      </c>
      <c r="D10" s="75" t="str">
        <f t="shared" si="0"/>
        <v>2026-01-01</v>
      </c>
      <c r="E10" s="75" t="s">
        <v>918</v>
      </c>
      <c r="F10" s="74" t="s">
        <v>919</v>
      </c>
      <c r="G10" s="74" t="s">
        <v>123</v>
      </c>
      <c r="H10" s="83">
        <v>4</v>
      </c>
    </row>
    <row r="11" spans="1:8" x14ac:dyDescent="0.35">
      <c r="A11" s="50">
        <v>10</v>
      </c>
      <c r="B11" s="74" t="s">
        <v>96</v>
      </c>
      <c r="C11" s="75" t="s">
        <v>920</v>
      </c>
      <c r="D11" s="75" t="str">
        <f t="shared" si="0"/>
        <v>2026-01-01</v>
      </c>
      <c r="E11" s="75" t="s">
        <v>921</v>
      </c>
      <c r="F11" s="74" t="s">
        <v>922</v>
      </c>
      <c r="G11" s="74" t="s">
        <v>923</v>
      </c>
      <c r="H11" s="83">
        <v>3</v>
      </c>
    </row>
    <row r="12" spans="1:8" x14ac:dyDescent="0.35">
      <c r="A12" s="50">
        <v>11</v>
      </c>
      <c r="B12" s="74" t="s">
        <v>195</v>
      </c>
      <c r="C12" s="75" t="s">
        <v>924</v>
      </c>
      <c r="D12" s="75" t="str">
        <f t="shared" si="0"/>
        <v>2026-01-01</v>
      </c>
      <c r="E12" s="75" t="s">
        <v>925</v>
      </c>
      <c r="F12" s="74" t="s">
        <v>926</v>
      </c>
      <c r="G12" s="74" t="s">
        <v>162</v>
      </c>
      <c r="H12" s="83">
        <v>4</v>
      </c>
    </row>
    <row r="13" spans="1:8" x14ac:dyDescent="0.35">
      <c r="A13" s="50">
        <v>12</v>
      </c>
      <c r="B13" s="74" t="s">
        <v>605</v>
      </c>
      <c r="C13" s="75" t="s">
        <v>927</v>
      </c>
      <c r="D13" s="75" t="str">
        <f t="shared" si="0"/>
        <v>2026-01-01</v>
      </c>
      <c r="E13" s="75" t="s">
        <v>928</v>
      </c>
      <c r="F13" s="74" t="s">
        <v>929</v>
      </c>
      <c r="G13" s="74" t="s">
        <v>509</v>
      </c>
      <c r="H13" s="83">
        <v>4</v>
      </c>
    </row>
    <row r="14" spans="1:8" x14ac:dyDescent="0.35">
      <c r="A14" s="50">
        <v>13</v>
      </c>
      <c r="B14" s="74" t="s">
        <v>507</v>
      </c>
      <c r="C14" s="75" t="s">
        <v>930</v>
      </c>
      <c r="D14" s="75" t="str">
        <f t="shared" si="0"/>
        <v>2026-01-01</v>
      </c>
      <c r="E14" s="75" t="s">
        <v>931</v>
      </c>
      <c r="F14" s="74" t="s">
        <v>932</v>
      </c>
      <c r="G14" s="74" t="s">
        <v>162</v>
      </c>
      <c r="H14" s="83">
        <v>4</v>
      </c>
    </row>
    <row r="15" spans="1:8" x14ac:dyDescent="0.35">
      <c r="A15" s="50">
        <v>14</v>
      </c>
      <c r="B15" s="74" t="s">
        <v>268</v>
      </c>
      <c r="C15" s="75" t="s">
        <v>933</v>
      </c>
      <c r="D15" s="75" t="str">
        <f t="shared" si="0"/>
        <v>2026-01-01</v>
      </c>
      <c r="E15" s="75" t="s">
        <v>934</v>
      </c>
      <c r="F15" s="74" t="s">
        <v>935</v>
      </c>
      <c r="G15" s="74" t="s">
        <v>936</v>
      </c>
      <c r="H15" s="83">
        <v>3</v>
      </c>
    </row>
    <row r="16" spans="1:8" x14ac:dyDescent="0.35">
      <c r="A16" s="50">
        <v>15</v>
      </c>
      <c r="B16" s="74" t="s">
        <v>492</v>
      </c>
      <c r="C16" s="75" t="s">
        <v>937</v>
      </c>
      <c r="D16" s="75" t="str">
        <f t="shared" si="0"/>
        <v>2026-01-01</v>
      </c>
      <c r="E16" s="75" t="s">
        <v>938</v>
      </c>
      <c r="F16" s="74" t="s">
        <v>939</v>
      </c>
      <c r="G16" s="74" t="s">
        <v>162</v>
      </c>
      <c r="H16" s="83">
        <v>4</v>
      </c>
    </row>
    <row r="17" spans="1:8" x14ac:dyDescent="0.35">
      <c r="A17" s="50">
        <v>16</v>
      </c>
      <c r="B17" s="74" t="s">
        <v>940</v>
      </c>
      <c r="C17" s="75" t="s">
        <v>941</v>
      </c>
      <c r="D17" s="75" t="str">
        <f t="shared" si="0"/>
        <v>2026-01-01</v>
      </c>
      <c r="E17" s="75" t="s">
        <v>942</v>
      </c>
      <c r="F17" s="74" t="s">
        <v>943</v>
      </c>
      <c r="G17" s="74" t="s">
        <v>944</v>
      </c>
      <c r="H17" s="83">
        <v>3</v>
      </c>
    </row>
    <row r="18" spans="1:8" x14ac:dyDescent="0.35">
      <c r="A18" s="50">
        <v>17</v>
      </c>
      <c r="B18" s="74" t="s">
        <v>490</v>
      </c>
      <c r="C18" s="75" t="s">
        <v>945</v>
      </c>
      <c r="D18" s="75" t="str">
        <f t="shared" si="0"/>
        <v>2026-01-01</v>
      </c>
      <c r="E18" s="75" t="s">
        <v>946</v>
      </c>
      <c r="F18" s="74" t="s">
        <v>947</v>
      </c>
      <c r="G18" s="74" t="s">
        <v>120</v>
      </c>
      <c r="H18" s="83">
        <v>3</v>
      </c>
    </row>
    <row r="19" spans="1:8" x14ac:dyDescent="0.35">
      <c r="A19" s="50">
        <v>18</v>
      </c>
      <c r="B19" s="74" t="s">
        <v>599</v>
      </c>
      <c r="C19" s="75" t="s">
        <v>948</v>
      </c>
      <c r="D19" s="75" t="str">
        <f t="shared" si="0"/>
        <v>2026-01-01</v>
      </c>
      <c r="E19" s="75" t="s">
        <v>949</v>
      </c>
      <c r="F19" s="74" t="s">
        <v>950</v>
      </c>
      <c r="G19" s="74" t="s">
        <v>951</v>
      </c>
      <c r="H19" s="83">
        <v>3</v>
      </c>
    </row>
    <row r="20" spans="1:8" x14ac:dyDescent="0.35">
      <c r="A20" s="50">
        <v>19</v>
      </c>
      <c r="B20" s="74" t="s">
        <v>201</v>
      </c>
      <c r="C20" s="75" t="s">
        <v>952</v>
      </c>
      <c r="D20" s="75" t="str">
        <f t="shared" si="0"/>
        <v>2026-01-01</v>
      </c>
      <c r="E20" s="75" t="s">
        <v>953</v>
      </c>
      <c r="F20" s="74" t="s">
        <v>954</v>
      </c>
      <c r="G20" s="74" t="s">
        <v>434</v>
      </c>
      <c r="H20" s="83">
        <v>3</v>
      </c>
    </row>
    <row r="21" spans="1:8" x14ac:dyDescent="0.35">
      <c r="A21" s="50">
        <v>20</v>
      </c>
      <c r="B21" s="74" t="s">
        <v>69</v>
      </c>
      <c r="C21" s="75" t="s">
        <v>955</v>
      </c>
      <c r="D21" s="75" t="str">
        <f t="shared" si="0"/>
        <v>2026-01-01</v>
      </c>
      <c r="E21" s="75" t="s">
        <v>956</v>
      </c>
      <c r="F21" s="74" t="s">
        <v>957</v>
      </c>
      <c r="G21" s="74" t="s">
        <v>433</v>
      </c>
      <c r="H21" s="83">
        <v>4</v>
      </c>
    </row>
    <row r="22" spans="1:8" x14ac:dyDescent="0.35">
      <c r="A22" s="50">
        <v>21</v>
      </c>
      <c r="B22" s="74" t="s">
        <v>77</v>
      </c>
      <c r="C22" s="75" t="s">
        <v>958</v>
      </c>
      <c r="D22" s="75" t="str">
        <f t="shared" si="0"/>
        <v>2026-01-01</v>
      </c>
      <c r="E22" s="75" t="s">
        <v>959</v>
      </c>
      <c r="F22" s="74" t="s">
        <v>960</v>
      </c>
      <c r="G22" s="74" t="s">
        <v>961</v>
      </c>
      <c r="H22" s="83">
        <v>5</v>
      </c>
    </row>
    <row r="23" spans="1:8" x14ac:dyDescent="0.35">
      <c r="A23" s="50">
        <v>22</v>
      </c>
      <c r="B23" s="74" t="s">
        <v>73</v>
      </c>
      <c r="C23" s="75" t="s">
        <v>962</v>
      </c>
      <c r="D23" s="75" t="str">
        <f t="shared" si="0"/>
        <v>2026-01-01</v>
      </c>
      <c r="E23" s="75" t="s">
        <v>963</v>
      </c>
      <c r="F23" s="74" t="s">
        <v>964</v>
      </c>
      <c r="G23" s="74" t="s">
        <v>965</v>
      </c>
      <c r="H23" s="83">
        <v>3</v>
      </c>
    </row>
    <row r="24" spans="1:8" x14ac:dyDescent="0.35">
      <c r="A24" s="50">
        <v>23</v>
      </c>
      <c r="B24" s="74" t="s">
        <v>98</v>
      </c>
      <c r="C24" s="75" t="s">
        <v>966</v>
      </c>
      <c r="D24" s="75" t="str">
        <f t="shared" si="0"/>
        <v>2026-01-01</v>
      </c>
      <c r="E24" s="75" t="s">
        <v>967</v>
      </c>
      <c r="F24" s="74" t="s">
        <v>968</v>
      </c>
      <c r="G24" s="74" t="s">
        <v>969</v>
      </c>
      <c r="H24" s="83">
        <v>3</v>
      </c>
    </row>
    <row r="25" spans="1:8" x14ac:dyDescent="0.35">
      <c r="A25" s="50">
        <v>24</v>
      </c>
      <c r="B25" s="74" t="s">
        <v>281</v>
      </c>
      <c r="C25" s="75" t="s">
        <v>970</v>
      </c>
      <c r="D25" s="75" t="str">
        <f t="shared" si="0"/>
        <v>2026-01-01</v>
      </c>
      <c r="E25" s="75" t="s">
        <v>971</v>
      </c>
      <c r="F25" s="74" t="s">
        <v>972</v>
      </c>
      <c r="G25" s="74" t="s">
        <v>973</v>
      </c>
      <c r="H25" s="83">
        <v>3</v>
      </c>
    </row>
    <row r="26" spans="1:8" x14ac:dyDescent="0.35">
      <c r="A26" s="50">
        <v>25</v>
      </c>
      <c r="B26" s="74" t="s">
        <v>278</v>
      </c>
      <c r="C26" s="75" t="s">
        <v>974</v>
      </c>
      <c r="D26" s="75" t="str">
        <f t="shared" si="0"/>
        <v>2026-01-01</v>
      </c>
      <c r="E26" s="75" t="s">
        <v>975</v>
      </c>
      <c r="F26" s="74" t="s">
        <v>976</v>
      </c>
      <c r="G26" s="74" t="s">
        <v>977</v>
      </c>
      <c r="H26" s="83">
        <v>3</v>
      </c>
    </row>
    <row r="27" spans="1:8" x14ac:dyDescent="0.35">
      <c r="A27" s="50">
        <v>26</v>
      </c>
      <c r="B27" s="74" t="s">
        <v>68</v>
      </c>
      <c r="C27" s="75" t="s">
        <v>978</v>
      </c>
      <c r="D27" s="75" t="str">
        <f t="shared" si="0"/>
        <v>2026-01-01</v>
      </c>
      <c r="E27" s="75" t="s">
        <v>979</v>
      </c>
      <c r="F27" s="74" t="s">
        <v>980</v>
      </c>
      <c r="G27" s="74" t="s">
        <v>981</v>
      </c>
      <c r="H27" s="83">
        <v>4</v>
      </c>
    </row>
    <row r="28" spans="1:8" x14ac:dyDescent="0.35">
      <c r="A28" s="50">
        <v>27</v>
      </c>
      <c r="B28" s="74" t="s">
        <v>275</v>
      </c>
      <c r="C28" s="75" t="s">
        <v>982</v>
      </c>
      <c r="D28" s="75" t="str">
        <f t="shared" si="0"/>
        <v>2026-01-01</v>
      </c>
      <c r="E28" s="75" t="s">
        <v>983</v>
      </c>
      <c r="F28" s="74" t="s">
        <v>984</v>
      </c>
      <c r="G28" s="74" t="s">
        <v>157</v>
      </c>
      <c r="H28" s="83">
        <v>4</v>
      </c>
    </row>
    <row r="29" spans="1:8" x14ac:dyDescent="0.35">
      <c r="A29" s="50">
        <v>28</v>
      </c>
      <c r="B29" s="74" t="s">
        <v>125</v>
      </c>
      <c r="C29" s="75" t="s">
        <v>985</v>
      </c>
      <c r="D29" s="75" t="str">
        <f t="shared" si="0"/>
        <v>2026-01-01</v>
      </c>
      <c r="E29" s="75" t="s">
        <v>986</v>
      </c>
      <c r="F29" s="74" t="s">
        <v>987</v>
      </c>
      <c r="G29" s="74" t="s">
        <v>162</v>
      </c>
      <c r="H29" s="83">
        <v>3</v>
      </c>
    </row>
    <row r="30" spans="1:8" x14ac:dyDescent="0.35">
      <c r="A30" s="50">
        <v>29</v>
      </c>
      <c r="B30" s="74" t="s">
        <v>253</v>
      </c>
      <c r="C30" s="75" t="s">
        <v>988</v>
      </c>
      <c r="D30" s="75" t="str">
        <f t="shared" si="0"/>
        <v>2026-01-01</v>
      </c>
      <c r="E30" s="75" t="s">
        <v>989</v>
      </c>
      <c r="F30" s="74" t="s">
        <v>990</v>
      </c>
      <c r="G30" s="74" t="s">
        <v>162</v>
      </c>
      <c r="H30" s="83">
        <v>3</v>
      </c>
    </row>
    <row r="31" spans="1:8" x14ac:dyDescent="0.35">
      <c r="A31" s="50">
        <v>30</v>
      </c>
      <c r="B31" s="74" t="s">
        <v>193</v>
      </c>
      <c r="C31" s="75" t="s">
        <v>991</v>
      </c>
      <c r="D31" s="75" t="str">
        <f t="shared" si="0"/>
        <v>2026-01-01</v>
      </c>
      <c r="E31" s="75" t="s">
        <v>992</v>
      </c>
      <c r="F31" s="74" t="s">
        <v>993</v>
      </c>
      <c r="G31" s="74" t="s">
        <v>994</v>
      </c>
      <c r="H31" s="83">
        <v>3</v>
      </c>
    </row>
    <row r="32" spans="1:8" x14ac:dyDescent="0.35">
      <c r="A32" s="50">
        <v>31</v>
      </c>
      <c r="B32" s="74" t="s">
        <v>91</v>
      </c>
      <c r="C32" s="75" t="s">
        <v>995</v>
      </c>
      <c r="D32" s="75" t="str">
        <f t="shared" si="0"/>
        <v>2026-01-01</v>
      </c>
      <c r="E32" s="75" t="s">
        <v>996</v>
      </c>
      <c r="F32" s="74" t="s">
        <v>997</v>
      </c>
      <c r="G32" s="74" t="s">
        <v>998</v>
      </c>
      <c r="H32" s="83">
        <v>4</v>
      </c>
    </row>
    <row r="33" spans="1:8" x14ac:dyDescent="0.35">
      <c r="A33" s="50">
        <v>32</v>
      </c>
      <c r="B33" s="74" t="s">
        <v>85</v>
      </c>
      <c r="C33" s="75" t="s">
        <v>999</v>
      </c>
      <c r="D33" s="75" t="str">
        <f t="shared" si="0"/>
        <v>2026-01-01</v>
      </c>
      <c r="E33" s="75" t="s">
        <v>1000</v>
      </c>
      <c r="F33" s="74" t="s">
        <v>1001</v>
      </c>
      <c r="G33" s="74" t="s">
        <v>1002</v>
      </c>
      <c r="H33" s="83">
        <v>3</v>
      </c>
    </row>
    <row r="34" spans="1:8" x14ac:dyDescent="0.35">
      <c r="A34" s="50">
        <v>33</v>
      </c>
      <c r="B34" s="74" t="s">
        <v>257</v>
      </c>
      <c r="C34" s="75" t="s">
        <v>1003</v>
      </c>
      <c r="D34" s="75" t="str">
        <f t="shared" si="0"/>
        <v>2026-01-01</v>
      </c>
      <c r="E34" s="75" t="s">
        <v>1004</v>
      </c>
      <c r="F34" s="74" t="s">
        <v>1005</v>
      </c>
      <c r="G34" s="74" t="s">
        <v>1006</v>
      </c>
      <c r="H34" s="83">
        <v>4</v>
      </c>
    </row>
    <row r="35" spans="1:8" x14ac:dyDescent="0.35">
      <c r="A35" s="50">
        <v>34</v>
      </c>
      <c r="B35" s="74" t="s">
        <v>67</v>
      </c>
      <c r="C35" s="75" t="s">
        <v>1007</v>
      </c>
      <c r="D35" s="75" t="str">
        <f t="shared" si="0"/>
        <v>2026-01-02</v>
      </c>
      <c r="E35" s="75" t="s">
        <v>1008</v>
      </c>
      <c r="F35" s="74" t="s">
        <v>1009</v>
      </c>
      <c r="G35" s="74" t="s">
        <v>116</v>
      </c>
      <c r="H35" s="83">
        <v>4</v>
      </c>
    </row>
    <row r="36" spans="1:8" x14ac:dyDescent="0.35">
      <c r="A36" s="50">
        <v>35</v>
      </c>
      <c r="B36" s="74" t="s">
        <v>69</v>
      </c>
      <c r="C36" s="75" t="s">
        <v>1010</v>
      </c>
      <c r="D36" s="75" t="str">
        <f t="shared" si="0"/>
        <v>2026-01-02</v>
      </c>
      <c r="E36" s="75" t="s">
        <v>1011</v>
      </c>
      <c r="F36" s="74" t="s">
        <v>1012</v>
      </c>
      <c r="G36" s="74" t="s">
        <v>998</v>
      </c>
      <c r="H36" s="83">
        <v>4</v>
      </c>
    </row>
    <row r="37" spans="1:8" x14ac:dyDescent="0.35">
      <c r="A37" s="50">
        <v>36</v>
      </c>
      <c r="B37" s="74" t="s">
        <v>77</v>
      </c>
      <c r="C37" s="75" t="s">
        <v>1013</v>
      </c>
      <c r="D37" s="75" t="str">
        <f t="shared" si="0"/>
        <v>2026-01-02</v>
      </c>
      <c r="E37" s="75" t="s">
        <v>1014</v>
      </c>
      <c r="F37" s="74" t="s">
        <v>1015</v>
      </c>
      <c r="G37" s="74" t="s">
        <v>119</v>
      </c>
      <c r="H37" s="83">
        <v>3</v>
      </c>
    </row>
    <row r="38" spans="1:8" x14ac:dyDescent="0.35">
      <c r="A38" s="50">
        <v>37</v>
      </c>
      <c r="B38" s="74" t="s">
        <v>66</v>
      </c>
      <c r="C38" s="75" t="s">
        <v>1016</v>
      </c>
      <c r="D38" s="75" t="str">
        <f t="shared" si="0"/>
        <v>2026-01-02</v>
      </c>
      <c r="E38" s="75" t="s">
        <v>1017</v>
      </c>
      <c r="F38" s="74" t="s">
        <v>1018</v>
      </c>
      <c r="G38" s="74" t="s">
        <v>213</v>
      </c>
      <c r="H38" s="83">
        <v>6</v>
      </c>
    </row>
    <row r="39" spans="1:8" x14ac:dyDescent="0.35">
      <c r="A39" s="50">
        <v>38</v>
      </c>
      <c r="B39" s="74" t="s">
        <v>247</v>
      </c>
      <c r="C39" s="75" t="s">
        <v>1019</v>
      </c>
      <c r="D39" s="75" t="str">
        <f t="shared" si="0"/>
        <v>2026-01-02</v>
      </c>
      <c r="E39" s="75" t="s">
        <v>1020</v>
      </c>
      <c r="F39" s="74" t="s">
        <v>1021</v>
      </c>
      <c r="G39" s="74" t="s">
        <v>885</v>
      </c>
      <c r="H39" s="83">
        <v>7</v>
      </c>
    </row>
    <row r="40" spans="1:8" x14ac:dyDescent="0.35">
      <c r="A40" s="50">
        <v>39</v>
      </c>
      <c r="B40" s="74" t="s">
        <v>58</v>
      </c>
      <c r="C40" s="75" t="s">
        <v>1022</v>
      </c>
      <c r="D40" s="75" t="str">
        <f t="shared" si="0"/>
        <v>2026-01-02</v>
      </c>
      <c r="E40" s="75" t="s">
        <v>1023</v>
      </c>
      <c r="F40" s="74" t="s">
        <v>1024</v>
      </c>
      <c r="G40" s="74" t="s">
        <v>138</v>
      </c>
      <c r="H40" s="83">
        <v>4</v>
      </c>
    </row>
    <row r="41" spans="1:8" x14ac:dyDescent="0.35">
      <c r="A41" s="50">
        <v>40</v>
      </c>
      <c r="B41" s="74" t="s">
        <v>268</v>
      </c>
      <c r="C41" s="75" t="s">
        <v>1025</v>
      </c>
      <c r="D41" s="75" t="str">
        <f t="shared" si="0"/>
        <v>2026-01-02</v>
      </c>
      <c r="E41" s="75" t="s">
        <v>1026</v>
      </c>
      <c r="F41" s="74" t="s">
        <v>1027</v>
      </c>
      <c r="G41" s="74" t="s">
        <v>1028</v>
      </c>
      <c r="H41" s="83">
        <v>4</v>
      </c>
    </row>
    <row r="42" spans="1:8" x14ac:dyDescent="0.35">
      <c r="A42" s="50">
        <v>41</v>
      </c>
      <c r="B42" s="74" t="s">
        <v>218</v>
      </c>
      <c r="C42" s="75" t="s">
        <v>1029</v>
      </c>
      <c r="D42" s="75" t="str">
        <f t="shared" si="0"/>
        <v>2026-01-02</v>
      </c>
      <c r="E42" s="75" t="s">
        <v>1030</v>
      </c>
      <c r="F42" s="74" t="s">
        <v>1031</v>
      </c>
      <c r="G42" s="74" t="s">
        <v>1032</v>
      </c>
      <c r="H42" s="83">
        <v>3</v>
      </c>
    </row>
    <row r="43" spans="1:8" x14ac:dyDescent="0.35">
      <c r="A43" s="50">
        <v>42</v>
      </c>
      <c r="B43" s="74" t="s">
        <v>276</v>
      </c>
      <c r="C43" s="75" t="s">
        <v>1033</v>
      </c>
      <c r="D43" s="75" t="str">
        <f t="shared" si="0"/>
        <v>2026-01-02</v>
      </c>
      <c r="E43" s="75" t="s">
        <v>1034</v>
      </c>
      <c r="F43" s="74" t="s">
        <v>1035</v>
      </c>
      <c r="G43" s="74" t="s">
        <v>219</v>
      </c>
      <c r="H43" s="83">
        <v>3</v>
      </c>
    </row>
    <row r="44" spans="1:8" x14ac:dyDescent="0.35">
      <c r="A44" s="50">
        <v>43</v>
      </c>
      <c r="B44" s="74" t="s">
        <v>197</v>
      </c>
      <c r="C44" s="75" t="s">
        <v>1036</v>
      </c>
      <c r="D44" s="75" t="str">
        <f t="shared" si="0"/>
        <v>2026-01-02</v>
      </c>
      <c r="E44" s="75" t="s">
        <v>1037</v>
      </c>
      <c r="F44" s="74" t="s">
        <v>1038</v>
      </c>
      <c r="G44" s="74" t="s">
        <v>1039</v>
      </c>
      <c r="H44" s="83">
        <v>3</v>
      </c>
    </row>
    <row r="45" spans="1:8" x14ac:dyDescent="0.35">
      <c r="A45" s="50">
        <v>44</v>
      </c>
      <c r="B45" s="74" t="s">
        <v>606</v>
      </c>
      <c r="C45" s="75" t="s">
        <v>1040</v>
      </c>
      <c r="D45" s="75" t="str">
        <f t="shared" si="0"/>
        <v>2026-01-02</v>
      </c>
      <c r="E45" s="75" t="s">
        <v>1041</v>
      </c>
      <c r="F45" s="74" t="s">
        <v>1042</v>
      </c>
      <c r="G45" s="74" t="s">
        <v>610</v>
      </c>
      <c r="H45" s="83">
        <v>3</v>
      </c>
    </row>
    <row r="46" spans="1:8" x14ac:dyDescent="0.35">
      <c r="A46" s="50">
        <v>45</v>
      </c>
      <c r="B46" s="74" t="s">
        <v>106</v>
      </c>
      <c r="C46" s="75" t="s">
        <v>1043</v>
      </c>
      <c r="D46" s="75" t="str">
        <f t="shared" si="0"/>
        <v>2026-01-02</v>
      </c>
      <c r="E46" s="75" t="s">
        <v>1044</v>
      </c>
      <c r="F46" s="74" t="s">
        <v>1045</v>
      </c>
      <c r="G46" s="74" t="s">
        <v>1046</v>
      </c>
      <c r="H46" s="83">
        <v>3</v>
      </c>
    </row>
    <row r="47" spans="1:8" x14ac:dyDescent="0.35">
      <c r="A47" s="50">
        <v>46</v>
      </c>
      <c r="B47" s="74" t="s">
        <v>496</v>
      </c>
      <c r="C47" s="75" t="s">
        <v>813</v>
      </c>
      <c r="D47" s="75" t="str">
        <f t="shared" si="0"/>
        <v>2026-01-02</v>
      </c>
      <c r="E47" s="75" t="s">
        <v>1047</v>
      </c>
      <c r="F47" s="74" t="s">
        <v>1048</v>
      </c>
      <c r="G47" s="74" t="s">
        <v>126</v>
      </c>
      <c r="H47" s="83">
        <v>4</v>
      </c>
    </row>
    <row r="48" spans="1:8" x14ac:dyDescent="0.35">
      <c r="A48" s="50">
        <v>47</v>
      </c>
      <c r="B48" s="74" t="s">
        <v>204</v>
      </c>
      <c r="C48" s="75" t="s">
        <v>1049</v>
      </c>
      <c r="D48" s="75" t="str">
        <f t="shared" si="0"/>
        <v>2026-01-02</v>
      </c>
      <c r="E48" s="75" t="s">
        <v>1050</v>
      </c>
      <c r="F48" s="74" t="s">
        <v>1051</v>
      </c>
      <c r="G48" s="74" t="s">
        <v>1052</v>
      </c>
      <c r="H48" s="83">
        <v>3</v>
      </c>
    </row>
    <row r="49" spans="1:8" x14ac:dyDescent="0.35">
      <c r="A49" s="50">
        <v>48</v>
      </c>
      <c r="B49" s="74" t="s">
        <v>56</v>
      </c>
      <c r="C49" s="75" t="s">
        <v>1053</v>
      </c>
      <c r="D49" s="75" t="str">
        <f t="shared" si="0"/>
        <v>2026-01-02</v>
      </c>
      <c r="E49" s="75" t="s">
        <v>1054</v>
      </c>
      <c r="F49" s="74" t="s">
        <v>1055</v>
      </c>
      <c r="G49" s="74" t="s">
        <v>111</v>
      </c>
      <c r="H49" s="83">
        <v>3</v>
      </c>
    </row>
    <row r="50" spans="1:8" x14ac:dyDescent="0.35">
      <c r="A50" s="50">
        <v>49</v>
      </c>
      <c r="B50" s="74" t="s">
        <v>283</v>
      </c>
      <c r="C50" s="75" t="s">
        <v>1056</v>
      </c>
      <c r="D50" s="75" t="str">
        <f t="shared" si="0"/>
        <v>2026-01-02</v>
      </c>
      <c r="E50" s="75" t="s">
        <v>1057</v>
      </c>
      <c r="F50" s="74" t="s">
        <v>1058</v>
      </c>
      <c r="G50" s="74" t="s">
        <v>1059</v>
      </c>
      <c r="H50" s="83">
        <v>7</v>
      </c>
    </row>
    <row r="51" spans="1:8" x14ac:dyDescent="0.35">
      <c r="A51" s="50">
        <v>50</v>
      </c>
      <c r="B51" s="74" t="s">
        <v>97</v>
      </c>
      <c r="C51" s="75" t="s">
        <v>1060</v>
      </c>
      <c r="D51" s="75" t="str">
        <f t="shared" si="0"/>
        <v>2026-01-02</v>
      </c>
      <c r="E51" s="75" t="s">
        <v>1061</v>
      </c>
      <c r="F51" s="74" t="s">
        <v>1062</v>
      </c>
      <c r="G51" s="74" t="s">
        <v>1052</v>
      </c>
      <c r="H51" s="83">
        <v>4</v>
      </c>
    </row>
    <row r="52" spans="1:8" x14ac:dyDescent="0.35">
      <c r="A52" s="50">
        <v>51</v>
      </c>
      <c r="B52" s="74" t="s">
        <v>73</v>
      </c>
      <c r="C52" s="75" t="s">
        <v>1063</v>
      </c>
      <c r="D52" s="75" t="str">
        <f t="shared" si="0"/>
        <v>2026-01-02</v>
      </c>
      <c r="E52" s="75" t="s">
        <v>1064</v>
      </c>
      <c r="F52" s="74" t="s">
        <v>1065</v>
      </c>
      <c r="G52" s="74" t="s">
        <v>598</v>
      </c>
      <c r="H52" s="83">
        <v>3</v>
      </c>
    </row>
    <row r="53" spans="1:8" x14ac:dyDescent="0.35">
      <c r="A53" s="50">
        <v>52</v>
      </c>
      <c r="B53" s="74" t="s">
        <v>263</v>
      </c>
      <c r="C53" s="75" t="s">
        <v>1066</v>
      </c>
      <c r="D53" s="75" t="str">
        <f t="shared" si="0"/>
        <v>2026-01-02</v>
      </c>
      <c r="E53" s="75" t="s">
        <v>1067</v>
      </c>
      <c r="F53" s="74" t="s">
        <v>1068</v>
      </c>
      <c r="G53" s="74" t="s">
        <v>1069</v>
      </c>
      <c r="H53" s="83">
        <v>5</v>
      </c>
    </row>
    <row r="54" spans="1:8" x14ac:dyDescent="0.35">
      <c r="A54" s="50">
        <v>53</v>
      </c>
      <c r="B54" s="74" t="s">
        <v>248</v>
      </c>
      <c r="C54" s="75" t="s">
        <v>1070</v>
      </c>
      <c r="D54" s="75" t="str">
        <f t="shared" si="0"/>
        <v>2026-01-02</v>
      </c>
      <c r="E54" s="75" t="s">
        <v>1071</v>
      </c>
      <c r="F54" s="74" t="s">
        <v>1072</v>
      </c>
      <c r="G54" s="74" t="s">
        <v>602</v>
      </c>
      <c r="H54" s="83">
        <v>3</v>
      </c>
    </row>
    <row r="55" spans="1:8" x14ac:dyDescent="0.35">
      <c r="A55" s="50">
        <v>54</v>
      </c>
      <c r="B55" s="74" t="s">
        <v>134</v>
      </c>
      <c r="C55" s="75" t="s">
        <v>1073</v>
      </c>
      <c r="D55" s="75" t="str">
        <f t="shared" si="0"/>
        <v>2026-01-02</v>
      </c>
      <c r="E55" s="75" t="s">
        <v>1074</v>
      </c>
      <c r="F55" s="74" t="s">
        <v>1075</v>
      </c>
      <c r="G55" s="74" t="s">
        <v>1076</v>
      </c>
      <c r="H55" s="83">
        <v>3</v>
      </c>
    </row>
    <row r="56" spans="1:8" x14ac:dyDescent="0.35">
      <c r="A56" s="50">
        <v>55</v>
      </c>
      <c r="B56" s="74" t="s">
        <v>147</v>
      </c>
      <c r="C56" s="75" t="s">
        <v>1077</v>
      </c>
      <c r="D56" s="75" t="str">
        <f t="shared" si="0"/>
        <v>2026-01-02</v>
      </c>
      <c r="E56" s="75" t="s">
        <v>1078</v>
      </c>
      <c r="F56" s="74" t="s">
        <v>1079</v>
      </c>
      <c r="G56" s="74" t="s">
        <v>183</v>
      </c>
      <c r="H56" s="83">
        <v>3</v>
      </c>
    </row>
    <row r="57" spans="1:8" x14ac:dyDescent="0.35">
      <c r="A57" s="50">
        <v>56</v>
      </c>
      <c r="B57" s="74" t="s">
        <v>1080</v>
      </c>
      <c r="C57" s="75" t="s">
        <v>1081</v>
      </c>
      <c r="D57" s="75" t="str">
        <f t="shared" si="0"/>
        <v>2026-01-02</v>
      </c>
      <c r="E57" s="75" t="s">
        <v>1082</v>
      </c>
      <c r="F57" s="74" t="s">
        <v>1083</v>
      </c>
      <c r="G57" s="74" t="s">
        <v>1084</v>
      </c>
      <c r="H57" s="83">
        <v>3</v>
      </c>
    </row>
    <row r="58" spans="1:8" x14ac:dyDescent="0.35">
      <c r="A58" s="50">
        <v>57</v>
      </c>
      <c r="B58" s="74" t="s">
        <v>193</v>
      </c>
      <c r="C58" s="75" t="s">
        <v>1085</v>
      </c>
      <c r="D58" s="75" t="str">
        <f t="shared" si="0"/>
        <v>2026-01-02</v>
      </c>
      <c r="E58" s="75" t="s">
        <v>1086</v>
      </c>
      <c r="F58" s="74" t="s">
        <v>1087</v>
      </c>
      <c r="G58" s="74" t="s">
        <v>1088</v>
      </c>
      <c r="H58" s="83">
        <v>3</v>
      </c>
    </row>
    <row r="59" spans="1:8" x14ac:dyDescent="0.35">
      <c r="A59" s="50">
        <v>58</v>
      </c>
      <c r="B59" s="74" t="s">
        <v>239</v>
      </c>
      <c r="C59" s="75" t="s">
        <v>1089</v>
      </c>
      <c r="D59" s="75" t="str">
        <f t="shared" si="0"/>
        <v>2026-01-02</v>
      </c>
      <c r="E59" s="75" t="s">
        <v>1090</v>
      </c>
      <c r="F59" s="74" t="s">
        <v>1091</v>
      </c>
      <c r="G59" s="74" t="s">
        <v>118</v>
      </c>
      <c r="H59" s="83">
        <v>3</v>
      </c>
    </row>
    <row r="60" spans="1:8" x14ac:dyDescent="0.35">
      <c r="A60" s="50">
        <v>59</v>
      </c>
      <c r="B60" s="74" t="s">
        <v>201</v>
      </c>
      <c r="C60" s="75" t="s">
        <v>1092</v>
      </c>
      <c r="D60" s="75" t="str">
        <f t="shared" si="0"/>
        <v>2026-01-02</v>
      </c>
      <c r="E60" s="75" t="s">
        <v>1093</v>
      </c>
      <c r="F60" s="74" t="s">
        <v>1094</v>
      </c>
      <c r="G60" s="74" t="s">
        <v>1095</v>
      </c>
      <c r="H60" s="83">
        <v>3</v>
      </c>
    </row>
    <row r="61" spans="1:8" x14ac:dyDescent="0.35">
      <c r="A61" s="50">
        <v>60</v>
      </c>
      <c r="B61" s="74" t="s">
        <v>405</v>
      </c>
      <c r="C61" s="75" t="s">
        <v>1096</v>
      </c>
      <c r="D61" s="75" t="str">
        <f t="shared" si="0"/>
        <v>2026-01-02</v>
      </c>
      <c r="E61" s="75" t="s">
        <v>1097</v>
      </c>
      <c r="F61" s="74" t="s">
        <v>1098</v>
      </c>
      <c r="G61" s="74" t="s">
        <v>1099</v>
      </c>
      <c r="H61" s="83">
        <v>3</v>
      </c>
    </row>
    <row r="62" spans="1:8" x14ac:dyDescent="0.35">
      <c r="A62" s="50">
        <v>61</v>
      </c>
      <c r="B62" s="74" t="s">
        <v>1100</v>
      </c>
      <c r="C62" s="75" t="s">
        <v>1101</v>
      </c>
      <c r="D62" s="75" t="str">
        <f t="shared" si="0"/>
        <v>2026-01-02</v>
      </c>
      <c r="E62" s="75" t="s">
        <v>1102</v>
      </c>
      <c r="F62" s="74" t="s">
        <v>1103</v>
      </c>
      <c r="G62" s="74" t="s">
        <v>111</v>
      </c>
      <c r="H62" s="83">
        <v>3</v>
      </c>
    </row>
    <row r="63" spans="1:8" x14ac:dyDescent="0.35">
      <c r="A63" s="50">
        <v>62</v>
      </c>
      <c r="B63" s="74" t="s">
        <v>52</v>
      </c>
      <c r="C63" s="75" t="s">
        <v>1104</v>
      </c>
      <c r="D63" s="75" t="str">
        <f t="shared" si="0"/>
        <v>2026-01-02</v>
      </c>
      <c r="E63" s="75" t="s">
        <v>1105</v>
      </c>
      <c r="F63" s="74" t="s">
        <v>1106</v>
      </c>
      <c r="G63" s="74" t="s">
        <v>1095</v>
      </c>
      <c r="H63" s="83">
        <v>3</v>
      </c>
    </row>
    <row r="64" spans="1:8" x14ac:dyDescent="0.35">
      <c r="A64" s="50">
        <v>63</v>
      </c>
      <c r="B64" s="74" t="s">
        <v>78</v>
      </c>
      <c r="C64" s="75" t="s">
        <v>1107</v>
      </c>
      <c r="D64" s="75" t="str">
        <f t="shared" si="0"/>
        <v>2026-01-02</v>
      </c>
      <c r="E64" s="75" t="s">
        <v>1108</v>
      </c>
      <c r="F64" s="74" t="s">
        <v>1109</v>
      </c>
      <c r="G64" s="74" t="s">
        <v>1110</v>
      </c>
      <c r="H64" s="83">
        <v>3</v>
      </c>
    </row>
    <row r="65" spans="1:8" x14ac:dyDescent="0.35">
      <c r="A65" s="50">
        <v>64</v>
      </c>
      <c r="B65" s="74" t="s">
        <v>593</v>
      </c>
      <c r="C65" s="75" t="s">
        <v>1111</v>
      </c>
      <c r="D65" s="75" t="str">
        <f t="shared" si="0"/>
        <v>2026-01-02</v>
      </c>
      <c r="E65" s="75" t="s">
        <v>1112</v>
      </c>
      <c r="F65" s="74" t="s">
        <v>1113</v>
      </c>
      <c r="G65" s="74" t="s">
        <v>1114</v>
      </c>
      <c r="H65" s="83">
        <v>3</v>
      </c>
    </row>
    <row r="66" spans="1:8" x14ac:dyDescent="0.35">
      <c r="A66" s="50">
        <v>65</v>
      </c>
      <c r="B66" s="74" t="s">
        <v>167</v>
      </c>
      <c r="C66" s="75" t="s">
        <v>1115</v>
      </c>
      <c r="D66" s="75" t="str">
        <f t="shared" ref="D66:D129" si="1">LEFT(C:C,10)</f>
        <v>2026-01-02</v>
      </c>
      <c r="E66" s="75" t="s">
        <v>1116</v>
      </c>
      <c r="F66" s="74" t="s">
        <v>1117</v>
      </c>
      <c r="G66" s="74" t="s">
        <v>1118</v>
      </c>
      <c r="H66" s="83">
        <v>4</v>
      </c>
    </row>
    <row r="67" spans="1:8" x14ac:dyDescent="0.35">
      <c r="A67" s="50">
        <v>66</v>
      </c>
      <c r="B67" s="74" t="s">
        <v>418</v>
      </c>
      <c r="C67" s="75" t="s">
        <v>1119</v>
      </c>
      <c r="D67" s="75" t="str">
        <f t="shared" si="1"/>
        <v>2026-01-02</v>
      </c>
      <c r="E67" s="75" t="s">
        <v>1120</v>
      </c>
      <c r="F67" s="74" t="s">
        <v>1121</v>
      </c>
      <c r="G67" s="74" t="s">
        <v>1118</v>
      </c>
      <c r="H67" s="83">
        <v>3</v>
      </c>
    </row>
    <row r="68" spans="1:8" x14ac:dyDescent="0.35">
      <c r="A68" s="50">
        <v>67</v>
      </c>
      <c r="B68" s="74" t="s">
        <v>155</v>
      </c>
      <c r="C68" s="75" t="s">
        <v>1122</v>
      </c>
      <c r="D68" s="75" t="str">
        <f t="shared" si="1"/>
        <v>2026-01-02</v>
      </c>
      <c r="E68" s="75" t="s">
        <v>1123</v>
      </c>
      <c r="F68" s="74" t="s">
        <v>1124</v>
      </c>
      <c r="G68" s="74" t="s">
        <v>157</v>
      </c>
      <c r="H68" s="83">
        <v>3</v>
      </c>
    </row>
    <row r="69" spans="1:8" x14ac:dyDescent="0.35">
      <c r="A69" s="50">
        <v>68</v>
      </c>
      <c r="B69" s="74" t="s">
        <v>254</v>
      </c>
      <c r="C69" s="75" t="s">
        <v>1125</v>
      </c>
      <c r="D69" s="75" t="str">
        <f t="shared" si="1"/>
        <v>2026-01-02</v>
      </c>
      <c r="E69" s="75" t="s">
        <v>1126</v>
      </c>
      <c r="F69" s="74" t="s">
        <v>1127</v>
      </c>
      <c r="G69" s="74" t="s">
        <v>598</v>
      </c>
      <c r="H69" s="83">
        <v>3</v>
      </c>
    </row>
    <row r="70" spans="1:8" x14ac:dyDescent="0.35">
      <c r="A70" s="50">
        <v>69</v>
      </c>
      <c r="B70" s="74" t="s">
        <v>184</v>
      </c>
      <c r="C70" s="75" t="s">
        <v>1128</v>
      </c>
      <c r="D70" s="75" t="str">
        <f t="shared" si="1"/>
        <v>2026-01-02</v>
      </c>
      <c r="E70" s="75" t="s">
        <v>1129</v>
      </c>
      <c r="F70" s="74" t="s">
        <v>1130</v>
      </c>
      <c r="G70" s="74" t="s">
        <v>1131</v>
      </c>
      <c r="H70" s="83">
        <v>3</v>
      </c>
    </row>
    <row r="71" spans="1:8" x14ac:dyDescent="0.35">
      <c r="A71" s="50">
        <v>70</v>
      </c>
      <c r="B71" s="74" t="s">
        <v>54</v>
      </c>
      <c r="C71" s="75" t="s">
        <v>1132</v>
      </c>
      <c r="D71" s="75" t="str">
        <f t="shared" si="1"/>
        <v>2026-01-02</v>
      </c>
      <c r="E71" s="75" t="s">
        <v>1133</v>
      </c>
      <c r="F71" s="74" t="s">
        <v>1134</v>
      </c>
      <c r="G71" s="74" t="s">
        <v>1135</v>
      </c>
      <c r="H71" s="83">
        <v>3</v>
      </c>
    </row>
    <row r="72" spans="1:8" x14ac:dyDescent="0.35">
      <c r="A72" s="50">
        <v>71</v>
      </c>
      <c r="B72" s="74" t="s">
        <v>279</v>
      </c>
      <c r="C72" s="75" t="s">
        <v>1136</v>
      </c>
      <c r="D72" s="75" t="str">
        <f t="shared" si="1"/>
        <v>2026-01-02</v>
      </c>
      <c r="E72" s="75" t="s">
        <v>1137</v>
      </c>
      <c r="F72" s="74" t="s">
        <v>1138</v>
      </c>
      <c r="G72" s="74" t="s">
        <v>1139</v>
      </c>
      <c r="H72" s="83">
        <v>3</v>
      </c>
    </row>
    <row r="73" spans="1:8" x14ac:dyDescent="0.35">
      <c r="A73" s="50">
        <v>72</v>
      </c>
      <c r="B73" s="74" t="s">
        <v>429</v>
      </c>
      <c r="C73" s="75" t="s">
        <v>1140</v>
      </c>
      <c r="D73" s="75" t="str">
        <f t="shared" si="1"/>
        <v>2026-01-03</v>
      </c>
      <c r="E73" s="75" t="s">
        <v>1141</v>
      </c>
      <c r="F73" s="74" t="s">
        <v>1142</v>
      </c>
      <c r="G73" s="74" t="s">
        <v>202</v>
      </c>
      <c r="H73" s="83">
        <v>3</v>
      </c>
    </row>
    <row r="74" spans="1:8" x14ac:dyDescent="0.35">
      <c r="A74" s="50">
        <v>73</v>
      </c>
      <c r="B74" s="74" t="s">
        <v>78</v>
      </c>
      <c r="C74" s="75" t="s">
        <v>1143</v>
      </c>
      <c r="D74" s="75" t="str">
        <f t="shared" si="1"/>
        <v>2026-01-03</v>
      </c>
      <c r="E74" s="75" t="s">
        <v>1144</v>
      </c>
      <c r="F74" s="74" t="s">
        <v>1145</v>
      </c>
      <c r="G74" s="74" t="s">
        <v>1146</v>
      </c>
      <c r="H74" s="83">
        <v>4</v>
      </c>
    </row>
    <row r="75" spans="1:8" x14ac:dyDescent="0.35">
      <c r="A75" s="50">
        <v>74</v>
      </c>
      <c r="B75" s="74" t="s">
        <v>590</v>
      </c>
      <c r="C75" s="75" t="s">
        <v>1147</v>
      </c>
      <c r="D75" s="75" t="str">
        <f t="shared" si="1"/>
        <v>2026-01-03</v>
      </c>
      <c r="E75" s="75" t="s">
        <v>1148</v>
      </c>
      <c r="F75" s="74" t="s">
        <v>1149</v>
      </c>
      <c r="G75" s="74" t="s">
        <v>1150</v>
      </c>
      <c r="H75" s="83">
        <v>3</v>
      </c>
    </row>
    <row r="76" spans="1:8" x14ac:dyDescent="0.35">
      <c r="A76" s="50">
        <v>75</v>
      </c>
      <c r="B76" s="74" t="s">
        <v>192</v>
      </c>
      <c r="C76" s="75" t="s">
        <v>1151</v>
      </c>
      <c r="D76" s="75" t="str">
        <f t="shared" si="1"/>
        <v>2026-01-03</v>
      </c>
      <c r="E76" s="75" t="s">
        <v>1152</v>
      </c>
      <c r="F76" s="74" t="s">
        <v>1153</v>
      </c>
      <c r="G76" s="74" t="s">
        <v>112</v>
      </c>
      <c r="H76" s="83">
        <v>3</v>
      </c>
    </row>
    <row r="77" spans="1:8" x14ac:dyDescent="0.35">
      <c r="A77" s="50">
        <v>76</v>
      </c>
      <c r="B77" s="74" t="s">
        <v>90</v>
      </c>
      <c r="C77" s="75" t="s">
        <v>1154</v>
      </c>
      <c r="D77" s="75" t="str">
        <f t="shared" si="1"/>
        <v>2026-01-03</v>
      </c>
      <c r="E77" s="75" t="s">
        <v>1155</v>
      </c>
      <c r="F77" s="74" t="s">
        <v>1156</v>
      </c>
      <c r="G77" s="74" t="s">
        <v>124</v>
      </c>
      <c r="H77" s="83">
        <v>3</v>
      </c>
    </row>
    <row r="78" spans="1:8" x14ac:dyDescent="0.35">
      <c r="A78" s="50">
        <v>77</v>
      </c>
      <c r="B78" s="74" t="s">
        <v>54</v>
      </c>
      <c r="C78" s="75" t="s">
        <v>1157</v>
      </c>
      <c r="D78" s="75" t="str">
        <f t="shared" si="1"/>
        <v>2026-01-03</v>
      </c>
      <c r="E78" s="75" t="s">
        <v>1158</v>
      </c>
      <c r="F78" s="74" t="s">
        <v>1159</v>
      </c>
      <c r="G78" s="74" t="s">
        <v>1160</v>
      </c>
      <c r="H78" s="83">
        <v>4</v>
      </c>
    </row>
    <row r="79" spans="1:8" x14ac:dyDescent="0.35">
      <c r="A79" s="50">
        <v>78</v>
      </c>
      <c r="B79" s="74" t="s">
        <v>101</v>
      </c>
      <c r="C79" s="75" t="s">
        <v>1161</v>
      </c>
      <c r="D79" s="75" t="str">
        <f t="shared" si="1"/>
        <v>2026-01-03</v>
      </c>
      <c r="E79" s="75" t="s">
        <v>1162</v>
      </c>
      <c r="F79" s="74" t="s">
        <v>1163</v>
      </c>
      <c r="G79" s="74" t="s">
        <v>588</v>
      </c>
      <c r="H79" s="83">
        <v>3</v>
      </c>
    </row>
    <row r="80" spans="1:8" x14ac:dyDescent="0.35">
      <c r="A80" s="50">
        <v>79</v>
      </c>
      <c r="B80" s="74" t="s">
        <v>70</v>
      </c>
      <c r="C80" s="75" t="s">
        <v>1164</v>
      </c>
      <c r="D80" s="75" t="str">
        <f t="shared" si="1"/>
        <v>2026-01-03</v>
      </c>
      <c r="E80" s="75" t="s">
        <v>1165</v>
      </c>
      <c r="F80" s="74" t="s">
        <v>1166</v>
      </c>
      <c r="G80" s="74" t="s">
        <v>131</v>
      </c>
      <c r="H80" s="83">
        <v>3</v>
      </c>
    </row>
    <row r="81" spans="1:8" x14ac:dyDescent="0.35">
      <c r="A81" s="50">
        <v>80</v>
      </c>
      <c r="B81" s="74" t="s">
        <v>272</v>
      </c>
      <c r="C81" s="75" t="s">
        <v>1167</v>
      </c>
      <c r="D81" s="75" t="str">
        <f t="shared" si="1"/>
        <v>2026-01-03</v>
      </c>
      <c r="E81" s="75" t="s">
        <v>1168</v>
      </c>
      <c r="F81" s="74" t="s">
        <v>1169</v>
      </c>
      <c r="G81" s="74" t="s">
        <v>1170</v>
      </c>
      <c r="H81" s="83">
        <v>3</v>
      </c>
    </row>
    <row r="82" spans="1:8" x14ac:dyDescent="0.35">
      <c r="A82" s="50">
        <v>81</v>
      </c>
      <c r="B82" s="74" t="s">
        <v>210</v>
      </c>
      <c r="C82" s="75" t="s">
        <v>1171</v>
      </c>
      <c r="D82" s="75" t="str">
        <f t="shared" si="1"/>
        <v>2026-01-03</v>
      </c>
      <c r="E82" s="75" t="s">
        <v>1172</v>
      </c>
      <c r="F82" s="74" t="s">
        <v>1173</v>
      </c>
      <c r="G82" s="74" t="s">
        <v>506</v>
      </c>
      <c r="H82" s="83">
        <v>4</v>
      </c>
    </row>
    <row r="83" spans="1:8" x14ac:dyDescent="0.35">
      <c r="A83" s="50">
        <v>82</v>
      </c>
      <c r="B83" s="74" t="s">
        <v>614</v>
      </c>
      <c r="C83" s="75" t="s">
        <v>1174</v>
      </c>
      <c r="D83" s="75" t="str">
        <f t="shared" si="1"/>
        <v>2026-01-03</v>
      </c>
      <c r="E83" s="75" t="s">
        <v>1175</v>
      </c>
      <c r="F83" s="74" t="s">
        <v>1176</v>
      </c>
      <c r="G83" s="74" t="s">
        <v>1177</v>
      </c>
      <c r="H83" s="83">
        <v>4</v>
      </c>
    </row>
    <row r="84" spans="1:8" x14ac:dyDescent="0.35">
      <c r="A84" s="50">
        <v>83</v>
      </c>
      <c r="B84" s="74" t="s">
        <v>108</v>
      </c>
      <c r="C84" s="75" t="s">
        <v>1178</v>
      </c>
      <c r="D84" s="75" t="str">
        <f t="shared" si="1"/>
        <v>2026-01-03</v>
      </c>
      <c r="E84" s="75" t="s">
        <v>1179</v>
      </c>
      <c r="F84" s="74" t="s">
        <v>1180</v>
      </c>
      <c r="G84" s="74" t="s">
        <v>1181</v>
      </c>
      <c r="H84" s="83">
        <v>4</v>
      </c>
    </row>
    <row r="85" spans="1:8" x14ac:dyDescent="0.35">
      <c r="A85" s="50">
        <v>84</v>
      </c>
      <c r="B85" s="74" t="s">
        <v>244</v>
      </c>
      <c r="C85" s="75" t="s">
        <v>1182</v>
      </c>
      <c r="D85" s="75" t="str">
        <f t="shared" si="1"/>
        <v>2026-01-03</v>
      </c>
      <c r="E85" s="75" t="s">
        <v>1183</v>
      </c>
      <c r="F85" s="74" t="s">
        <v>1184</v>
      </c>
      <c r="G85" s="74" t="s">
        <v>1185</v>
      </c>
      <c r="H85" s="83">
        <v>4</v>
      </c>
    </row>
    <row r="86" spans="1:8" x14ac:dyDescent="0.35">
      <c r="A86" s="50">
        <v>85</v>
      </c>
      <c r="B86" s="74" t="s">
        <v>121</v>
      </c>
      <c r="C86" s="75" t="s">
        <v>1186</v>
      </c>
      <c r="D86" s="75" t="str">
        <f t="shared" si="1"/>
        <v>2026-01-03</v>
      </c>
      <c r="E86" s="75" t="s">
        <v>1187</v>
      </c>
      <c r="F86" s="74" t="s">
        <v>1188</v>
      </c>
      <c r="G86" s="74" t="s">
        <v>1189</v>
      </c>
      <c r="H86" s="83">
        <v>3</v>
      </c>
    </row>
    <row r="87" spans="1:8" x14ac:dyDescent="0.35">
      <c r="A87" s="50">
        <v>86</v>
      </c>
      <c r="B87" s="74" t="s">
        <v>601</v>
      </c>
      <c r="C87" s="75" t="s">
        <v>1190</v>
      </c>
      <c r="D87" s="75" t="str">
        <f t="shared" si="1"/>
        <v>2026-01-03</v>
      </c>
      <c r="E87" s="75" t="s">
        <v>1191</v>
      </c>
      <c r="F87" s="74" t="s">
        <v>1192</v>
      </c>
      <c r="G87" s="74" t="s">
        <v>1193</v>
      </c>
      <c r="H87" s="83">
        <v>5</v>
      </c>
    </row>
    <row r="88" spans="1:8" x14ac:dyDescent="0.35">
      <c r="A88" s="50">
        <v>87</v>
      </c>
      <c r="B88" s="74" t="s">
        <v>125</v>
      </c>
      <c r="C88" s="75" t="s">
        <v>1194</v>
      </c>
      <c r="D88" s="75" t="str">
        <f t="shared" si="1"/>
        <v>2026-01-03</v>
      </c>
      <c r="E88" s="75" t="s">
        <v>1195</v>
      </c>
      <c r="F88" s="74" t="s">
        <v>1196</v>
      </c>
      <c r="G88" s="74" t="s">
        <v>1197</v>
      </c>
      <c r="H88" s="83">
        <v>5</v>
      </c>
    </row>
    <row r="89" spans="1:8" x14ac:dyDescent="0.35">
      <c r="A89" s="50">
        <v>88</v>
      </c>
      <c r="B89" s="74" t="s">
        <v>507</v>
      </c>
      <c r="C89" s="75" t="s">
        <v>1198</v>
      </c>
      <c r="D89" s="75" t="str">
        <f t="shared" si="1"/>
        <v>2026-01-03</v>
      </c>
      <c r="E89" s="75" t="s">
        <v>1199</v>
      </c>
      <c r="F89" s="74" t="s">
        <v>1200</v>
      </c>
      <c r="G89" s="74" t="s">
        <v>146</v>
      </c>
      <c r="H89" s="83">
        <v>5</v>
      </c>
    </row>
    <row r="90" spans="1:8" x14ac:dyDescent="0.35">
      <c r="A90" s="50">
        <v>89</v>
      </c>
      <c r="B90" s="74" t="s">
        <v>58</v>
      </c>
      <c r="C90" s="75" t="s">
        <v>1201</v>
      </c>
      <c r="D90" s="75" t="str">
        <f t="shared" si="1"/>
        <v>2026-01-03</v>
      </c>
      <c r="E90" s="75" t="s">
        <v>1202</v>
      </c>
      <c r="F90" s="74" t="s">
        <v>1203</v>
      </c>
      <c r="G90" s="74" t="s">
        <v>118</v>
      </c>
      <c r="H90" s="83">
        <v>3</v>
      </c>
    </row>
    <row r="91" spans="1:8" x14ac:dyDescent="0.35">
      <c r="A91" s="50">
        <v>90</v>
      </c>
      <c r="B91" s="74" t="s">
        <v>273</v>
      </c>
      <c r="C91" s="75" t="s">
        <v>1204</v>
      </c>
      <c r="D91" s="75" t="str">
        <f t="shared" si="1"/>
        <v>2026-01-03</v>
      </c>
      <c r="E91" s="75" t="s">
        <v>1205</v>
      </c>
      <c r="F91" s="74" t="s">
        <v>1206</v>
      </c>
      <c r="G91" s="74" t="s">
        <v>1207</v>
      </c>
      <c r="H91" s="83">
        <v>3</v>
      </c>
    </row>
    <row r="92" spans="1:8" x14ac:dyDescent="0.35">
      <c r="A92" s="50">
        <v>91</v>
      </c>
      <c r="B92" s="74" t="s">
        <v>83</v>
      </c>
      <c r="C92" s="75" t="s">
        <v>1208</v>
      </c>
      <c r="D92" s="75" t="str">
        <f t="shared" si="1"/>
        <v>2026-01-03</v>
      </c>
      <c r="E92" s="75" t="s">
        <v>1209</v>
      </c>
      <c r="F92" s="74" t="s">
        <v>1210</v>
      </c>
      <c r="G92" s="74" t="s">
        <v>146</v>
      </c>
      <c r="H92" s="83">
        <v>6</v>
      </c>
    </row>
    <row r="93" spans="1:8" x14ac:dyDescent="0.35">
      <c r="A93" s="50">
        <v>92</v>
      </c>
      <c r="B93" s="74" t="s">
        <v>182</v>
      </c>
      <c r="C93" s="75" t="s">
        <v>1211</v>
      </c>
      <c r="D93" s="75" t="str">
        <f t="shared" si="1"/>
        <v>2026-01-03</v>
      </c>
      <c r="E93" s="75" t="s">
        <v>1212</v>
      </c>
      <c r="F93" s="74" t="s">
        <v>1213</v>
      </c>
      <c r="G93" s="74" t="s">
        <v>1214</v>
      </c>
      <c r="H93" s="83">
        <v>4</v>
      </c>
    </row>
    <row r="94" spans="1:8" x14ac:dyDescent="0.35">
      <c r="A94" s="50">
        <v>93</v>
      </c>
      <c r="B94" s="74" t="s">
        <v>405</v>
      </c>
      <c r="C94" s="75" t="s">
        <v>1215</v>
      </c>
      <c r="D94" s="75" t="str">
        <f t="shared" si="1"/>
        <v>2026-01-03</v>
      </c>
      <c r="E94" s="75" t="s">
        <v>1216</v>
      </c>
      <c r="F94" s="74" t="s">
        <v>1217</v>
      </c>
      <c r="G94" s="74" t="s">
        <v>120</v>
      </c>
      <c r="H94" s="83">
        <v>3</v>
      </c>
    </row>
    <row r="95" spans="1:8" x14ac:dyDescent="0.35">
      <c r="A95" s="50">
        <v>94</v>
      </c>
      <c r="B95" s="74" t="s">
        <v>268</v>
      </c>
      <c r="C95" s="75" t="s">
        <v>1218</v>
      </c>
      <c r="D95" s="75" t="str">
        <f t="shared" si="1"/>
        <v>2026-01-03</v>
      </c>
      <c r="E95" s="75" t="s">
        <v>1219</v>
      </c>
      <c r="F95" s="74" t="s">
        <v>1220</v>
      </c>
      <c r="G95" s="74" t="s">
        <v>123</v>
      </c>
      <c r="H95" s="83">
        <v>4</v>
      </c>
    </row>
    <row r="96" spans="1:8" x14ac:dyDescent="0.35">
      <c r="A96" s="50">
        <v>95</v>
      </c>
      <c r="B96" s="74" t="s">
        <v>214</v>
      </c>
      <c r="C96" s="75" t="s">
        <v>1221</v>
      </c>
      <c r="D96" s="75" t="str">
        <f t="shared" si="1"/>
        <v>2026-01-03</v>
      </c>
      <c r="E96" s="75" t="s">
        <v>1222</v>
      </c>
      <c r="F96" s="74" t="s">
        <v>1223</v>
      </c>
      <c r="G96" s="74" t="s">
        <v>120</v>
      </c>
      <c r="H96" s="83">
        <v>4</v>
      </c>
    </row>
    <row r="97" spans="1:8" x14ac:dyDescent="0.35">
      <c r="A97" s="50">
        <v>96</v>
      </c>
      <c r="B97" s="74" t="s">
        <v>239</v>
      </c>
      <c r="C97" s="75" t="s">
        <v>1224</v>
      </c>
      <c r="D97" s="75" t="str">
        <f t="shared" si="1"/>
        <v>2026-01-03</v>
      </c>
      <c r="E97" s="75" t="s">
        <v>1225</v>
      </c>
      <c r="F97" s="74" t="s">
        <v>1226</v>
      </c>
      <c r="G97" s="74" t="s">
        <v>123</v>
      </c>
      <c r="H97" s="83">
        <v>3</v>
      </c>
    </row>
    <row r="98" spans="1:8" x14ac:dyDescent="0.35">
      <c r="A98" s="50">
        <v>97</v>
      </c>
      <c r="B98" s="74" t="s">
        <v>281</v>
      </c>
      <c r="C98" s="75" t="s">
        <v>1227</v>
      </c>
      <c r="D98" s="75" t="str">
        <f t="shared" si="1"/>
        <v>2026-01-03</v>
      </c>
      <c r="E98" s="75" t="s">
        <v>1228</v>
      </c>
      <c r="F98" s="74" t="s">
        <v>1229</v>
      </c>
      <c r="G98" s="74" t="s">
        <v>152</v>
      </c>
      <c r="H98" s="83">
        <v>4</v>
      </c>
    </row>
    <row r="99" spans="1:8" x14ac:dyDescent="0.35">
      <c r="A99" s="50">
        <v>98</v>
      </c>
      <c r="B99" s="74" t="s">
        <v>253</v>
      </c>
      <c r="C99" s="75" t="s">
        <v>1230</v>
      </c>
      <c r="D99" s="75" t="str">
        <f t="shared" si="1"/>
        <v>2026-01-03</v>
      </c>
      <c r="E99" s="75" t="s">
        <v>1231</v>
      </c>
      <c r="F99" s="74" t="s">
        <v>1232</v>
      </c>
      <c r="G99" s="74" t="s">
        <v>146</v>
      </c>
      <c r="H99" s="83">
        <v>3</v>
      </c>
    </row>
    <row r="100" spans="1:8" x14ac:dyDescent="0.35">
      <c r="A100" s="50">
        <v>99</v>
      </c>
      <c r="B100" s="74" t="s">
        <v>86</v>
      </c>
      <c r="C100" s="75" t="s">
        <v>1233</v>
      </c>
      <c r="D100" s="75" t="str">
        <f t="shared" si="1"/>
        <v>2026-01-03</v>
      </c>
      <c r="E100" s="75" t="s">
        <v>1234</v>
      </c>
      <c r="F100" s="74" t="s">
        <v>1235</v>
      </c>
      <c r="G100" s="74" t="s">
        <v>1236</v>
      </c>
      <c r="H100" s="83">
        <v>3</v>
      </c>
    </row>
    <row r="101" spans="1:8" x14ac:dyDescent="0.35">
      <c r="A101" s="50">
        <v>100</v>
      </c>
      <c r="B101" s="74" t="s">
        <v>1237</v>
      </c>
      <c r="C101" s="75" t="s">
        <v>1238</v>
      </c>
      <c r="D101" s="75" t="str">
        <f t="shared" si="1"/>
        <v>2026-01-03</v>
      </c>
      <c r="E101" s="75" t="s">
        <v>1239</v>
      </c>
      <c r="F101" s="74" t="s">
        <v>1240</v>
      </c>
      <c r="G101" s="74" t="s">
        <v>1236</v>
      </c>
      <c r="H101" s="83">
        <v>3</v>
      </c>
    </row>
    <row r="102" spans="1:8" x14ac:dyDescent="0.35">
      <c r="A102" s="50">
        <v>101</v>
      </c>
      <c r="B102" s="74" t="s">
        <v>127</v>
      </c>
      <c r="C102" s="75" t="s">
        <v>1241</v>
      </c>
      <c r="D102" s="75" t="str">
        <f t="shared" si="1"/>
        <v>2026-01-03</v>
      </c>
      <c r="E102" s="75" t="s">
        <v>1242</v>
      </c>
      <c r="F102" s="74" t="s">
        <v>1243</v>
      </c>
      <c r="G102" s="74" t="s">
        <v>1236</v>
      </c>
      <c r="H102" s="83">
        <v>3</v>
      </c>
    </row>
    <row r="103" spans="1:8" x14ac:dyDescent="0.35">
      <c r="A103" s="50">
        <v>102</v>
      </c>
      <c r="B103" s="74" t="s">
        <v>147</v>
      </c>
      <c r="C103" s="75" t="s">
        <v>1244</v>
      </c>
      <c r="D103" s="75" t="str">
        <f t="shared" si="1"/>
        <v>2026-01-03</v>
      </c>
      <c r="E103" s="75" t="s">
        <v>1245</v>
      </c>
      <c r="F103" s="74" t="s">
        <v>1246</v>
      </c>
      <c r="G103" s="74" t="s">
        <v>187</v>
      </c>
      <c r="H103" s="83">
        <v>3</v>
      </c>
    </row>
    <row r="104" spans="1:8" x14ac:dyDescent="0.35">
      <c r="A104" s="50">
        <v>103</v>
      </c>
      <c r="B104" s="74" t="s">
        <v>252</v>
      </c>
      <c r="C104" s="75" t="s">
        <v>1247</v>
      </c>
      <c r="D104" s="75" t="str">
        <f t="shared" si="1"/>
        <v>2026-01-03</v>
      </c>
      <c r="E104" s="75" t="s">
        <v>1248</v>
      </c>
      <c r="F104" s="74" t="s">
        <v>1249</v>
      </c>
      <c r="G104" s="74" t="s">
        <v>119</v>
      </c>
      <c r="H104" s="83">
        <v>3</v>
      </c>
    </row>
    <row r="105" spans="1:8" x14ac:dyDescent="0.35">
      <c r="A105" s="50">
        <v>104</v>
      </c>
      <c r="B105" s="73" t="s">
        <v>78</v>
      </c>
      <c r="C105" s="73" t="s">
        <v>1353</v>
      </c>
      <c r="D105" s="75" t="str">
        <f t="shared" si="1"/>
        <v>2026-01-04</v>
      </c>
      <c r="E105" s="75" t="s">
        <v>1354</v>
      </c>
      <c r="F105" s="73" t="s">
        <v>1355</v>
      </c>
      <c r="G105" s="73" t="s">
        <v>1356</v>
      </c>
      <c r="H105" s="83">
        <v>3</v>
      </c>
    </row>
    <row r="106" spans="1:8" x14ac:dyDescent="0.35">
      <c r="A106" s="50">
        <v>105</v>
      </c>
      <c r="B106" s="73" t="s">
        <v>158</v>
      </c>
      <c r="C106" s="73" t="s">
        <v>1357</v>
      </c>
      <c r="D106" s="75" t="str">
        <f t="shared" si="1"/>
        <v>2026-01-04</v>
      </c>
      <c r="E106" s="75" t="s">
        <v>1358</v>
      </c>
      <c r="F106" s="73" t="s">
        <v>1359</v>
      </c>
      <c r="G106" s="73" t="s">
        <v>589</v>
      </c>
      <c r="H106" s="83">
        <v>3</v>
      </c>
    </row>
    <row r="107" spans="1:8" x14ac:dyDescent="0.35">
      <c r="A107" s="50">
        <v>106</v>
      </c>
      <c r="B107" s="73" t="s">
        <v>230</v>
      </c>
      <c r="C107" s="73" t="s">
        <v>1360</v>
      </c>
      <c r="D107" s="75" t="str">
        <f t="shared" si="1"/>
        <v>2026-01-04</v>
      </c>
      <c r="E107" s="75" t="s">
        <v>1361</v>
      </c>
      <c r="F107" s="73" t="s">
        <v>1362</v>
      </c>
      <c r="G107" s="73" t="s">
        <v>1363</v>
      </c>
      <c r="H107" s="83">
        <v>3</v>
      </c>
    </row>
    <row r="108" spans="1:8" x14ac:dyDescent="0.35">
      <c r="A108" s="50">
        <v>107</v>
      </c>
      <c r="B108" s="73" t="s">
        <v>83</v>
      </c>
      <c r="C108" s="73" t="s">
        <v>1364</v>
      </c>
      <c r="D108" s="75" t="str">
        <f t="shared" si="1"/>
        <v>2026-01-04</v>
      </c>
      <c r="E108" s="75" t="s">
        <v>1365</v>
      </c>
      <c r="F108" s="73" t="s">
        <v>1366</v>
      </c>
      <c r="G108" s="73" t="s">
        <v>611</v>
      </c>
      <c r="H108" s="83">
        <v>3</v>
      </c>
    </row>
    <row r="109" spans="1:8" x14ac:dyDescent="0.35">
      <c r="A109" s="50">
        <v>108</v>
      </c>
      <c r="B109" s="73" t="s">
        <v>623</v>
      </c>
      <c r="C109" s="73" t="s">
        <v>1367</v>
      </c>
      <c r="D109" s="75" t="str">
        <f t="shared" si="1"/>
        <v>2026-01-04</v>
      </c>
      <c r="E109" s="75" t="s">
        <v>1368</v>
      </c>
      <c r="F109" s="73" t="s">
        <v>1369</v>
      </c>
      <c r="G109" s="73" t="s">
        <v>112</v>
      </c>
      <c r="H109" s="83">
        <v>3</v>
      </c>
    </row>
    <row r="110" spans="1:8" x14ac:dyDescent="0.35">
      <c r="A110" s="50">
        <v>109</v>
      </c>
      <c r="B110" s="73" t="s">
        <v>166</v>
      </c>
      <c r="C110" s="73" t="s">
        <v>1370</v>
      </c>
      <c r="D110" s="75" t="str">
        <f t="shared" si="1"/>
        <v>2026-01-04</v>
      </c>
      <c r="E110" s="75" t="s">
        <v>1371</v>
      </c>
      <c r="F110" s="73" t="s">
        <v>1372</v>
      </c>
      <c r="G110" s="73" t="s">
        <v>1373</v>
      </c>
      <c r="H110" s="83">
        <v>3</v>
      </c>
    </row>
    <row r="111" spans="1:8" x14ac:dyDescent="0.35">
      <c r="A111" s="50">
        <v>110</v>
      </c>
      <c r="B111" s="73" t="s">
        <v>292</v>
      </c>
      <c r="C111" s="73" t="s">
        <v>1374</v>
      </c>
      <c r="D111" s="75" t="str">
        <f t="shared" si="1"/>
        <v>2026-01-04</v>
      </c>
      <c r="E111" s="75" t="s">
        <v>1375</v>
      </c>
      <c r="F111" s="73" t="s">
        <v>1376</v>
      </c>
      <c r="G111" s="73" t="s">
        <v>1377</v>
      </c>
      <c r="H111" s="83">
        <v>3</v>
      </c>
    </row>
    <row r="112" spans="1:8" x14ac:dyDescent="0.35">
      <c r="A112" s="50">
        <v>111</v>
      </c>
      <c r="B112" s="73" t="s">
        <v>616</v>
      </c>
      <c r="C112" s="73" t="s">
        <v>1378</v>
      </c>
      <c r="D112" s="75" t="str">
        <f t="shared" si="1"/>
        <v>2026-01-04</v>
      </c>
      <c r="E112" s="75" t="s">
        <v>1379</v>
      </c>
      <c r="F112" s="73" t="s">
        <v>1380</v>
      </c>
      <c r="G112" s="73" t="s">
        <v>146</v>
      </c>
      <c r="H112" s="83">
        <v>6</v>
      </c>
    </row>
    <row r="113" spans="1:8" x14ac:dyDescent="0.35">
      <c r="A113" s="50">
        <v>112</v>
      </c>
      <c r="B113" s="73" t="s">
        <v>274</v>
      </c>
      <c r="C113" s="73" t="s">
        <v>1381</v>
      </c>
      <c r="D113" s="75" t="str">
        <f t="shared" si="1"/>
        <v>2026-01-04</v>
      </c>
      <c r="E113" s="75" t="s">
        <v>1382</v>
      </c>
      <c r="F113" s="73" t="s">
        <v>1383</v>
      </c>
      <c r="G113" s="73" t="s">
        <v>1384</v>
      </c>
      <c r="H113" s="83">
        <v>3</v>
      </c>
    </row>
    <row r="114" spans="1:8" x14ac:dyDescent="0.35">
      <c r="A114" s="50">
        <v>113</v>
      </c>
      <c r="B114" s="73" t="s">
        <v>429</v>
      </c>
      <c r="C114" s="73" t="s">
        <v>1385</v>
      </c>
      <c r="D114" s="75" t="str">
        <f t="shared" si="1"/>
        <v>2026-01-04</v>
      </c>
      <c r="E114" s="75" t="s">
        <v>1368</v>
      </c>
      <c r="F114" s="73" t="s">
        <v>1386</v>
      </c>
      <c r="G114" s="73" t="s">
        <v>491</v>
      </c>
      <c r="H114" s="83">
        <v>4</v>
      </c>
    </row>
    <row r="115" spans="1:8" x14ac:dyDescent="0.35">
      <c r="A115" s="50">
        <v>114</v>
      </c>
      <c r="B115" s="73" t="s">
        <v>244</v>
      </c>
      <c r="C115" s="73" t="s">
        <v>1387</v>
      </c>
      <c r="D115" s="75" t="str">
        <f t="shared" si="1"/>
        <v>2026-01-04</v>
      </c>
      <c r="E115" s="75" t="s">
        <v>1388</v>
      </c>
      <c r="F115" s="73" t="s">
        <v>1389</v>
      </c>
      <c r="G115" s="73" t="s">
        <v>1390</v>
      </c>
      <c r="H115" s="83">
        <v>3</v>
      </c>
    </row>
    <row r="116" spans="1:8" x14ac:dyDescent="0.35">
      <c r="A116" s="50">
        <v>115</v>
      </c>
      <c r="B116" s="73" t="s">
        <v>262</v>
      </c>
      <c r="C116" s="73" t="s">
        <v>1391</v>
      </c>
      <c r="D116" s="75" t="str">
        <f t="shared" si="1"/>
        <v>2026-01-04</v>
      </c>
      <c r="E116" s="75" t="s">
        <v>1392</v>
      </c>
      <c r="F116" s="73" t="s">
        <v>1393</v>
      </c>
      <c r="G116" s="73" t="s">
        <v>1394</v>
      </c>
      <c r="H116" s="83">
        <v>3</v>
      </c>
    </row>
    <row r="117" spans="1:8" x14ac:dyDescent="0.35">
      <c r="A117" s="50">
        <v>116</v>
      </c>
      <c r="B117" s="73" t="s">
        <v>288</v>
      </c>
      <c r="C117" s="73" t="s">
        <v>1395</v>
      </c>
      <c r="D117" s="75" t="str">
        <f t="shared" si="1"/>
        <v>2026-01-04</v>
      </c>
      <c r="E117" s="75" t="s">
        <v>1396</v>
      </c>
      <c r="F117" s="73" t="s">
        <v>1397</v>
      </c>
      <c r="G117" s="73" t="s">
        <v>145</v>
      </c>
      <c r="H117" s="83">
        <v>5</v>
      </c>
    </row>
    <row r="118" spans="1:8" x14ac:dyDescent="0.35">
      <c r="A118" s="50">
        <v>117</v>
      </c>
      <c r="B118" s="73" t="s">
        <v>84</v>
      </c>
      <c r="C118" s="73" t="s">
        <v>1398</v>
      </c>
      <c r="D118" s="75" t="str">
        <f t="shared" si="1"/>
        <v>2026-01-04</v>
      </c>
      <c r="E118" s="75" t="s">
        <v>1399</v>
      </c>
      <c r="F118" s="73" t="s">
        <v>1400</v>
      </c>
      <c r="G118" s="73" t="s">
        <v>1401</v>
      </c>
      <c r="H118" s="83">
        <v>3</v>
      </c>
    </row>
    <row r="119" spans="1:8" x14ac:dyDescent="0.35">
      <c r="A119" s="50">
        <v>118</v>
      </c>
      <c r="B119" s="73" t="s">
        <v>140</v>
      </c>
      <c r="C119" s="73" t="s">
        <v>1402</v>
      </c>
      <c r="D119" s="75" t="str">
        <f t="shared" si="1"/>
        <v>2026-01-04</v>
      </c>
      <c r="E119" s="75" t="s">
        <v>1403</v>
      </c>
      <c r="F119" s="73" t="s">
        <v>1404</v>
      </c>
      <c r="G119" s="73" t="s">
        <v>149</v>
      </c>
      <c r="H119" s="83">
        <v>3</v>
      </c>
    </row>
    <row r="120" spans="1:8" x14ac:dyDescent="0.35">
      <c r="A120" s="50">
        <v>119</v>
      </c>
      <c r="B120" s="73" t="s">
        <v>264</v>
      </c>
      <c r="C120" s="73" t="s">
        <v>1405</v>
      </c>
      <c r="D120" s="75" t="str">
        <f t="shared" si="1"/>
        <v>2026-01-04</v>
      </c>
      <c r="E120" s="75" t="s">
        <v>1406</v>
      </c>
      <c r="F120" s="73" t="s">
        <v>1407</v>
      </c>
      <c r="G120" s="73" t="s">
        <v>119</v>
      </c>
      <c r="H120" s="83">
        <v>5</v>
      </c>
    </row>
    <row r="121" spans="1:8" s="82" customFormat="1" x14ac:dyDescent="0.35">
      <c r="A121" s="50">
        <v>120</v>
      </c>
      <c r="B121" s="73" t="s">
        <v>147</v>
      </c>
      <c r="C121" s="73" t="s">
        <v>1408</v>
      </c>
      <c r="D121" s="75" t="str">
        <f t="shared" si="1"/>
        <v>2026-01-04</v>
      </c>
      <c r="E121" s="75" t="s">
        <v>1409</v>
      </c>
      <c r="F121" s="73" t="s">
        <v>1410</v>
      </c>
      <c r="G121" s="73" t="s">
        <v>1411</v>
      </c>
      <c r="H121" s="83">
        <v>4</v>
      </c>
    </row>
    <row r="122" spans="1:8" s="82" customFormat="1" x14ac:dyDescent="0.35">
      <c r="A122" s="50">
        <v>121</v>
      </c>
      <c r="B122" s="73" t="s">
        <v>488</v>
      </c>
      <c r="C122" s="73" t="s">
        <v>1412</v>
      </c>
      <c r="D122" s="75" t="str">
        <f t="shared" si="1"/>
        <v>2026-01-04</v>
      </c>
      <c r="E122" s="75" t="s">
        <v>1413</v>
      </c>
      <c r="F122" s="73" t="s">
        <v>1414</v>
      </c>
      <c r="G122" s="73" t="s">
        <v>138</v>
      </c>
      <c r="H122" s="83">
        <v>5</v>
      </c>
    </row>
    <row r="123" spans="1:8" s="82" customFormat="1" x14ac:dyDescent="0.35">
      <c r="A123" s="50">
        <v>122</v>
      </c>
      <c r="B123" s="73" t="s">
        <v>265</v>
      </c>
      <c r="C123" s="73" t="s">
        <v>1415</v>
      </c>
      <c r="D123" s="75" t="str">
        <f t="shared" si="1"/>
        <v>2026-01-04</v>
      </c>
      <c r="E123" s="75" t="s">
        <v>1416</v>
      </c>
      <c r="F123" s="73" t="s">
        <v>1417</v>
      </c>
      <c r="G123" s="73" t="s">
        <v>120</v>
      </c>
      <c r="H123" s="83">
        <v>3</v>
      </c>
    </row>
    <row r="124" spans="1:8" s="82" customFormat="1" x14ac:dyDescent="0.35">
      <c r="A124" s="50">
        <v>123</v>
      </c>
      <c r="B124" s="73" t="s">
        <v>199</v>
      </c>
      <c r="C124" s="73" t="s">
        <v>1455</v>
      </c>
      <c r="D124" s="75" t="str">
        <f t="shared" si="1"/>
        <v>2026-01-05</v>
      </c>
      <c r="E124" s="75" t="s">
        <v>1456</v>
      </c>
      <c r="F124" s="84" t="s">
        <v>1532</v>
      </c>
      <c r="G124" s="73" t="s">
        <v>187</v>
      </c>
      <c r="H124" s="83">
        <v>5</v>
      </c>
    </row>
    <row r="125" spans="1:8" s="82" customFormat="1" x14ac:dyDescent="0.35">
      <c r="A125" s="50">
        <v>124</v>
      </c>
      <c r="B125" s="73" t="s">
        <v>1457</v>
      </c>
      <c r="C125" s="73" t="s">
        <v>1458</v>
      </c>
      <c r="D125" s="75" t="str">
        <f t="shared" si="1"/>
        <v>2026-01-05</v>
      </c>
      <c r="E125" s="75" t="s">
        <v>1459</v>
      </c>
      <c r="F125" s="84" t="s">
        <v>1533</v>
      </c>
      <c r="G125" s="73" t="s">
        <v>1460</v>
      </c>
      <c r="H125" s="83">
        <v>3</v>
      </c>
    </row>
    <row r="126" spans="1:8" s="82" customFormat="1" x14ac:dyDescent="0.35">
      <c r="A126" s="50">
        <v>125</v>
      </c>
      <c r="B126" s="73" t="s">
        <v>427</v>
      </c>
      <c r="C126" s="73" t="s">
        <v>1461</v>
      </c>
      <c r="D126" s="75" t="str">
        <f t="shared" si="1"/>
        <v>2026-01-05</v>
      </c>
      <c r="E126" s="75" t="s">
        <v>1462</v>
      </c>
      <c r="F126" s="84" t="s">
        <v>1534</v>
      </c>
      <c r="G126" s="73" t="s">
        <v>152</v>
      </c>
      <c r="H126" s="83">
        <v>3</v>
      </c>
    </row>
    <row r="127" spans="1:8" s="82" customFormat="1" x14ac:dyDescent="0.35">
      <c r="A127" s="50">
        <v>126</v>
      </c>
      <c r="B127" s="73" t="s">
        <v>82</v>
      </c>
      <c r="C127" s="73" t="s">
        <v>1463</v>
      </c>
      <c r="D127" s="75" t="str">
        <f t="shared" si="1"/>
        <v>2026-01-05</v>
      </c>
      <c r="E127" s="75" t="s">
        <v>1464</v>
      </c>
      <c r="F127" s="84" t="s">
        <v>1535</v>
      </c>
      <c r="G127" s="73" t="s">
        <v>1465</v>
      </c>
      <c r="H127" s="83">
        <v>3</v>
      </c>
    </row>
    <row r="128" spans="1:8" s="82" customFormat="1" x14ac:dyDescent="0.35">
      <c r="A128" s="50">
        <v>127</v>
      </c>
      <c r="B128" s="73" t="s">
        <v>255</v>
      </c>
      <c r="C128" s="73" t="s">
        <v>1466</v>
      </c>
      <c r="D128" s="75" t="str">
        <f t="shared" si="1"/>
        <v>2026-01-05</v>
      </c>
      <c r="E128" s="75" t="s">
        <v>1467</v>
      </c>
      <c r="F128" s="84" t="s">
        <v>1536</v>
      </c>
      <c r="G128" s="73" t="s">
        <v>498</v>
      </c>
      <c r="H128" s="83">
        <v>5</v>
      </c>
    </row>
    <row r="129" spans="1:8" s="82" customFormat="1" x14ac:dyDescent="0.35">
      <c r="A129" s="50">
        <v>128</v>
      </c>
      <c r="B129" s="73" t="s">
        <v>191</v>
      </c>
      <c r="C129" s="73" t="s">
        <v>1468</v>
      </c>
      <c r="D129" s="75" t="str">
        <f t="shared" si="1"/>
        <v>2026-01-05</v>
      </c>
      <c r="E129" s="75" t="s">
        <v>1469</v>
      </c>
      <c r="F129" s="84" t="s">
        <v>1537</v>
      </c>
      <c r="G129" s="73" t="s">
        <v>1470</v>
      </c>
      <c r="H129" s="83">
        <v>5</v>
      </c>
    </row>
    <row r="130" spans="1:8" s="82" customFormat="1" x14ac:dyDescent="0.35">
      <c r="A130" s="50">
        <v>129</v>
      </c>
      <c r="B130" s="73" t="s">
        <v>80</v>
      </c>
      <c r="C130" s="73" t="s">
        <v>1471</v>
      </c>
      <c r="D130" s="75" t="str">
        <f t="shared" ref="D130:D193" si="2">LEFT(C:C,10)</f>
        <v>2026-01-05</v>
      </c>
      <c r="E130" s="75" t="s">
        <v>1472</v>
      </c>
      <c r="F130" s="84" t="s">
        <v>1538</v>
      </c>
      <c r="G130" s="73" t="s">
        <v>110</v>
      </c>
      <c r="H130" s="83">
        <v>3</v>
      </c>
    </row>
    <row r="131" spans="1:8" s="82" customFormat="1" x14ac:dyDescent="0.35">
      <c r="A131" s="50">
        <v>130</v>
      </c>
      <c r="B131" s="73" t="s">
        <v>204</v>
      </c>
      <c r="C131" s="73" t="s">
        <v>1473</v>
      </c>
      <c r="D131" s="75" t="str">
        <f t="shared" si="2"/>
        <v>2026-01-05</v>
      </c>
      <c r="E131" s="75" t="s">
        <v>1474</v>
      </c>
      <c r="F131" s="84" t="s">
        <v>1539</v>
      </c>
      <c r="G131" s="73" t="s">
        <v>1475</v>
      </c>
      <c r="H131" s="83">
        <v>3</v>
      </c>
    </row>
    <row r="132" spans="1:8" s="82" customFormat="1" x14ac:dyDescent="0.35">
      <c r="A132" s="50">
        <v>131</v>
      </c>
      <c r="B132" s="73" t="s">
        <v>436</v>
      </c>
      <c r="C132" s="73" t="s">
        <v>1476</v>
      </c>
      <c r="D132" s="75" t="str">
        <f t="shared" si="2"/>
        <v>2026-01-05</v>
      </c>
      <c r="E132" s="75" t="s">
        <v>1477</v>
      </c>
      <c r="F132" s="84" t="s">
        <v>1540</v>
      </c>
      <c r="G132" s="73" t="s">
        <v>1478</v>
      </c>
      <c r="H132" s="83">
        <v>3</v>
      </c>
    </row>
    <row r="133" spans="1:8" s="82" customFormat="1" x14ac:dyDescent="0.35">
      <c r="A133" s="50">
        <v>132</v>
      </c>
      <c r="B133" s="73" t="s">
        <v>428</v>
      </c>
      <c r="C133" s="73" t="s">
        <v>1479</v>
      </c>
      <c r="D133" s="75" t="str">
        <f t="shared" si="2"/>
        <v>2026-01-05</v>
      </c>
      <c r="E133" s="75" t="s">
        <v>1480</v>
      </c>
      <c r="F133" s="84" t="s">
        <v>1541</v>
      </c>
      <c r="G133" s="73" t="s">
        <v>1481</v>
      </c>
      <c r="H133" s="83">
        <v>4</v>
      </c>
    </row>
    <row r="134" spans="1:8" s="82" customFormat="1" x14ac:dyDescent="0.35">
      <c r="A134" s="50">
        <v>133</v>
      </c>
      <c r="B134" s="73" t="s">
        <v>232</v>
      </c>
      <c r="C134" s="73" t="s">
        <v>1482</v>
      </c>
      <c r="D134" s="75" t="str">
        <f t="shared" si="2"/>
        <v>2026-01-05</v>
      </c>
      <c r="E134" s="75" t="s">
        <v>1483</v>
      </c>
      <c r="F134" s="84" t="s">
        <v>1542</v>
      </c>
      <c r="G134" s="73" t="s">
        <v>1484</v>
      </c>
      <c r="H134" s="83">
        <v>3</v>
      </c>
    </row>
    <row r="135" spans="1:8" s="82" customFormat="1" x14ac:dyDescent="0.35">
      <c r="A135" s="50">
        <v>134</v>
      </c>
      <c r="B135" s="73" t="s">
        <v>465</v>
      </c>
      <c r="C135" s="73" t="s">
        <v>1485</v>
      </c>
      <c r="D135" s="75" t="str">
        <f t="shared" si="2"/>
        <v>2026-01-05</v>
      </c>
      <c r="E135" s="75" t="s">
        <v>1486</v>
      </c>
      <c r="F135" s="84" t="s">
        <v>1543</v>
      </c>
      <c r="G135" s="73" t="s">
        <v>1487</v>
      </c>
      <c r="H135" s="83">
        <v>3</v>
      </c>
    </row>
    <row r="136" spans="1:8" s="82" customFormat="1" x14ac:dyDescent="0.35">
      <c r="A136" s="50">
        <v>135</v>
      </c>
      <c r="B136" s="73" t="s">
        <v>500</v>
      </c>
      <c r="C136" s="73" t="s">
        <v>1488</v>
      </c>
      <c r="D136" s="75" t="str">
        <f t="shared" si="2"/>
        <v>2026-01-05</v>
      </c>
      <c r="E136" s="75" t="s">
        <v>1489</v>
      </c>
      <c r="F136" s="84" t="s">
        <v>1544</v>
      </c>
      <c r="G136" s="73" t="s">
        <v>1490</v>
      </c>
      <c r="H136" s="83">
        <v>5</v>
      </c>
    </row>
    <row r="137" spans="1:8" s="82" customFormat="1" x14ac:dyDescent="0.35">
      <c r="A137" s="50">
        <v>136</v>
      </c>
      <c r="B137" s="73" t="s">
        <v>273</v>
      </c>
      <c r="C137" s="73" t="s">
        <v>1491</v>
      </c>
      <c r="D137" s="75" t="str">
        <f t="shared" si="2"/>
        <v>2026-01-05</v>
      </c>
      <c r="E137" s="75" t="s">
        <v>1469</v>
      </c>
      <c r="F137" s="84" t="s">
        <v>1545</v>
      </c>
      <c r="G137" s="73" t="s">
        <v>1492</v>
      </c>
      <c r="H137" s="83">
        <v>4</v>
      </c>
    </row>
    <row r="138" spans="1:8" s="82" customFormat="1" x14ac:dyDescent="0.35">
      <c r="A138" s="50">
        <v>137</v>
      </c>
      <c r="B138" s="73" t="s">
        <v>256</v>
      </c>
      <c r="C138" s="73" t="s">
        <v>1493</v>
      </c>
      <c r="D138" s="75" t="str">
        <f t="shared" si="2"/>
        <v>2026-01-05</v>
      </c>
      <c r="E138" s="75" t="s">
        <v>1494</v>
      </c>
      <c r="F138" s="84" t="s">
        <v>1546</v>
      </c>
      <c r="G138" s="73" t="s">
        <v>120</v>
      </c>
      <c r="H138" s="83">
        <v>3</v>
      </c>
    </row>
    <row r="139" spans="1:8" s="82" customFormat="1" x14ac:dyDescent="0.35">
      <c r="A139" s="50">
        <v>138</v>
      </c>
      <c r="B139" s="73" t="s">
        <v>603</v>
      </c>
      <c r="C139" s="73" t="s">
        <v>1473</v>
      </c>
      <c r="D139" s="75" t="str">
        <f t="shared" si="2"/>
        <v>2026-01-05</v>
      </c>
      <c r="E139" s="75" t="s">
        <v>1474</v>
      </c>
      <c r="F139" s="84" t="s">
        <v>1547</v>
      </c>
      <c r="G139" s="73" t="s">
        <v>1495</v>
      </c>
      <c r="H139" s="83">
        <v>3</v>
      </c>
    </row>
    <row r="140" spans="1:8" s="82" customFormat="1" x14ac:dyDescent="0.35">
      <c r="A140" s="50">
        <v>139</v>
      </c>
      <c r="B140" s="73" t="s">
        <v>134</v>
      </c>
      <c r="C140" s="73" t="s">
        <v>1496</v>
      </c>
      <c r="D140" s="75" t="str">
        <f t="shared" si="2"/>
        <v>2026-01-05</v>
      </c>
      <c r="E140" s="75" t="s">
        <v>1497</v>
      </c>
      <c r="F140" s="84" t="s">
        <v>1548</v>
      </c>
      <c r="G140" s="73" t="s">
        <v>786</v>
      </c>
      <c r="H140" s="83">
        <v>3</v>
      </c>
    </row>
    <row r="141" spans="1:8" s="82" customFormat="1" x14ac:dyDescent="0.35">
      <c r="A141" s="50">
        <v>140</v>
      </c>
      <c r="B141" s="73" t="s">
        <v>616</v>
      </c>
      <c r="C141" s="73" t="s">
        <v>1498</v>
      </c>
      <c r="D141" s="75" t="str">
        <f t="shared" si="2"/>
        <v>2026-01-05</v>
      </c>
      <c r="E141" s="75" t="s">
        <v>1499</v>
      </c>
      <c r="F141" s="84" t="s">
        <v>1549</v>
      </c>
      <c r="G141" s="73" t="s">
        <v>493</v>
      </c>
      <c r="H141" s="83">
        <v>4</v>
      </c>
    </row>
    <row r="142" spans="1:8" s="82" customFormat="1" x14ac:dyDescent="0.35">
      <c r="A142" s="50">
        <v>141</v>
      </c>
      <c r="B142" s="73" t="s">
        <v>274</v>
      </c>
      <c r="C142" s="73" t="s">
        <v>1500</v>
      </c>
      <c r="D142" s="75" t="str">
        <f t="shared" si="2"/>
        <v>2026-01-05</v>
      </c>
      <c r="E142" s="75" t="s">
        <v>1501</v>
      </c>
      <c r="F142" s="84" t="s">
        <v>1550</v>
      </c>
      <c r="G142" s="73" t="s">
        <v>116</v>
      </c>
      <c r="H142" s="83">
        <v>3</v>
      </c>
    </row>
    <row r="143" spans="1:8" s="82" customFormat="1" x14ac:dyDescent="0.35">
      <c r="A143" s="50">
        <v>142</v>
      </c>
      <c r="B143" s="73" t="s">
        <v>163</v>
      </c>
      <c r="C143" s="73" t="s">
        <v>1502</v>
      </c>
      <c r="D143" s="75" t="str">
        <f t="shared" si="2"/>
        <v>2026-01-05</v>
      </c>
      <c r="E143" s="75" t="s">
        <v>1503</v>
      </c>
      <c r="F143" s="84" t="s">
        <v>1551</v>
      </c>
      <c r="G143" s="73" t="s">
        <v>269</v>
      </c>
      <c r="H143" s="83">
        <v>3</v>
      </c>
    </row>
    <row r="144" spans="1:8" s="82" customFormat="1" x14ac:dyDescent="0.35">
      <c r="A144" s="50">
        <v>143</v>
      </c>
      <c r="B144" s="73" t="s">
        <v>280</v>
      </c>
      <c r="C144" s="73" t="s">
        <v>1504</v>
      </c>
      <c r="D144" s="75" t="str">
        <f t="shared" si="2"/>
        <v>2026-01-05</v>
      </c>
      <c r="E144" s="75" t="s">
        <v>1505</v>
      </c>
      <c r="F144" s="84" t="s">
        <v>1552</v>
      </c>
      <c r="G144" s="73" t="s">
        <v>1506</v>
      </c>
      <c r="H144" s="83">
        <v>3</v>
      </c>
    </row>
    <row r="145" spans="1:8" s="82" customFormat="1" x14ac:dyDescent="0.35">
      <c r="A145" s="50">
        <v>144</v>
      </c>
      <c r="B145" s="73" t="s">
        <v>275</v>
      </c>
      <c r="C145" s="73" t="s">
        <v>1507</v>
      </c>
      <c r="D145" s="75" t="str">
        <f t="shared" si="2"/>
        <v>2026-01-05</v>
      </c>
      <c r="E145" s="75" t="s">
        <v>1508</v>
      </c>
      <c r="F145" s="84" t="s">
        <v>1553</v>
      </c>
      <c r="G145" s="73" t="s">
        <v>1487</v>
      </c>
      <c r="H145" s="83">
        <v>3</v>
      </c>
    </row>
    <row r="146" spans="1:8" s="82" customFormat="1" x14ac:dyDescent="0.35">
      <c r="A146" s="50">
        <v>145</v>
      </c>
      <c r="B146" s="73" t="s">
        <v>97</v>
      </c>
      <c r="C146" s="73" t="s">
        <v>1509</v>
      </c>
      <c r="D146" s="75" t="str">
        <f t="shared" si="2"/>
        <v>2026-01-05</v>
      </c>
      <c r="E146" s="75" t="s">
        <v>1510</v>
      </c>
      <c r="F146" s="84" t="s">
        <v>1554</v>
      </c>
      <c r="G146" s="73" t="s">
        <v>1511</v>
      </c>
      <c r="H146" s="83">
        <v>3</v>
      </c>
    </row>
    <row r="147" spans="1:8" s="82" customFormat="1" x14ac:dyDescent="0.35">
      <c r="A147" s="50">
        <v>146</v>
      </c>
      <c r="B147" s="73" t="s">
        <v>186</v>
      </c>
      <c r="C147" s="73" t="s">
        <v>1512</v>
      </c>
      <c r="D147" s="75" t="str">
        <f t="shared" si="2"/>
        <v>2026-01-05</v>
      </c>
      <c r="E147" s="75" t="s">
        <v>1513</v>
      </c>
      <c r="F147" s="84" t="s">
        <v>1555</v>
      </c>
      <c r="G147" s="73" t="s">
        <v>1514</v>
      </c>
      <c r="H147" s="83">
        <v>3</v>
      </c>
    </row>
    <row r="148" spans="1:8" s="82" customFormat="1" x14ac:dyDescent="0.35">
      <c r="A148" s="50">
        <v>147</v>
      </c>
      <c r="B148" s="73" t="s">
        <v>288</v>
      </c>
      <c r="C148" s="73" t="s">
        <v>1515</v>
      </c>
      <c r="D148" s="75" t="str">
        <f t="shared" si="2"/>
        <v>2026-01-05</v>
      </c>
      <c r="E148" s="75" t="s">
        <v>1516</v>
      </c>
      <c r="F148" s="84" t="s">
        <v>1556</v>
      </c>
      <c r="G148" s="73" t="s">
        <v>1517</v>
      </c>
      <c r="H148" s="83">
        <v>3</v>
      </c>
    </row>
    <row r="149" spans="1:8" s="82" customFormat="1" x14ac:dyDescent="0.35">
      <c r="A149" s="50">
        <v>148</v>
      </c>
      <c r="B149" s="73" t="s">
        <v>208</v>
      </c>
      <c r="C149" s="73" t="s">
        <v>1518</v>
      </c>
      <c r="D149" s="75" t="str">
        <f t="shared" si="2"/>
        <v>2026-01-05</v>
      </c>
      <c r="E149" s="75" t="s">
        <v>1519</v>
      </c>
      <c r="F149" s="84" t="s">
        <v>1557</v>
      </c>
      <c r="G149" s="73" t="s">
        <v>1475</v>
      </c>
      <c r="H149" s="83">
        <v>4</v>
      </c>
    </row>
    <row r="150" spans="1:8" s="82" customFormat="1" x14ac:dyDescent="0.35">
      <c r="A150" s="50">
        <v>149</v>
      </c>
      <c r="B150" s="73" t="s">
        <v>84</v>
      </c>
      <c r="C150" s="73" t="s">
        <v>1520</v>
      </c>
      <c r="D150" s="75" t="str">
        <f t="shared" si="2"/>
        <v>2026-01-05</v>
      </c>
      <c r="E150" s="75" t="s">
        <v>1521</v>
      </c>
      <c r="F150" s="84" t="s">
        <v>1558</v>
      </c>
      <c r="G150" s="73" t="s">
        <v>1522</v>
      </c>
      <c r="H150" s="83">
        <v>3</v>
      </c>
    </row>
    <row r="151" spans="1:8" s="82" customFormat="1" x14ac:dyDescent="0.35">
      <c r="A151" s="50">
        <v>150</v>
      </c>
      <c r="B151" s="73" t="s">
        <v>211</v>
      </c>
      <c r="C151" s="73" t="s">
        <v>1523</v>
      </c>
      <c r="D151" s="75" t="str">
        <f t="shared" si="2"/>
        <v>2026-01-05</v>
      </c>
      <c r="E151" s="75" t="s">
        <v>1524</v>
      </c>
      <c r="F151" s="84" t="s">
        <v>1559</v>
      </c>
      <c r="G151" s="73" t="s">
        <v>1006</v>
      </c>
      <c r="H151" s="83">
        <v>4</v>
      </c>
    </row>
    <row r="152" spans="1:8" s="82" customFormat="1" x14ac:dyDescent="0.35">
      <c r="A152" s="50">
        <v>151</v>
      </c>
      <c r="B152" s="73" t="s">
        <v>209</v>
      </c>
      <c r="C152" s="73" t="s">
        <v>1525</v>
      </c>
      <c r="D152" s="75" t="str">
        <f t="shared" si="2"/>
        <v>2026-01-05</v>
      </c>
      <c r="E152" s="75" t="s">
        <v>1526</v>
      </c>
      <c r="F152" s="84" t="s">
        <v>1560</v>
      </c>
      <c r="G152" s="73" t="s">
        <v>269</v>
      </c>
      <c r="H152" s="83">
        <v>3</v>
      </c>
    </row>
    <row r="153" spans="1:8" s="82" customFormat="1" x14ac:dyDescent="0.35">
      <c r="A153" s="50">
        <v>152</v>
      </c>
      <c r="B153" s="73" t="s">
        <v>142</v>
      </c>
      <c r="C153" s="73" t="s">
        <v>1527</v>
      </c>
      <c r="D153" s="75" t="str">
        <f t="shared" si="2"/>
        <v>2026-01-05</v>
      </c>
      <c r="E153" s="75" t="s">
        <v>1528</v>
      </c>
      <c r="F153" s="84" t="s">
        <v>1561</v>
      </c>
      <c r="G153" s="73" t="s">
        <v>1529</v>
      </c>
      <c r="H153" s="83">
        <v>3</v>
      </c>
    </row>
    <row r="154" spans="1:8" s="82" customFormat="1" x14ac:dyDescent="0.35">
      <c r="A154" s="50">
        <v>153</v>
      </c>
      <c r="B154" s="73" t="s">
        <v>70</v>
      </c>
      <c r="C154" s="73" t="s">
        <v>1530</v>
      </c>
      <c r="D154" s="75" t="str">
        <f t="shared" si="2"/>
        <v>2026-01-05</v>
      </c>
      <c r="E154" s="75" t="s">
        <v>1531</v>
      </c>
      <c r="F154" s="84" t="s">
        <v>1562</v>
      </c>
      <c r="G154" s="73" t="s">
        <v>998</v>
      </c>
      <c r="H154" s="83">
        <v>3</v>
      </c>
    </row>
    <row r="155" spans="1:8" s="82" customFormat="1" x14ac:dyDescent="0.35">
      <c r="A155" s="50">
        <v>154</v>
      </c>
      <c r="B155" s="73" t="s">
        <v>55</v>
      </c>
      <c r="C155" s="73" t="s">
        <v>1602</v>
      </c>
      <c r="D155" s="75" t="str">
        <f t="shared" si="2"/>
        <v>2026-01-06</v>
      </c>
      <c r="E155" s="75" t="s">
        <v>1603</v>
      </c>
      <c r="F155" s="73" t="s">
        <v>1604</v>
      </c>
      <c r="G155" s="73" t="s">
        <v>1605</v>
      </c>
      <c r="H155" s="83">
        <v>3</v>
      </c>
    </row>
    <row r="156" spans="1:8" s="82" customFormat="1" x14ac:dyDescent="0.35">
      <c r="A156" s="50">
        <v>155</v>
      </c>
      <c r="B156" s="73" t="s">
        <v>160</v>
      </c>
      <c r="C156" s="73" t="s">
        <v>1606</v>
      </c>
      <c r="D156" s="75" t="str">
        <f t="shared" si="2"/>
        <v>2026-01-06</v>
      </c>
      <c r="E156" s="75" t="s">
        <v>1607</v>
      </c>
      <c r="F156" s="73" t="s">
        <v>1608</v>
      </c>
      <c r="G156" s="73" t="s">
        <v>1609</v>
      </c>
      <c r="H156" s="83">
        <v>3</v>
      </c>
    </row>
    <row r="157" spans="1:8" s="82" customFormat="1" x14ac:dyDescent="0.35">
      <c r="A157" s="50">
        <v>156</v>
      </c>
      <c r="B157" s="73" t="s">
        <v>176</v>
      </c>
      <c r="C157" s="73" t="s">
        <v>1610</v>
      </c>
      <c r="D157" s="75" t="str">
        <f t="shared" si="2"/>
        <v>2026-01-06</v>
      </c>
      <c r="E157" s="75" t="s">
        <v>1611</v>
      </c>
      <c r="F157" s="73" t="s">
        <v>1612</v>
      </c>
      <c r="G157" s="73" t="s">
        <v>144</v>
      </c>
      <c r="H157" s="83">
        <v>3</v>
      </c>
    </row>
    <row r="158" spans="1:8" s="82" customFormat="1" x14ac:dyDescent="0.35">
      <c r="A158" s="50">
        <v>157</v>
      </c>
      <c r="B158" s="73" t="s">
        <v>82</v>
      </c>
      <c r="C158" s="73" t="s">
        <v>1613</v>
      </c>
      <c r="D158" s="75" t="str">
        <f t="shared" si="2"/>
        <v>2026-01-06</v>
      </c>
      <c r="E158" s="75" t="s">
        <v>1614</v>
      </c>
      <c r="F158" s="73" t="s">
        <v>1615</v>
      </c>
      <c r="G158" s="73" t="s">
        <v>1616</v>
      </c>
      <c r="H158" s="83">
        <v>3</v>
      </c>
    </row>
    <row r="159" spans="1:8" s="82" customFormat="1" x14ac:dyDescent="0.35">
      <c r="A159" s="50">
        <v>158</v>
      </c>
      <c r="B159" s="73" t="s">
        <v>215</v>
      </c>
      <c r="C159" s="73" t="s">
        <v>1617</v>
      </c>
      <c r="D159" s="75" t="str">
        <f t="shared" si="2"/>
        <v>2026-01-06</v>
      </c>
      <c r="E159" s="75" t="s">
        <v>1618</v>
      </c>
      <c r="F159" s="73" t="s">
        <v>1619</v>
      </c>
      <c r="G159" s="73" t="s">
        <v>1620</v>
      </c>
      <c r="H159" s="83">
        <v>3</v>
      </c>
    </row>
    <row r="160" spans="1:8" s="82" customFormat="1" x14ac:dyDescent="0.35">
      <c r="A160" s="50">
        <v>159</v>
      </c>
      <c r="B160" s="73" t="s">
        <v>99</v>
      </c>
      <c r="C160" s="73" t="s">
        <v>1621</v>
      </c>
      <c r="D160" s="75" t="str">
        <f t="shared" si="2"/>
        <v>2026-01-06</v>
      </c>
      <c r="E160" s="75" t="s">
        <v>1622</v>
      </c>
      <c r="F160" s="73" t="s">
        <v>1623</v>
      </c>
      <c r="G160" s="73" t="s">
        <v>122</v>
      </c>
      <c r="H160" s="83">
        <v>3</v>
      </c>
    </row>
    <row r="161" spans="1:8" s="82" customFormat="1" x14ac:dyDescent="0.35">
      <c r="A161" s="50">
        <v>160</v>
      </c>
      <c r="B161" s="73" t="s">
        <v>153</v>
      </c>
      <c r="C161" s="73" t="s">
        <v>1624</v>
      </c>
      <c r="D161" s="75" t="str">
        <f t="shared" si="2"/>
        <v>2026-01-06</v>
      </c>
      <c r="E161" s="75" t="s">
        <v>1625</v>
      </c>
      <c r="F161" s="73" t="s">
        <v>1626</v>
      </c>
      <c r="G161" s="73" t="s">
        <v>1627</v>
      </c>
      <c r="H161" s="83">
        <v>3</v>
      </c>
    </row>
    <row r="162" spans="1:8" s="82" customFormat="1" x14ac:dyDescent="0.35">
      <c r="A162" s="50">
        <v>161</v>
      </c>
      <c r="B162" s="73" t="s">
        <v>100</v>
      </c>
      <c r="C162" s="73" t="s">
        <v>1628</v>
      </c>
      <c r="D162" s="75" t="str">
        <f t="shared" si="2"/>
        <v>2026-01-06</v>
      </c>
      <c r="E162" s="75" t="s">
        <v>1629</v>
      </c>
      <c r="F162" s="73" t="s">
        <v>1630</v>
      </c>
      <c r="G162" s="73" t="s">
        <v>1631</v>
      </c>
      <c r="H162" s="83">
        <v>3</v>
      </c>
    </row>
    <row r="163" spans="1:8" s="82" customFormat="1" x14ac:dyDescent="0.35">
      <c r="A163" s="50">
        <v>162</v>
      </c>
      <c r="B163" s="73" t="s">
        <v>154</v>
      </c>
      <c r="C163" s="73" t="s">
        <v>1632</v>
      </c>
      <c r="D163" s="75" t="str">
        <f t="shared" si="2"/>
        <v>2026-01-06</v>
      </c>
      <c r="E163" s="75" t="s">
        <v>1633</v>
      </c>
      <c r="F163" s="73" t="s">
        <v>1634</v>
      </c>
      <c r="G163" s="73" t="s">
        <v>145</v>
      </c>
      <c r="H163" s="83">
        <v>4</v>
      </c>
    </row>
    <row r="164" spans="1:8" s="82" customFormat="1" x14ac:dyDescent="0.35">
      <c r="A164" s="50">
        <v>163</v>
      </c>
      <c r="B164" s="73" t="s">
        <v>178</v>
      </c>
      <c r="C164" s="73" t="s">
        <v>1635</v>
      </c>
      <c r="D164" s="75" t="str">
        <f t="shared" si="2"/>
        <v>2026-01-06</v>
      </c>
      <c r="E164" s="75" t="s">
        <v>1636</v>
      </c>
      <c r="F164" s="73" t="s">
        <v>1637</v>
      </c>
      <c r="G164" s="73" t="s">
        <v>122</v>
      </c>
      <c r="H164" s="83">
        <v>3</v>
      </c>
    </row>
    <row r="165" spans="1:8" s="82" customFormat="1" x14ac:dyDescent="0.35">
      <c r="A165" s="50">
        <v>164</v>
      </c>
      <c r="B165" s="73" t="s">
        <v>80</v>
      </c>
      <c r="C165" s="73" t="s">
        <v>1638</v>
      </c>
      <c r="D165" s="75" t="str">
        <f t="shared" si="2"/>
        <v>2026-01-06</v>
      </c>
      <c r="E165" s="75" t="s">
        <v>1639</v>
      </c>
      <c r="F165" s="73" t="s">
        <v>1640</v>
      </c>
      <c r="G165" s="73" t="s">
        <v>237</v>
      </c>
      <c r="H165" s="83">
        <v>4</v>
      </c>
    </row>
    <row r="166" spans="1:8" s="82" customFormat="1" x14ac:dyDescent="0.35">
      <c r="A166" s="50">
        <v>165</v>
      </c>
      <c r="B166" s="73" t="s">
        <v>203</v>
      </c>
      <c r="C166" s="73" t="s">
        <v>1641</v>
      </c>
      <c r="D166" s="75" t="str">
        <f t="shared" si="2"/>
        <v>2026-01-06</v>
      </c>
      <c r="E166" s="75" t="s">
        <v>1642</v>
      </c>
      <c r="F166" s="73" t="s">
        <v>1643</v>
      </c>
      <c r="G166" s="73" t="s">
        <v>120</v>
      </c>
      <c r="H166" s="83">
        <v>3</v>
      </c>
    </row>
    <row r="167" spans="1:8" s="82" customFormat="1" x14ac:dyDescent="0.35">
      <c r="A167" s="50">
        <v>166</v>
      </c>
      <c r="B167" s="73" t="s">
        <v>43</v>
      </c>
      <c r="C167" s="73" t="s">
        <v>1644</v>
      </c>
      <c r="D167" s="75" t="str">
        <f t="shared" si="2"/>
        <v>2026-01-06</v>
      </c>
      <c r="E167" s="75" t="s">
        <v>1645</v>
      </c>
      <c r="F167" s="73" t="s">
        <v>1646</v>
      </c>
      <c r="G167" s="73" t="s">
        <v>1647</v>
      </c>
      <c r="H167" s="83">
        <v>3</v>
      </c>
    </row>
    <row r="168" spans="1:8" s="82" customFormat="1" x14ac:dyDescent="0.35">
      <c r="A168" s="50">
        <v>167</v>
      </c>
      <c r="B168" s="73" t="s">
        <v>51</v>
      </c>
      <c r="C168" s="73" t="s">
        <v>1648</v>
      </c>
      <c r="D168" s="75" t="str">
        <f t="shared" si="2"/>
        <v>2026-01-06</v>
      </c>
      <c r="E168" s="75" t="s">
        <v>1649</v>
      </c>
      <c r="F168" s="73" t="s">
        <v>1650</v>
      </c>
      <c r="G168" s="73" t="s">
        <v>1651</v>
      </c>
      <c r="H168" s="83">
        <v>3</v>
      </c>
    </row>
    <row r="169" spans="1:8" s="82" customFormat="1" x14ac:dyDescent="0.35">
      <c r="A169" s="50">
        <v>168</v>
      </c>
      <c r="B169" s="73" t="s">
        <v>273</v>
      </c>
      <c r="C169" s="73" t="s">
        <v>1652</v>
      </c>
      <c r="D169" s="75" t="str">
        <f t="shared" si="2"/>
        <v>2026-01-06</v>
      </c>
      <c r="E169" s="75" t="s">
        <v>1653</v>
      </c>
      <c r="F169" s="73" t="s">
        <v>1654</v>
      </c>
      <c r="G169" s="73" t="s">
        <v>126</v>
      </c>
      <c r="H169" s="83">
        <v>5</v>
      </c>
    </row>
    <row r="170" spans="1:8" s="82" customFormat="1" x14ac:dyDescent="0.35">
      <c r="A170" s="50">
        <v>169</v>
      </c>
      <c r="B170" s="73" t="s">
        <v>618</v>
      </c>
      <c r="C170" s="73" t="s">
        <v>1655</v>
      </c>
      <c r="D170" s="75" t="str">
        <f t="shared" si="2"/>
        <v>2026-01-06</v>
      </c>
      <c r="E170" s="75" t="s">
        <v>1656</v>
      </c>
      <c r="F170" s="73" t="s">
        <v>1657</v>
      </c>
      <c r="G170" s="73" t="s">
        <v>172</v>
      </c>
      <c r="H170" s="83">
        <v>4</v>
      </c>
    </row>
    <row r="171" spans="1:8" s="82" customFormat="1" x14ac:dyDescent="0.35">
      <c r="A171" s="50">
        <v>170</v>
      </c>
      <c r="B171" s="73" t="s">
        <v>271</v>
      </c>
      <c r="C171" s="73" t="s">
        <v>1658</v>
      </c>
      <c r="D171" s="75" t="str">
        <f t="shared" si="2"/>
        <v>2026-01-06</v>
      </c>
      <c r="E171" s="75" t="s">
        <v>1659</v>
      </c>
      <c r="F171" s="73" t="s">
        <v>1660</v>
      </c>
      <c r="G171" s="73" t="s">
        <v>119</v>
      </c>
      <c r="H171" s="83">
        <v>3</v>
      </c>
    </row>
    <row r="172" spans="1:8" s="82" customFormat="1" x14ac:dyDescent="0.35">
      <c r="A172" s="50">
        <v>171</v>
      </c>
      <c r="B172" s="73" t="s">
        <v>887</v>
      </c>
      <c r="C172" s="73" t="s">
        <v>1661</v>
      </c>
      <c r="D172" s="75" t="str">
        <f t="shared" si="2"/>
        <v>2026-01-06</v>
      </c>
      <c r="E172" s="75" t="s">
        <v>1662</v>
      </c>
      <c r="F172" s="73" t="s">
        <v>1663</v>
      </c>
      <c r="G172" s="73" t="s">
        <v>1664</v>
      </c>
      <c r="H172" s="83">
        <v>3</v>
      </c>
    </row>
    <row r="173" spans="1:8" s="82" customFormat="1" x14ac:dyDescent="0.35">
      <c r="A173" s="50">
        <v>172</v>
      </c>
      <c r="B173" s="73" t="s">
        <v>274</v>
      </c>
      <c r="C173" s="73" t="s">
        <v>1665</v>
      </c>
      <c r="D173" s="75" t="str">
        <f t="shared" si="2"/>
        <v>2026-01-06</v>
      </c>
      <c r="E173" s="75" t="s">
        <v>1666</v>
      </c>
      <c r="F173" s="73" t="s">
        <v>1667</v>
      </c>
      <c r="G173" s="73" t="s">
        <v>123</v>
      </c>
      <c r="H173" s="83">
        <v>3</v>
      </c>
    </row>
    <row r="174" spans="1:8" s="82" customFormat="1" x14ac:dyDescent="0.35">
      <c r="A174" s="50">
        <v>173</v>
      </c>
      <c r="B174" s="73" t="s">
        <v>288</v>
      </c>
      <c r="C174" s="73" t="s">
        <v>1668</v>
      </c>
      <c r="D174" s="75" t="str">
        <f t="shared" si="2"/>
        <v>2026-01-06</v>
      </c>
      <c r="E174" s="75" t="s">
        <v>1669</v>
      </c>
      <c r="F174" s="73" t="s">
        <v>1670</v>
      </c>
      <c r="G174" s="73" t="s">
        <v>1671</v>
      </c>
      <c r="H174" s="83">
        <v>4</v>
      </c>
    </row>
    <row r="175" spans="1:8" s="82" customFormat="1" x14ac:dyDescent="0.35">
      <c r="A175" s="50">
        <v>174</v>
      </c>
      <c r="B175" s="73" t="s">
        <v>222</v>
      </c>
      <c r="C175" s="73" t="s">
        <v>1672</v>
      </c>
      <c r="D175" s="75" t="str">
        <f t="shared" si="2"/>
        <v>2026-01-06</v>
      </c>
      <c r="E175" s="75" t="s">
        <v>1673</v>
      </c>
      <c r="F175" s="73" t="s">
        <v>1674</v>
      </c>
      <c r="G175" s="73" t="s">
        <v>1675</v>
      </c>
      <c r="H175" s="83">
        <v>3</v>
      </c>
    </row>
    <row r="176" spans="1:8" s="82" customFormat="1" x14ac:dyDescent="0.35">
      <c r="A176" s="50">
        <v>175</v>
      </c>
      <c r="B176" s="73" t="s">
        <v>621</v>
      </c>
      <c r="C176" s="73" t="s">
        <v>1676</v>
      </c>
      <c r="D176" s="75" t="str">
        <f t="shared" si="2"/>
        <v>2026-01-06</v>
      </c>
      <c r="E176" s="75" t="s">
        <v>1677</v>
      </c>
      <c r="F176" s="73" t="s">
        <v>1678</v>
      </c>
      <c r="G176" s="73" t="s">
        <v>1664</v>
      </c>
      <c r="H176" s="83">
        <v>3</v>
      </c>
    </row>
    <row r="177" spans="1:8" s="82" customFormat="1" x14ac:dyDescent="0.35">
      <c r="A177" s="50">
        <v>176</v>
      </c>
      <c r="B177" s="73" t="s">
        <v>84</v>
      </c>
      <c r="C177" s="73" t="s">
        <v>1679</v>
      </c>
      <c r="D177" s="75" t="str">
        <f t="shared" si="2"/>
        <v>2026-01-06</v>
      </c>
      <c r="E177" s="75" t="s">
        <v>1680</v>
      </c>
      <c r="F177" s="73" t="s">
        <v>1681</v>
      </c>
      <c r="G177" s="73" t="s">
        <v>152</v>
      </c>
      <c r="H177" s="83">
        <v>5</v>
      </c>
    </row>
    <row r="178" spans="1:8" s="82" customFormat="1" x14ac:dyDescent="0.35">
      <c r="A178" s="50">
        <v>177</v>
      </c>
      <c r="B178" s="73" t="s">
        <v>107</v>
      </c>
      <c r="C178" s="73" t="s">
        <v>1682</v>
      </c>
      <c r="D178" s="75" t="str">
        <f t="shared" si="2"/>
        <v>2026-01-06</v>
      </c>
      <c r="E178" s="75" t="s">
        <v>1683</v>
      </c>
      <c r="F178" s="73" t="s">
        <v>1684</v>
      </c>
      <c r="G178" s="73" t="s">
        <v>223</v>
      </c>
      <c r="H178" s="83">
        <v>3</v>
      </c>
    </row>
    <row r="179" spans="1:8" s="82" customFormat="1" x14ac:dyDescent="0.35">
      <c r="A179" s="50">
        <v>178</v>
      </c>
      <c r="B179" s="73" t="s">
        <v>148</v>
      </c>
      <c r="C179" s="73" t="s">
        <v>1685</v>
      </c>
      <c r="D179" s="75" t="str">
        <f t="shared" si="2"/>
        <v>2026-01-06</v>
      </c>
      <c r="E179" s="75" t="s">
        <v>1686</v>
      </c>
      <c r="F179" s="73" t="s">
        <v>1687</v>
      </c>
      <c r="G179" s="73" t="s">
        <v>202</v>
      </c>
      <c r="H179" s="83">
        <v>4</v>
      </c>
    </row>
    <row r="180" spans="1:8" s="82" customFormat="1" x14ac:dyDescent="0.35">
      <c r="A180" s="50">
        <v>179</v>
      </c>
      <c r="B180" s="73" t="s">
        <v>430</v>
      </c>
      <c r="C180" s="73" t="s">
        <v>1688</v>
      </c>
      <c r="D180" s="75" t="str">
        <f t="shared" si="2"/>
        <v>2026-01-06</v>
      </c>
      <c r="E180" s="75" t="s">
        <v>1689</v>
      </c>
      <c r="F180" s="73" t="s">
        <v>1690</v>
      </c>
      <c r="G180" s="73" t="s">
        <v>128</v>
      </c>
      <c r="H180" s="83">
        <v>3</v>
      </c>
    </row>
    <row r="181" spans="1:8" s="82" customFormat="1" x14ac:dyDescent="0.35">
      <c r="A181" s="50">
        <v>180</v>
      </c>
      <c r="B181" s="73" t="s">
        <v>93</v>
      </c>
      <c r="C181" s="73" t="s">
        <v>1764</v>
      </c>
      <c r="D181" s="75" t="str">
        <f t="shared" si="2"/>
        <v>2026-01-07</v>
      </c>
      <c r="E181" s="75" t="s">
        <v>1765</v>
      </c>
      <c r="F181" s="73" t="s">
        <v>1766</v>
      </c>
      <c r="G181" s="73" t="s">
        <v>1767</v>
      </c>
      <c r="H181" s="83">
        <v>3</v>
      </c>
    </row>
    <row r="182" spans="1:8" s="82" customFormat="1" x14ac:dyDescent="0.35">
      <c r="A182" s="50">
        <v>181</v>
      </c>
      <c r="B182" s="73" t="s">
        <v>199</v>
      </c>
      <c r="C182" s="73" t="s">
        <v>1768</v>
      </c>
      <c r="D182" s="75" t="str">
        <f t="shared" si="2"/>
        <v>2026-01-07</v>
      </c>
      <c r="E182" s="75" t="s">
        <v>1769</v>
      </c>
      <c r="F182" s="73" t="s">
        <v>1770</v>
      </c>
      <c r="G182" s="73" t="s">
        <v>499</v>
      </c>
      <c r="H182" s="83">
        <v>4</v>
      </c>
    </row>
    <row r="183" spans="1:8" s="82" customFormat="1" x14ac:dyDescent="0.35">
      <c r="A183" s="50">
        <v>182</v>
      </c>
      <c r="B183" s="73" t="s">
        <v>63</v>
      </c>
      <c r="C183" s="73" t="s">
        <v>1771</v>
      </c>
      <c r="D183" s="75" t="str">
        <f t="shared" si="2"/>
        <v>2026-01-07</v>
      </c>
      <c r="E183" s="75" t="s">
        <v>1772</v>
      </c>
      <c r="F183" s="73" t="s">
        <v>1773</v>
      </c>
      <c r="G183" s="73" t="s">
        <v>189</v>
      </c>
      <c r="H183" s="83">
        <v>3</v>
      </c>
    </row>
    <row r="184" spans="1:8" s="82" customFormat="1" x14ac:dyDescent="0.35">
      <c r="A184" s="50">
        <v>183</v>
      </c>
      <c r="B184" s="73" t="s">
        <v>176</v>
      </c>
      <c r="C184" s="73" t="s">
        <v>1774</v>
      </c>
      <c r="D184" s="75" t="str">
        <f t="shared" si="2"/>
        <v>2026-01-07</v>
      </c>
      <c r="E184" s="75" t="s">
        <v>1775</v>
      </c>
      <c r="F184" s="73" t="s">
        <v>1776</v>
      </c>
      <c r="G184" s="73" t="s">
        <v>1777</v>
      </c>
      <c r="H184" s="83">
        <v>3</v>
      </c>
    </row>
    <row r="185" spans="1:8" s="82" customFormat="1" x14ac:dyDescent="0.35">
      <c r="A185" s="50">
        <v>184</v>
      </c>
      <c r="B185" s="73" t="s">
        <v>50</v>
      </c>
      <c r="C185" s="73" t="s">
        <v>1778</v>
      </c>
      <c r="D185" s="75" t="str">
        <f t="shared" si="2"/>
        <v>2026-01-07</v>
      </c>
      <c r="E185" s="75" t="s">
        <v>1779</v>
      </c>
      <c r="F185" s="73" t="s">
        <v>1780</v>
      </c>
      <c r="G185" s="73" t="s">
        <v>118</v>
      </c>
      <c r="H185" s="83">
        <v>3</v>
      </c>
    </row>
    <row r="186" spans="1:8" s="82" customFormat="1" x14ac:dyDescent="0.35">
      <c r="A186" s="50">
        <v>185</v>
      </c>
      <c r="B186" s="73" t="s">
        <v>104</v>
      </c>
      <c r="C186" s="73" t="s">
        <v>1781</v>
      </c>
      <c r="D186" s="75" t="str">
        <f t="shared" si="2"/>
        <v>2026-01-07</v>
      </c>
      <c r="E186" s="75" t="s">
        <v>1782</v>
      </c>
      <c r="F186" s="73" t="s">
        <v>1783</v>
      </c>
      <c r="G186" s="73" t="s">
        <v>187</v>
      </c>
      <c r="H186" s="83">
        <v>3</v>
      </c>
    </row>
    <row r="187" spans="1:8" s="82" customFormat="1" x14ac:dyDescent="0.35">
      <c r="A187" s="50">
        <v>186</v>
      </c>
      <c r="B187" s="73" t="s">
        <v>100</v>
      </c>
      <c r="C187" s="73" t="s">
        <v>1784</v>
      </c>
      <c r="D187" s="75" t="str">
        <f t="shared" si="2"/>
        <v>2026-01-07</v>
      </c>
      <c r="E187" s="75" t="s">
        <v>1785</v>
      </c>
      <c r="F187" s="73" t="s">
        <v>1786</v>
      </c>
      <c r="G187" s="73" t="s">
        <v>131</v>
      </c>
      <c r="H187" s="83">
        <v>3</v>
      </c>
    </row>
    <row r="188" spans="1:8" s="82" customFormat="1" x14ac:dyDescent="0.35">
      <c r="A188" s="50">
        <v>187</v>
      </c>
      <c r="B188" s="73" t="s">
        <v>229</v>
      </c>
      <c r="C188" s="73" t="s">
        <v>1787</v>
      </c>
      <c r="D188" s="75" t="str">
        <f t="shared" si="2"/>
        <v>2026-01-07</v>
      </c>
      <c r="E188" s="75" t="s">
        <v>1788</v>
      </c>
      <c r="F188" s="73" t="s">
        <v>1789</v>
      </c>
      <c r="G188" s="73" t="s">
        <v>1790</v>
      </c>
      <c r="H188" s="83">
        <v>3</v>
      </c>
    </row>
    <row r="189" spans="1:8" s="82" customFormat="1" x14ac:dyDescent="0.35">
      <c r="A189" s="50">
        <v>188</v>
      </c>
      <c r="B189" s="73" t="s">
        <v>61</v>
      </c>
      <c r="C189" s="73" t="s">
        <v>1791</v>
      </c>
      <c r="D189" s="75" t="str">
        <f t="shared" si="2"/>
        <v>2026-01-07</v>
      </c>
      <c r="E189" s="75" t="s">
        <v>1792</v>
      </c>
      <c r="F189" s="73" t="s">
        <v>1793</v>
      </c>
      <c r="G189" s="73" t="s">
        <v>1794</v>
      </c>
      <c r="H189" s="83">
        <v>5</v>
      </c>
    </row>
    <row r="190" spans="1:8" s="82" customFormat="1" x14ac:dyDescent="0.35">
      <c r="A190" s="50">
        <v>189</v>
      </c>
      <c r="B190" s="73" t="s">
        <v>1080</v>
      </c>
      <c r="C190" s="73" t="s">
        <v>1795</v>
      </c>
      <c r="D190" s="75" t="str">
        <f t="shared" si="2"/>
        <v>2026-01-07</v>
      </c>
      <c r="E190" s="75" t="s">
        <v>1796</v>
      </c>
      <c r="F190" s="73" t="s">
        <v>1797</v>
      </c>
      <c r="G190" s="73" t="s">
        <v>805</v>
      </c>
      <c r="H190" s="83">
        <v>3</v>
      </c>
    </row>
    <row r="191" spans="1:8" s="82" customFormat="1" x14ac:dyDescent="0.35">
      <c r="A191" s="50">
        <v>190</v>
      </c>
      <c r="B191" s="73" t="s">
        <v>154</v>
      </c>
      <c r="C191" s="73" t="s">
        <v>1798</v>
      </c>
      <c r="D191" s="75" t="str">
        <f t="shared" si="2"/>
        <v>2026-01-07</v>
      </c>
      <c r="E191" s="75" t="s">
        <v>1799</v>
      </c>
      <c r="F191" s="73" t="s">
        <v>1800</v>
      </c>
      <c r="G191" s="73" t="s">
        <v>1801</v>
      </c>
      <c r="H191" s="83">
        <v>4</v>
      </c>
    </row>
    <row r="192" spans="1:8" s="82" customFormat="1" x14ac:dyDescent="0.35">
      <c r="A192" s="50">
        <v>191</v>
      </c>
      <c r="B192" s="73" t="s">
        <v>171</v>
      </c>
      <c r="C192" s="73" t="s">
        <v>1802</v>
      </c>
      <c r="D192" s="75" t="str">
        <f t="shared" si="2"/>
        <v>2026-01-07</v>
      </c>
      <c r="E192" s="75" t="s">
        <v>1803</v>
      </c>
      <c r="F192" s="73" t="s">
        <v>1804</v>
      </c>
      <c r="G192" s="73" t="s">
        <v>1805</v>
      </c>
      <c r="H192" s="83">
        <v>4</v>
      </c>
    </row>
    <row r="193" spans="1:8" s="82" customFormat="1" x14ac:dyDescent="0.35">
      <c r="A193" s="50">
        <v>192</v>
      </c>
      <c r="B193" s="73" t="s">
        <v>436</v>
      </c>
      <c r="C193" s="73" t="s">
        <v>1806</v>
      </c>
      <c r="D193" s="75" t="str">
        <f t="shared" si="2"/>
        <v>2026-01-07</v>
      </c>
      <c r="E193" s="75" t="s">
        <v>1807</v>
      </c>
      <c r="F193" s="73" t="s">
        <v>1808</v>
      </c>
      <c r="G193" s="73" t="s">
        <v>138</v>
      </c>
      <c r="H193" s="83">
        <v>3</v>
      </c>
    </row>
    <row r="194" spans="1:8" s="82" customFormat="1" x14ac:dyDescent="0.35">
      <c r="A194" s="50">
        <v>193</v>
      </c>
      <c r="B194" s="73" t="s">
        <v>51</v>
      </c>
      <c r="C194" s="73" t="s">
        <v>1809</v>
      </c>
      <c r="D194" s="75" t="str">
        <f t="shared" ref="D194:D211" si="3">LEFT(C:C,10)</f>
        <v>2026-01-07</v>
      </c>
      <c r="E194" s="75" t="s">
        <v>1810</v>
      </c>
      <c r="F194" s="73" t="s">
        <v>1811</v>
      </c>
      <c r="G194" s="73" t="s">
        <v>1812</v>
      </c>
      <c r="H194" s="83">
        <v>5</v>
      </c>
    </row>
    <row r="195" spans="1:8" s="82" customFormat="1" x14ac:dyDescent="0.35">
      <c r="A195" s="50">
        <v>194</v>
      </c>
      <c r="B195" s="73" t="s">
        <v>465</v>
      </c>
      <c r="C195" s="73" t="s">
        <v>1813</v>
      </c>
      <c r="D195" s="75" t="str">
        <f t="shared" si="3"/>
        <v>2026-01-07</v>
      </c>
      <c r="E195" s="75" t="s">
        <v>1814</v>
      </c>
      <c r="F195" s="73" t="s">
        <v>1815</v>
      </c>
      <c r="G195" s="73" t="s">
        <v>703</v>
      </c>
      <c r="H195" s="83">
        <v>4</v>
      </c>
    </row>
    <row r="196" spans="1:8" x14ac:dyDescent="0.35">
      <c r="A196" s="50">
        <v>195</v>
      </c>
      <c r="B196" s="73" t="s">
        <v>257</v>
      </c>
      <c r="C196" s="73" t="s">
        <v>1816</v>
      </c>
      <c r="D196" s="75" t="str">
        <f t="shared" si="3"/>
        <v>2026-01-07</v>
      </c>
      <c r="E196" s="75" t="s">
        <v>1817</v>
      </c>
      <c r="F196" s="73" t="s">
        <v>1818</v>
      </c>
      <c r="G196" s="73" t="s">
        <v>1819</v>
      </c>
      <c r="H196" s="83">
        <v>3</v>
      </c>
    </row>
    <row r="197" spans="1:8" x14ac:dyDescent="0.35">
      <c r="A197" s="50">
        <v>196</v>
      </c>
      <c r="B197" s="73" t="s">
        <v>105</v>
      </c>
      <c r="C197" s="73" t="s">
        <v>1820</v>
      </c>
      <c r="D197" s="75" t="str">
        <f t="shared" si="3"/>
        <v>2026-01-07</v>
      </c>
      <c r="E197" s="75" t="s">
        <v>1821</v>
      </c>
      <c r="F197" s="73" t="s">
        <v>1822</v>
      </c>
      <c r="G197" s="73" t="s">
        <v>1823</v>
      </c>
      <c r="H197" s="83">
        <v>3</v>
      </c>
    </row>
    <row r="198" spans="1:8" x14ac:dyDescent="0.35">
      <c r="A198" s="50">
        <v>197</v>
      </c>
      <c r="B198" s="73" t="s">
        <v>62</v>
      </c>
      <c r="C198" s="73" t="s">
        <v>1824</v>
      </c>
      <c r="D198" s="75" t="str">
        <f t="shared" si="3"/>
        <v>2026-01-07</v>
      </c>
      <c r="E198" s="75" t="s">
        <v>1825</v>
      </c>
      <c r="F198" s="73" t="s">
        <v>1826</v>
      </c>
      <c r="G198" s="73" t="s">
        <v>1827</v>
      </c>
      <c r="H198" s="83">
        <v>4</v>
      </c>
    </row>
    <row r="199" spans="1:8" x14ac:dyDescent="0.35">
      <c r="A199" s="50">
        <v>198</v>
      </c>
      <c r="B199" s="73" t="s">
        <v>87</v>
      </c>
      <c r="C199" s="73" t="s">
        <v>1828</v>
      </c>
      <c r="D199" s="75" t="str">
        <f t="shared" si="3"/>
        <v>2026-01-07</v>
      </c>
      <c r="E199" s="75" t="s">
        <v>1829</v>
      </c>
      <c r="F199" s="73" t="s">
        <v>1830</v>
      </c>
      <c r="G199" s="73" t="s">
        <v>1831</v>
      </c>
      <c r="H199" s="83">
        <v>4</v>
      </c>
    </row>
    <row r="200" spans="1:8" x14ac:dyDescent="0.35">
      <c r="A200" s="50">
        <v>199</v>
      </c>
      <c r="B200" s="73" t="s">
        <v>545</v>
      </c>
      <c r="C200" s="73" t="s">
        <v>1832</v>
      </c>
      <c r="D200" s="75" t="str">
        <f t="shared" si="3"/>
        <v>2026-01-07</v>
      </c>
      <c r="E200" s="75" t="s">
        <v>1833</v>
      </c>
      <c r="F200" s="73" t="s">
        <v>1834</v>
      </c>
      <c r="G200" s="73" t="s">
        <v>1835</v>
      </c>
      <c r="H200" s="83">
        <v>3</v>
      </c>
    </row>
    <row r="201" spans="1:8" x14ac:dyDescent="0.35">
      <c r="A201" s="50">
        <v>200</v>
      </c>
      <c r="B201" s="73" t="s">
        <v>280</v>
      </c>
      <c r="C201" s="73" t="s">
        <v>1836</v>
      </c>
      <c r="D201" s="75" t="str">
        <f t="shared" si="3"/>
        <v>2026-01-07</v>
      </c>
      <c r="E201" s="75" t="s">
        <v>1837</v>
      </c>
      <c r="F201" s="73" t="s">
        <v>1838</v>
      </c>
      <c r="G201" s="73" t="s">
        <v>1767</v>
      </c>
      <c r="H201" s="83">
        <v>5</v>
      </c>
    </row>
    <row r="202" spans="1:8" x14ac:dyDescent="0.35">
      <c r="A202" s="50">
        <v>201</v>
      </c>
      <c r="B202" s="73" t="s">
        <v>275</v>
      </c>
      <c r="C202" s="73" t="s">
        <v>1839</v>
      </c>
      <c r="D202" s="75" t="str">
        <f t="shared" si="3"/>
        <v>2026-01-07</v>
      </c>
      <c r="E202" s="75" t="s">
        <v>1814</v>
      </c>
      <c r="F202" s="73" t="s">
        <v>1840</v>
      </c>
      <c r="G202" s="73" t="s">
        <v>1841</v>
      </c>
      <c r="H202" s="83">
        <v>4</v>
      </c>
    </row>
    <row r="203" spans="1:8" x14ac:dyDescent="0.35">
      <c r="A203" s="50">
        <v>202</v>
      </c>
      <c r="B203" s="73" t="s">
        <v>151</v>
      </c>
      <c r="C203" s="73" t="s">
        <v>1842</v>
      </c>
      <c r="D203" s="75" t="str">
        <f t="shared" si="3"/>
        <v>2026-01-07</v>
      </c>
      <c r="E203" s="75" t="s">
        <v>1843</v>
      </c>
      <c r="F203" s="73" t="s">
        <v>1844</v>
      </c>
      <c r="G203" s="73" t="s">
        <v>126</v>
      </c>
      <c r="H203" s="83">
        <v>3</v>
      </c>
    </row>
    <row r="204" spans="1:8" x14ac:dyDescent="0.35">
      <c r="A204" s="50">
        <v>203</v>
      </c>
      <c r="B204" s="73" t="s">
        <v>84</v>
      </c>
      <c r="C204" s="73" t="s">
        <v>1845</v>
      </c>
      <c r="D204" s="75" t="str">
        <f t="shared" si="3"/>
        <v>2026-01-07</v>
      </c>
      <c r="E204" s="75" t="s">
        <v>1846</v>
      </c>
      <c r="F204" s="73" t="s">
        <v>1847</v>
      </c>
      <c r="G204" s="73" t="s">
        <v>1848</v>
      </c>
      <c r="H204" s="83">
        <v>4</v>
      </c>
    </row>
    <row r="205" spans="1:8" x14ac:dyDescent="0.35">
      <c r="A205" s="50">
        <v>204</v>
      </c>
      <c r="B205" s="73" t="s">
        <v>103</v>
      </c>
      <c r="C205" s="73" t="s">
        <v>1849</v>
      </c>
      <c r="D205" s="75" t="str">
        <f t="shared" si="3"/>
        <v>2026-01-07</v>
      </c>
      <c r="E205" s="75" t="s">
        <v>1850</v>
      </c>
      <c r="F205" s="73" t="s">
        <v>1851</v>
      </c>
      <c r="G205" s="73" t="s">
        <v>198</v>
      </c>
      <c r="H205" s="83">
        <v>3</v>
      </c>
    </row>
    <row r="206" spans="1:8" x14ac:dyDescent="0.35">
      <c r="A206" s="50">
        <v>205</v>
      </c>
      <c r="B206" s="73" t="s">
        <v>502</v>
      </c>
      <c r="C206" s="73" t="s">
        <v>1852</v>
      </c>
      <c r="D206" s="75" t="str">
        <f t="shared" si="3"/>
        <v>2026-01-07</v>
      </c>
      <c r="E206" s="75" t="s">
        <v>1853</v>
      </c>
      <c r="F206" s="73" t="s">
        <v>1854</v>
      </c>
      <c r="G206" s="73" t="s">
        <v>1790</v>
      </c>
      <c r="H206" s="83">
        <v>4</v>
      </c>
    </row>
    <row r="207" spans="1:8" x14ac:dyDescent="0.35">
      <c r="A207" s="50">
        <v>206</v>
      </c>
      <c r="B207" s="73" t="s">
        <v>220</v>
      </c>
      <c r="C207" s="73" t="s">
        <v>1855</v>
      </c>
      <c r="D207" s="75" t="str">
        <f t="shared" si="3"/>
        <v>2026-01-07</v>
      </c>
      <c r="E207" s="75" t="s">
        <v>1856</v>
      </c>
      <c r="F207" s="73" t="s">
        <v>1857</v>
      </c>
      <c r="G207" s="73" t="s">
        <v>149</v>
      </c>
      <c r="H207" s="83">
        <v>3</v>
      </c>
    </row>
    <row r="208" spans="1:8" x14ac:dyDescent="0.35">
      <c r="A208" s="50">
        <v>207</v>
      </c>
      <c r="B208" s="73" t="s">
        <v>234</v>
      </c>
      <c r="C208" s="73" t="s">
        <v>1858</v>
      </c>
      <c r="D208" s="75" t="str">
        <f t="shared" si="3"/>
        <v>2026-01-07</v>
      </c>
      <c r="E208" s="75" t="s">
        <v>1859</v>
      </c>
      <c r="F208" s="73" t="s">
        <v>1860</v>
      </c>
      <c r="G208" s="73" t="s">
        <v>144</v>
      </c>
      <c r="H208" s="83">
        <v>3</v>
      </c>
    </row>
    <row r="209" spans="1:8" x14ac:dyDescent="0.35">
      <c r="A209" s="50">
        <v>208</v>
      </c>
      <c r="B209" s="73" t="s">
        <v>221</v>
      </c>
      <c r="C209" s="73" t="s">
        <v>1861</v>
      </c>
      <c r="D209" s="75" t="str">
        <f t="shared" si="3"/>
        <v>2026-01-07</v>
      </c>
      <c r="E209" s="75" t="s">
        <v>1862</v>
      </c>
      <c r="F209" s="73" t="s">
        <v>1863</v>
      </c>
      <c r="G209" s="73" t="s">
        <v>144</v>
      </c>
      <c r="H209" s="83">
        <v>4</v>
      </c>
    </row>
    <row r="210" spans="1:8" x14ac:dyDescent="0.35">
      <c r="A210" s="50">
        <v>209</v>
      </c>
      <c r="B210" s="73" t="s">
        <v>290</v>
      </c>
      <c r="C210" s="73" t="s">
        <v>1864</v>
      </c>
      <c r="D210" s="75" t="str">
        <f t="shared" si="3"/>
        <v>2026-01-07</v>
      </c>
      <c r="E210" s="75" t="s">
        <v>1865</v>
      </c>
      <c r="F210" s="73" t="s">
        <v>1866</v>
      </c>
      <c r="G210" s="73" t="s">
        <v>1867</v>
      </c>
      <c r="H210" s="83">
        <v>3</v>
      </c>
    </row>
    <row r="211" spans="1:8" x14ac:dyDescent="0.35">
      <c r="A211" s="58">
        <v>210</v>
      </c>
      <c r="B211" s="77" t="s">
        <v>156</v>
      </c>
      <c r="C211" s="77" t="s">
        <v>1868</v>
      </c>
      <c r="D211" s="79" t="str">
        <f t="shared" si="3"/>
        <v>2026-01-07</v>
      </c>
      <c r="E211" s="79" t="s">
        <v>1869</v>
      </c>
      <c r="F211" s="77" t="s">
        <v>1870</v>
      </c>
      <c r="G211" s="77" t="s">
        <v>1871</v>
      </c>
      <c r="H211" s="85">
        <v>3</v>
      </c>
    </row>
    <row r="212" spans="1:8" x14ac:dyDescent="0.35">
      <c r="A212" s="50">
        <v>211</v>
      </c>
      <c r="B212" s="73" t="s">
        <v>50</v>
      </c>
      <c r="C212" s="73" t="s">
        <v>1909</v>
      </c>
      <c r="D212" s="75" t="str">
        <f t="shared" ref="D212:D233" si="4">LEFT(C:C,10)</f>
        <v>2026-01-08</v>
      </c>
      <c r="E212" s="75" t="s">
        <v>1910</v>
      </c>
      <c r="F212" s="73" t="s">
        <v>1911</v>
      </c>
      <c r="G212" s="73" t="s">
        <v>112</v>
      </c>
      <c r="H212" s="83">
        <v>3</v>
      </c>
    </row>
    <row r="213" spans="1:8" x14ac:dyDescent="0.35">
      <c r="A213" s="58">
        <v>212</v>
      </c>
      <c r="B213" s="73" t="s">
        <v>73</v>
      </c>
      <c r="C213" s="73" t="s">
        <v>1912</v>
      </c>
      <c r="D213" s="75" t="str">
        <f t="shared" si="4"/>
        <v>2026-01-08</v>
      </c>
      <c r="E213" s="75" t="s">
        <v>1913</v>
      </c>
      <c r="F213" s="73" t="s">
        <v>1914</v>
      </c>
      <c r="G213" s="73" t="s">
        <v>1915</v>
      </c>
      <c r="H213" s="83">
        <v>3</v>
      </c>
    </row>
    <row r="214" spans="1:8" x14ac:dyDescent="0.35">
      <c r="A214" s="50">
        <v>213</v>
      </c>
      <c r="B214" s="73" t="s">
        <v>158</v>
      </c>
      <c r="C214" s="73" t="s">
        <v>1916</v>
      </c>
      <c r="D214" s="75" t="str">
        <f t="shared" si="4"/>
        <v>2026-01-08</v>
      </c>
      <c r="E214" s="75" t="s">
        <v>1917</v>
      </c>
      <c r="F214" s="73" t="s">
        <v>1918</v>
      </c>
      <c r="G214" s="73" t="s">
        <v>1919</v>
      </c>
      <c r="H214" s="83">
        <v>3</v>
      </c>
    </row>
    <row r="215" spans="1:8" x14ac:dyDescent="0.35">
      <c r="A215" s="58">
        <v>214</v>
      </c>
      <c r="B215" s="73" t="s">
        <v>266</v>
      </c>
      <c r="C215" s="73" t="s">
        <v>1920</v>
      </c>
      <c r="D215" s="75" t="str">
        <f t="shared" si="4"/>
        <v>2026-01-08</v>
      </c>
      <c r="E215" s="75" t="s">
        <v>1921</v>
      </c>
      <c r="F215" s="73" t="s">
        <v>1922</v>
      </c>
      <c r="G215" s="73" t="s">
        <v>146</v>
      </c>
      <c r="H215" s="83">
        <v>6</v>
      </c>
    </row>
    <row r="216" spans="1:8" x14ac:dyDescent="0.35">
      <c r="A216" s="50">
        <v>215</v>
      </c>
      <c r="B216" s="73" t="s">
        <v>100</v>
      </c>
      <c r="C216" s="73" t="s">
        <v>1923</v>
      </c>
      <c r="D216" s="75" t="str">
        <f t="shared" si="4"/>
        <v>2026-01-08</v>
      </c>
      <c r="E216" s="75" t="s">
        <v>1924</v>
      </c>
      <c r="F216" s="73" t="s">
        <v>1925</v>
      </c>
      <c r="G216" s="73" t="s">
        <v>132</v>
      </c>
      <c r="H216" s="83">
        <v>3</v>
      </c>
    </row>
    <row r="217" spans="1:8" x14ac:dyDescent="0.35">
      <c r="A217" s="58">
        <v>216</v>
      </c>
      <c r="B217" s="73" t="s">
        <v>242</v>
      </c>
      <c r="C217" s="73" t="s">
        <v>1926</v>
      </c>
      <c r="D217" s="75" t="str">
        <f t="shared" si="4"/>
        <v>2026-01-08</v>
      </c>
      <c r="E217" s="75" t="s">
        <v>1927</v>
      </c>
      <c r="F217" s="73" t="s">
        <v>1928</v>
      </c>
      <c r="G217" s="73" t="s">
        <v>923</v>
      </c>
      <c r="H217" s="83">
        <v>3</v>
      </c>
    </row>
    <row r="218" spans="1:8" x14ac:dyDescent="0.35">
      <c r="A218" s="50">
        <v>217</v>
      </c>
      <c r="B218" s="73" t="s">
        <v>155</v>
      </c>
      <c r="C218" s="73" t="s">
        <v>1929</v>
      </c>
      <c r="D218" s="75" t="str">
        <f t="shared" si="4"/>
        <v>2026-01-08</v>
      </c>
      <c r="E218" s="75" t="s">
        <v>1930</v>
      </c>
      <c r="F218" s="73" t="s">
        <v>1931</v>
      </c>
      <c r="G218" s="73" t="s">
        <v>1046</v>
      </c>
      <c r="H218" s="83">
        <v>3</v>
      </c>
    </row>
    <row r="219" spans="1:8" x14ac:dyDescent="0.35">
      <c r="A219" s="58">
        <v>218</v>
      </c>
      <c r="B219" s="73" t="s">
        <v>164</v>
      </c>
      <c r="C219" s="73" t="s">
        <v>1932</v>
      </c>
      <c r="D219" s="75" t="str">
        <f t="shared" si="4"/>
        <v>2026-01-08</v>
      </c>
      <c r="E219" s="75" t="s">
        <v>1933</v>
      </c>
      <c r="F219" s="73" t="s">
        <v>1934</v>
      </c>
      <c r="G219" s="73" t="s">
        <v>444</v>
      </c>
      <c r="H219" s="83">
        <v>3</v>
      </c>
    </row>
    <row r="220" spans="1:8" x14ac:dyDescent="0.35">
      <c r="A220" s="50">
        <v>219</v>
      </c>
      <c r="B220" s="73" t="s">
        <v>224</v>
      </c>
      <c r="C220" s="73" t="s">
        <v>1935</v>
      </c>
      <c r="D220" s="75" t="str">
        <f t="shared" si="4"/>
        <v>2026-01-08</v>
      </c>
      <c r="E220" s="75" t="s">
        <v>1936</v>
      </c>
      <c r="F220" s="73" t="s">
        <v>1937</v>
      </c>
      <c r="G220" s="73" t="s">
        <v>416</v>
      </c>
      <c r="H220" s="83">
        <v>4</v>
      </c>
    </row>
    <row r="221" spans="1:8" x14ac:dyDescent="0.35">
      <c r="A221" s="58">
        <v>220</v>
      </c>
      <c r="B221" s="73" t="s">
        <v>500</v>
      </c>
      <c r="C221" s="73" t="s">
        <v>1938</v>
      </c>
      <c r="D221" s="75" t="str">
        <f t="shared" si="4"/>
        <v>2026-01-08</v>
      </c>
      <c r="E221" s="75" t="s">
        <v>1939</v>
      </c>
      <c r="F221" s="73" t="s">
        <v>1940</v>
      </c>
      <c r="G221" s="73" t="s">
        <v>1941</v>
      </c>
      <c r="H221" s="83">
        <v>3</v>
      </c>
    </row>
    <row r="222" spans="1:8" x14ac:dyDescent="0.35">
      <c r="A222" s="50">
        <v>221</v>
      </c>
      <c r="B222" s="73" t="s">
        <v>102</v>
      </c>
      <c r="C222" s="73" t="s">
        <v>1942</v>
      </c>
      <c r="D222" s="75" t="str">
        <f t="shared" si="4"/>
        <v>2026-01-08</v>
      </c>
      <c r="E222" s="75" t="s">
        <v>1943</v>
      </c>
      <c r="F222" s="73" t="s">
        <v>1944</v>
      </c>
      <c r="G222" s="73" t="s">
        <v>187</v>
      </c>
      <c r="H222" s="83">
        <v>3</v>
      </c>
    </row>
    <row r="223" spans="1:8" x14ac:dyDescent="0.35">
      <c r="A223" s="58">
        <v>222</v>
      </c>
      <c r="B223" s="73" t="s">
        <v>887</v>
      </c>
      <c r="C223" s="73" t="s">
        <v>1945</v>
      </c>
      <c r="D223" s="75" t="str">
        <f t="shared" si="4"/>
        <v>2026-01-08</v>
      </c>
      <c r="E223" s="75" t="s">
        <v>1946</v>
      </c>
      <c r="F223" s="73" t="s">
        <v>1947</v>
      </c>
      <c r="G223" s="73" t="s">
        <v>1948</v>
      </c>
      <c r="H223" s="83">
        <v>4</v>
      </c>
    </row>
    <row r="224" spans="1:8" x14ac:dyDescent="0.35">
      <c r="A224" s="50">
        <v>223</v>
      </c>
      <c r="B224" s="73" t="s">
        <v>85</v>
      </c>
      <c r="C224" s="73" t="s">
        <v>1949</v>
      </c>
      <c r="D224" s="75" t="str">
        <f t="shared" si="4"/>
        <v>2026-01-08</v>
      </c>
      <c r="E224" s="75" t="s">
        <v>1950</v>
      </c>
      <c r="F224" s="73" t="s">
        <v>1951</v>
      </c>
      <c r="G224" s="73" t="s">
        <v>589</v>
      </c>
      <c r="H224" s="83">
        <v>3</v>
      </c>
    </row>
    <row r="225" spans="1:8" x14ac:dyDescent="0.35">
      <c r="A225" s="58">
        <v>224</v>
      </c>
      <c r="B225" s="73" t="s">
        <v>280</v>
      </c>
      <c r="C225" s="73" t="s">
        <v>1952</v>
      </c>
      <c r="D225" s="75" t="str">
        <f t="shared" si="4"/>
        <v>2026-01-08</v>
      </c>
      <c r="E225" s="75" t="s">
        <v>1953</v>
      </c>
      <c r="F225" s="73" t="s">
        <v>1954</v>
      </c>
      <c r="G225" s="73" t="s">
        <v>1955</v>
      </c>
      <c r="H225" s="83">
        <v>3</v>
      </c>
    </row>
    <row r="226" spans="1:8" x14ac:dyDescent="0.35">
      <c r="A226" s="50">
        <v>225</v>
      </c>
      <c r="B226" s="73" t="s">
        <v>1907</v>
      </c>
      <c r="C226" s="73" t="s">
        <v>1956</v>
      </c>
      <c r="D226" s="75" t="str">
        <f t="shared" si="4"/>
        <v>2026-01-08</v>
      </c>
      <c r="E226" s="75" t="s">
        <v>1957</v>
      </c>
      <c r="F226" s="73" t="s">
        <v>1958</v>
      </c>
      <c r="G226" s="73" t="s">
        <v>119</v>
      </c>
      <c r="H226" s="83">
        <v>3</v>
      </c>
    </row>
    <row r="227" spans="1:8" x14ac:dyDescent="0.35">
      <c r="A227" s="58">
        <v>226</v>
      </c>
      <c r="B227" s="73" t="s">
        <v>886</v>
      </c>
      <c r="C227" s="73" t="s">
        <v>1959</v>
      </c>
      <c r="D227" s="75" t="str">
        <f t="shared" si="4"/>
        <v>2026-01-08</v>
      </c>
      <c r="E227" s="75" t="s">
        <v>1960</v>
      </c>
      <c r="F227" s="73" t="s">
        <v>1961</v>
      </c>
      <c r="G227" s="73" t="s">
        <v>1962</v>
      </c>
      <c r="H227" s="83">
        <v>3</v>
      </c>
    </row>
    <row r="228" spans="1:8" x14ac:dyDescent="0.35">
      <c r="A228" s="50">
        <v>227</v>
      </c>
      <c r="B228" s="73" t="s">
        <v>234</v>
      </c>
      <c r="C228" s="73" t="s">
        <v>1963</v>
      </c>
      <c r="D228" s="75" t="str">
        <f t="shared" si="4"/>
        <v>2026-01-08</v>
      </c>
      <c r="E228" s="75" t="s">
        <v>1964</v>
      </c>
      <c r="F228" s="73" t="s">
        <v>1965</v>
      </c>
      <c r="G228" s="73" t="s">
        <v>1966</v>
      </c>
      <c r="H228" s="83">
        <v>4</v>
      </c>
    </row>
    <row r="229" spans="1:8" x14ac:dyDescent="0.35">
      <c r="A229" s="58">
        <v>228</v>
      </c>
      <c r="B229" s="73" t="s">
        <v>1908</v>
      </c>
      <c r="C229" s="73" t="s">
        <v>1967</v>
      </c>
      <c r="D229" s="75" t="str">
        <f t="shared" si="4"/>
        <v>2026-01-08</v>
      </c>
      <c r="E229" s="75" t="s">
        <v>1968</v>
      </c>
      <c r="F229" s="73" t="s">
        <v>1969</v>
      </c>
      <c r="G229" s="73" t="s">
        <v>1095</v>
      </c>
      <c r="H229" s="83">
        <v>4</v>
      </c>
    </row>
    <row r="230" spans="1:8" x14ac:dyDescent="0.35">
      <c r="A230" s="50">
        <v>229</v>
      </c>
      <c r="B230" s="73" t="s">
        <v>290</v>
      </c>
      <c r="C230" s="73" t="s">
        <v>1970</v>
      </c>
      <c r="D230" s="75" t="str">
        <f t="shared" si="4"/>
        <v>2026-01-08</v>
      </c>
      <c r="E230" s="75" t="s">
        <v>1971</v>
      </c>
      <c r="F230" s="73" t="s">
        <v>1972</v>
      </c>
      <c r="G230" s="73" t="s">
        <v>1973</v>
      </c>
      <c r="H230" s="83">
        <v>3</v>
      </c>
    </row>
    <row r="231" spans="1:8" x14ac:dyDescent="0.35">
      <c r="A231" s="58">
        <v>230</v>
      </c>
      <c r="B231" s="73" t="s">
        <v>135</v>
      </c>
      <c r="C231" s="73" t="s">
        <v>1974</v>
      </c>
      <c r="D231" s="75" t="str">
        <f t="shared" si="4"/>
        <v>2026-01-08</v>
      </c>
      <c r="E231" s="75" t="s">
        <v>1975</v>
      </c>
      <c r="F231" s="73" t="s">
        <v>1976</v>
      </c>
      <c r="G231" s="73" t="s">
        <v>144</v>
      </c>
      <c r="H231" s="83">
        <v>3</v>
      </c>
    </row>
    <row r="232" spans="1:8" x14ac:dyDescent="0.35">
      <c r="A232" s="50">
        <v>231</v>
      </c>
      <c r="B232" s="73" t="s">
        <v>435</v>
      </c>
      <c r="C232" s="73" t="s">
        <v>1977</v>
      </c>
      <c r="D232" s="75" t="str">
        <f t="shared" si="4"/>
        <v>2026-01-08</v>
      </c>
      <c r="E232" s="75" t="s">
        <v>1978</v>
      </c>
      <c r="F232" s="73" t="s">
        <v>1979</v>
      </c>
      <c r="G232" s="73" t="s">
        <v>269</v>
      </c>
      <c r="H232" s="83">
        <v>3</v>
      </c>
    </row>
    <row r="233" spans="1:8" x14ac:dyDescent="0.35">
      <c r="A233" s="58">
        <v>232</v>
      </c>
      <c r="B233" s="77" t="s">
        <v>156</v>
      </c>
      <c r="C233" s="77" t="s">
        <v>1980</v>
      </c>
      <c r="D233" s="79" t="str">
        <f t="shared" si="4"/>
        <v>2026-01-08</v>
      </c>
      <c r="E233" s="79" t="s">
        <v>1981</v>
      </c>
      <c r="F233" s="77" t="s">
        <v>1982</v>
      </c>
      <c r="G233" s="77" t="s">
        <v>1983</v>
      </c>
      <c r="H233" s="85">
        <v>4</v>
      </c>
    </row>
    <row r="234" spans="1:8" x14ac:dyDescent="0.35">
      <c r="A234" s="50"/>
      <c r="B234" s="73" t="s">
        <v>55</v>
      </c>
      <c r="C234" s="73" t="s">
        <v>2112</v>
      </c>
      <c r="D234" s="75" t="str">
        <f t="shared" ref="D234:D263" si="5">LEFT(C:C,10)</f>
        <v>2026-01-09</v>
      </c>
      <c r="E234" s="75" t="s">
        <v>2113</v>
      </c>
      <c r="F234" s="73" t="s">
        <v>2114</v>
      </c>
      <c r="G234" s="73" t="s">
        <v>2115</v>
      </c>
      <c r="H234" s="83">
        <v>3</v>
      </c>
    </row>
    <row r="235" spans="1:8" x14ac:dyDescent="0.35">
      <c r="A235" s="50"/>
      <c r="B235" s="73" t="s">
        <v>2116</v>
      </c>
      <c r="C235" s="73" t="s">
        <v>2117</v>
      </c>
      <c r="D235" s="75" t="str">
        <f t="shared" si="5"/>
        <v>2026-01-09</v>
      </c>
      <c r="E235" s="75" t="s">
        <v>2118</v>
      </c>
      <c r="F235" s="73" t="s">
        <v>2119</v>
      </c>
      <c r="G235" s="73" t="s">
        <v>138</v>
      </c>
      <c r="H235" s="83">
        <v>3</v>
      </c>
    </row>
    <row r="236" spans="1:8" x14ac:dyDescent="0.35">
      <c r="A236" s="50"/>
      <c r="B236" s="73" t="s">
        <v>2120</v>
      </c>
      <c r="C236" s="73" t="s">
        <v>2121</v>
      </c>
      <c r="D236" s="75" t="str">
        <f t="shared" si="5"/>
        <v>2026-01-09</v>
      </c>
      <c r="E236" s="75" t="s">
        <v>2122</v>
      </c>
      <c r="F236" s="73" t="s">
        <v>2123</v>
      </c>
      <c r="G236" s="73" t="s">
        <v>116</v>
      </c>
      <c r="H236" s="83">
        <v>3</v>
      </c>
    </row>
    <row r="237" spans="1:8" x14ac:dyDescent="0.35">
      <c r="A237" s="50"/>
      <c r="B237" s="73" t="s">
        <v>2124</v>
      </c>
      <c r="C237" s="73" t="s">
        <v>2125</v>
      </c>
      <c r="D237" s="75" t="str">
        <f t="shared" si="5"/>
        <v>2026-01-09</v>
      </c>
      <c r="E237" s="75" t="s">
        <v>2126</v>
      </c>
      <c r="F237" s="73" t="s">
        <v>2127</v>
      </c>
      <c r="G237" s="73" t="s">
        <v>2128</v>
      </c>
      <c r="H237" s="83">
        <v>5</v>
      </c>
    </row>
    <row r="238" spans="1:8" x14ac:dyDescent="0.35">
      <c r="A238" s="50"/>
      <c r="B238" s="73" t="s">
        <v>143</v>
      </c>
      <c r="C238" s="73" t="s">
        <v>2129</v>
      </c>
      <c r="D238" s="75" t="str">
        <f t="shared" si="5"/>
        <v>2026-01-09</v>
      </c>
      <c r="E238" s="75" t="s">
        <v>2130</v>
      </c>
      <c r="F238" s="73" t="s">
        <v>2131</v>
      </c>
      <c r="G238" s="73" t="s">
        <v>217</v>
      </c>
      <c r="H238" s="83">
        <v>4</v>
      </c>
    </row>
    <row r="239" spans="1:8" x14ac:dyDescent="0.35">
      <c r="A239" s="50"/>
      <c r="B239" s="73" t="s">
        <v>99</v>
      </c>
      <c r="C239" s="73" t="s">
        <v>2132</v>
      </c>
      <c r="D239" s="75" t="str">
        <f t="shared" si="5"/>
        <v>2026-01-09</v>
      </c>
      <c r="E239" s="75" t="s">
        <v>2133</v>
      </c>
      <c r="F239" s="73" t="s">
        <v>2134</v>
      </c>
      <c r="G239" s="73" t="s">
        <v>2135</v>
      </c>
      <c r="H239" s="83">
        <v>3</v>
      </c>
    </row>
    <row r="240" spans="1:8" x14ac:dyDescent="0.35">
      <c r="A240" s="50"/>
      <c r="B240" s="73" t="s">
        <v>266</v>
      </c>
      <c r="C240" s="73" t="s">
        <v>2136</v>
      </c>
      <c r="D240" s="75" t="str">
        <f t="shared" si="5"/>
        <v>2026-01-09</v>
      </c>
      <c r="E240" s="75" t="s">
        <v>2137</v>
      </c>
      <c r="F240" s="73" t="s">
        <v>2138</v>
      </c>
      <c r="G240" s="73" t="s">
        <v>2139</v>
      </c>
      <c r="H240" s="83">
        <v>4</v>
      </c>
    </row>
    <row r="241" spans="1:8" x14ac:dyDescent="0.35">
      <c r="A241" s="50"/>
      <c r="B241" s="73" t="s">
        <v>2140</v>
      </c>
      <c r="C241" s="73" t="s">
        <v>2141</v>
      </c>
      <c r="D241" s="75" t="str">
        <f t="shared" si="5"/>
        <v>2026-01-09</v>
      </c>
      <c r="E241" s="75" t="s">
        <v>2142</v>
      </c>
      <c r="F241" s="73" t="s">
        <v>2143</v>
      </c>
      <c r="G241" s="73" t="s">
        <v>2144</v>
      </c>
      <c r="H241" s="83">
        <v>5</v>
      </c>
    </row>
    <row r="242" spans="1:8" x14ac:dyDescent="0.35">
      <c r="A242" s="50"/>
      <c r="B242" s="73" t="s">
        <v>2145</v>
      </c>
      <c r="C242" s="73" t="s">
        <v>2146</v>
      </c>
      <c r="D242" s="75" t="str">
        <f t="shared" si="5"/>
        <v>2026-01-09</v>
      </c>
      <c r="E242" s="75" t="s">
        <v>2147</v>
      </c>
      <c r="F242" s="73" t="s">
        <v>2148</v>
      </c>
      <c r="G242" s="73" t="s">
        <v>126</v>
      </c>
      <c r="H242" s="83">
        <v>3</v>
      </c>
    </row>
    <row r="243" spans="1:8" x14ac:dyDescent="0.35">
      <c r="A243" s="50"/>
      <c r="B243" s="73" t="s">
        <v>66</v>
      </c>
      <c r="C243" s="73" t="s">
        <v>2149</v>
      </c>
      <c r="D243" s="75" t="str">
        <f t="shared" si="5"/>
        <v>2026-01-09</v>
      </c>
      <c r="E243" s="75" t="s">
        <v>2150</v>
      </c>
      <c r="F243" s="73" t="s">
        <v>2151</v>
      </c>
      <c r="G243" s="73" t="s">
        <v>146</v>
      </c>
      <c r="H243" s="83">
        <v>4</v>
      </c>
    </row>
    <row r="244" spans="1:8" x14ac:dyDescent="0.35">
      <c r="A244" s="50"/>
      <c r="B244" s="73" t="s">
        <v>2152</v>
      </c>
      <c r="C244" s="73" t="s">
        <v>2153</v>
      </c>
      <c r="D244" s="75" t="str">
        <f t="shared" si="5"/>
        <v>2026-01-09</v>
      </c>
      <c r="E244" s="75" t="s">
        <v>2154</v>
      </c>
      <c r="F244" s="73" t="s">
        <v>2155</v>
      </c>
      <c r="G244" s="73" t="s">
        <v>110</v>
      </c>
      <c r="H244" s="83">
        <v>3</v>
      </c>
    </row>
    <row r="245" spans="1:8" x14ac:dyDescent="0.35">
      <c r="A245" s="50"/>
      <c r="B245" s="73" t="s">
        <v>2156</v>
      </c>
      <c r="C245" s="73" t="s">
        <v>2157</v>
      </c>
      <c r="D245" s="75" t="str">
        <f t="shared" si="5"/>
        <v>2026-01-09</v>
      </c>
      <c r="E245" s="75" t="s">
        <v>2158</v>
      </c>
      <c r="F245" s="73" t="s">
        <v>2159</v>
      </c>
      <c r="G245" s="73" t="s">
        <v>2160</v>
      </c>
      <c r="H245" s="83">
        <v>3</v>
      </c>
    </row>
    <row r="246" spans="1:8" x14ac:dyDescent="0.35">
      <c r="A246" s="50"/>
      <c r="B246" s="73" t="s">
        <v>224</v>
      </c>
      <c r="C246" s="73" t="s">
        <v>2161</v>
      </c>
      <c r="D246" s="75" t="str">
        <f t="shared" si="5"/>
        <v>2026-01-09</v>
      </c>
      <c r="E246" s="75" t="s">
        <v>2162</v>
      </c>
      <c r="F246" s="73" t="s">
        <v>2163</v>
      </c>
      <c r="G246" s="73" t="s">
        <v>416</v>
      </c>
      <c r="H246" s="83">
        <v>5</v>
      </c>
    </row>
    <row r="247" spans="1:8" x14ac:dyDescent="0.35">
      <c r="A247" s="50"/>
      <c r="B247" s="73" t="s">
        <v>2164</v>
      </c>
      <c r="C247" s="73" t="s">
        <v>2165</v>
      </c>
      <c r="D247" s="75" t="str">
        <f t="shared" si="5"/>
        <v>2026-01-09</v>
      </c>
      <c r="E247" s="75" t="s">
        <v>2166</v>
      </c>
      <c r="F247" s="73" t="s">
        <v>2167</v>
      </c>
      <c r="G247" s="73" t="s">
        <v>981</v>
      </c>
      <c r="H247" s="83">
        <v>3</v>
      </c>
    </row>
    <row r="248" spans="1:8" x14ac:dyDescent="0.35">
      <c r="A248" s="50"/>
      <c r="B248" s="73" t="s">
        <v>2168</v>
      </c>
      <c r="C248" s="73" t="s">
        <v>2169</v>
      </c>
      <c r="D248" s="75" t="str">
        <f t="shared" si="5"/>
        <v>2026-01-09</v>
      </c>
      <c r="E248" s="75" t="s">
        <v>2170</v>
      </c>
      <c r="F248" s="73" t="s">
        <v>2171</v>
      </c>
      <c r="G248" s="73" t="s">
        <v>116</v>
      </c>
      <c r="H248" s="83">
        <v>3</v>
      </c>
    </row>
    <row r="249" spans="1:8" x14ac:dyDescent="0.35">
      <c r="A249" s="50"/>
      <c r="B249" s="73" t="s">
        <v>2172</v>
      </c>
      <c r="C249" s="73" t="s">
        <v>2173</v>
      </c>
      <c r="D249" s="75" t="str">
        <f t="shared" si="5"/>
        <v>2026-01-09</v>
      </c>
      <c r="E249" s="75" t="s">
        <v>2174</v>
      </c>
      <c r="F249" s="73" t="s">
        <v>2175</v>
      </c>
      <c r="G249" s="73" t="s">
        <v>442</v>
      </c>
      <c r="H249" s="83">
        <v>3</v>
      </c>
    </row>
    <row r="250" spans="1:8" x14ac:dyDescent="0.35">
      <c r="A250" s="50"/>
      <c r="B250" s="73" t="s">
        <v>2176</v>
      </c>
      <c r="C250" s="73" t="s">
        <v>2177</v>
      </c>
      <c r="D250" s="75" t="str">
        <f t="shared" si="5"/>
        <v>2026-01-09</v>
      </c>
      <c r="E250" s="75" t="s">
        <v>2178</v>
      </c>
      <c r="F250" s="73" t="s">
        <v>2179</v>
      </c>
      <c r="G250" s="73" t="s">
        <v>2180</v>
      </c>
      <c r="H250" s="83">
        <v>3</v>
      </c>
    </row>
    <row r="251" spans="1:8" x14ac:dyDescent="0.35">
      <c r="A251" s="50"/>
      <c r="B251" s="73" t="s">
        <v>69</v>
      </c>
      <c r="C251" s="73" t="s">
        <v>2181</v>
      </c>
      <c r="D251" s="75" t="str">
        <f t="shared" si="5"/>
        <v>2026-01-09</v>
      </c>
      <c r="E251" s="75" t="s">
        <v>2182</v>
      </c>
      <c r="F251" s="73" t="s">
        <v>2183</v>
      </c>
      <c r="G251" s="73" t="s">
        <v>2184</v>
      </c>
      <c r="H251" s="83">
        <v>8</v>
      </c>
    </row>
    <row r="252" spans="1:8" x14ac:dyDescent="0.35">
      <c r="A252" s="50"/>
      <c r="B252" s="73" t="s">
        <v>137</v>
      </c>
      <c r="C252" s="73" t="s">
        <v>2185</v>
      </c>
      <c r="D252" s="75" t="str">
        <f t="shared" si="5"/>
        <v>2026-01-09</v>
      </c>
      <c r="E252" s="75" t="s">
        <v>2186</v>
      </c>
      <c r="F252" s="73" t="s">
        <v>2187</v>
      </c>
      <c r="G252" s="73" t="s">
        <v>2188</v>
      </c>
      <c r="H252" s="83">
        <v>3</v>
      </c>
    </row>
    <row r="253" spans="1:8" x14ac:dyDescent="0.35">
      <c r="A253" s="50"/>
      <c r="B253" s="73" t="s">
        <v>2189</v>
      </c>
      <c r="C253" s="73" t="s">
        <v>2190</v>
      </c>
      <c r="D253" s="75" t="str">
        <f t="shared" si="5"/>
        <v>2026-01-09</v>
      </c>
      <c r="E253" s="75" t="s">
        <v>2191</v>
      </c>
      <c r="F253" s="73" t="s">
        <v>2192</v>
      </c>
      <c r="G253" s="73" t="s">
        <v>2193</v>
      </c>
      <c r="H253" s="83">
        <v>3</v>
      </c>
    </row>
    <row r="254" spans="1:8" x14ac:dyDescent="0.35">
      <c r="A254" s="50"/>
      <c r="B254" s="73" t="s">
        <v>97</v>
      </c>
      <c r="C254" s="73" t="s">
        <v>2194</v>
      </c>
      <c r="D254" s="75" t="str">
        <f t="shared" si="5"/>
        <v>2026-01-09</v>
      </c>
      <c r="E254" s="75" t="s">
        <v>2195</v>
      </c>
      <c r="F254" s="73" t="s">
        <v>2196</v>
      </c>
      <c r="G254" s="73" t="s">
        <v>2197</v>
      </c>
      <c r="H254" s="83">
        <v>3</v>
      </c>
    </row>
    <row r="255" spans="1:8" x14ac:dyDescent="0.35">
      <c r="A255" s="50"/>
      <c r="B255" s="73" t="s">
        <v>2198</v>
      </c>
      <c r="C255" s="73" t="s">
        <v>2199</v>
      </c>
      <c r="D255" s="75" t="str">
        <f t="shared" si="5"/>
        <v>2026-01-09</v>
      </c>
      <c r="E255" s="75" t="s">
        <v>2200</v>
      </c>
      <c r="F255" s="73" t="s">
        <v>2201</v>
      </c>
      <c r="G255" s="73" t="s">
        <v>2202</v>
      </c>
      <c r="H255" s="83">
        <v>3</v>
      </c>
    </row>
    <row r="256" spans="1:8" x14ac:dyDescent="0.35">
      <c r="A256" s="50"/>
      <c r="B256" s="73" t="s">
        <v>103</v>
      </c>
      <c r="C256" s="73" t="s">
        <v>2203</v>
      </c>
      <c r="D256" s="75" t="str">
        <f t="shared" si="5"/>
        <v>2026-01-09</v>
      </c>
      <c r="E256" s="75" t="s">
        <v>2204</v>
      </c>
      <c r="F256" s="73" t="s">
        <v>2205</v>
      </c>
      <c r="G256" s="73" t="s">
        <v>119</v>
      </c>
      <c r="H256" s="83">
        <v>4</v>
      </c>
    </row>
    <row r="257" spans="1:8" x14ac:dyDescent="0.35">
      <c r="A257" s="50"/>
      <c r="B257" s="73" t="s">
        <v>284</v>
      </c>
      <c r="C257" s="73" t="s">
        <v>2206</v>
      </c>
      <c r="D257" s="75" t="str">
        <f t="shared" si="5"/>
        <v>2026-01-09</v>
      </c>
      <c r="E257" s="75" t="s">
        <v>2207</v>
      </c>
      <c r="F257" s="73" t="s">
        <v>2208</v>
      </c>
      <c r="G257" s="73" t="s">
        <v>2209</v>
      </c>
      <c r="H257" s="83">
        <v>3</v>
      </c>
    </row>
    <row r="258" spans="1:8" x14ac:dyDescent="0.35">
      <c r="A258" s="50"/>
      <c r="B258" s="73" t="s">
        <v>96</v>
      </c>
      <c r="C258" s="73" t="s">
        <v>2210</v>
      </c>
      <c r="D258" s="75" t="str">
        <f t="shared" si="5"/>
        <v>2026-01-09</v>
      </c>
      <c r="E258" s="75" t="s">
        <v>2211</v>
      </c>
      <c r="F258" s="73" t="s">
        <v>2212</v>
      </c>
      <c r="G258" s="73" t="s">
        <v>144</v>
      </c>
      <c r="H258" s="83">
        <v>3</v>
      </c>
    </row>
    <row r="259" spans="1:8" x14ac:dyDescent="0.35">
      <c r="A259" s="50"/>
      <c r="B259" s="73" t="s">
        <v>1908</v>
      </c>
      <c r="C259" s="73" t="s">
        <v>2213</v>
      </c>
      <c r="D259" s="75" t="str">
        <f t="shared" si="5"/>
        <v>2026-01-09</v>
      </c>
      <c r="E259" s="75" t="s">
        <v>2214</v>
      </c>
      <c r="F259" s="73" t="s">
        <v>2215</v>
      </c>
      <c r="G259" s="73" t="s">
        <v>120</v>
      </c>
      <c r="H259" s="83">
        <v>4</v>
      </c>
    </row>
    <row r="260" spans="1:8" x14ac:dyDescent="0.35">
      <c r="A260" s="50"/>
      <c r="B260" s="73" t="s">
        <v>2216</v>
      </c>
      <c r="C260" s="73" t="s">
        <v>2217</v>
      </c>
      <c r="D260" s="75" t="str">
        <f t="shared" si="5"/>
        <v>2026-01-09</v>
      </c>
      <c r="E260" s="75" t="s">
        <v>2218</v>
      </c>
      <c r="F260" s="73" t="s">
        <v>2219</v>
      </c>
      <c r="G260" s="73" t="s">
        <v>172</v>
      </c>
      <c r="H260" s="83">
        <v>3</v>
      </c>
    </row>
    <row r="261" spans="1:8" x14ac:dyDescent="0.35">
      <c r="A261" s="50"/>
      <c r="B261" s="73" t="s">
        <v>290</v>
      </c>
      <c r="C261" s="73" t="s">
        <v>2220</v>
      </c>
      <c r="D261" s="75" t="str">
        <f t="shared" si="5"/>
        <v>2026-01-09</v>
      </c>
      <c r="E261" s="75" t="s">
        <v>2221</v>
      </c>
      <c r="F261" s="73" t="s">
        <v>2222</v>
      </c>
      <c r="G261" s="73" t="s">
        <v>509</v>
      </c>
      <c r="H261" s="83">
        <v>4</v>
      </c>
    </row>
    <row r="262" spans="1:8" x14ac:dyDescent="0.35">
      <c r="A262" s="50"/>
      <c r="B262" s="73" t="s">
        <v>135</v>
      </c>
      <c r="C262" s="73" t="s">
        <v>2157</v>
      </c>
      <c r="D262" s="75" t="str">
        <f t="shared" si="5"/>
        <v>2026-01-09</v>
      </c>
      <c r="E262" s="75" t="s">
        <v>2158</v>
      </c>
      <c r="F262" s="73" t="s">
        <v>2223</v>
      </c>
      <c r="G262" s="73" t="s">
        <v>2224</v>
      </c>
      <c r="H262" s="83">
        <v>4</v>
      </c>
    </row>
    <row r="263" spans="1:8" x14ac:dyDescent="0.35">
      <c r="A263" s="58"/>
      <c r="B263" s="77" t="s">
        <v>247</v>
      </c>
      <c r="C263" s="77" t="s">
        <v>2225</v>
      </c>
      <c r="D263" s="79" t="str">
        <f t="shared" si="5"/>
        <v>2026-01-09</v>
      </c>
      <c r="E263" s="79" t="s">
        <v>2226</v>
      </c>
      <c r="F263" s="77" t="s">
        <v>2227</v>
      </c>
      <c r="G263" s="77" t="s">
        <v>144</v>
      </c>
      <c r="H263" s="85">
        <v>4</v>
      </c>
    </row>
  </sheetData>
  <hyperlinks>
    <hyperlink ref="G3" r:id="rId1" xr:uid="{556D0496-0C5E-40C2-8521-7C81CA9A6473}"/>
    <hyperlink ref="F3" r:id="rId2" display="T867EBY =&amp;gt; IDLING. At 01.01.2026 06:57:50 it moved with speed 0 km/h near 'T2, Tanga, Handeni, Tanzania, 1.43 km from Ugweno'." xr:uid="{A1F3147B-A7CF-4C57-A08D-E81FC2F90151}"/>
    <hyperlink ref="C2" r:id="rId3" xr:uid="{48CE27E0-4139-4CE2-8A81-939087F16D3C}"/>
    <hyperlink ref="G2" r:id="rId4" xr:uid="{BC45FCDF-E078-47A4-B9FA-C39B39EED39E}"/>
    <hyperlink ref="F2" r:id="rId5" display="T930EBW =&amp;gt; IDLING. At 01.01.2026 06:56:42 it moved with speed 0 km/h near 'T2, Tanga, Handeni, Tanzania, 1.45 km from Ugweno'." xr:uid="{9A0148C9-0D0F-4846-B98E-9411DD95AC3D}"/>
    <hyperlink ref="C3" r:id="rId6" xr:uid="{6C726327-85B8-4A31-9152-E829B305B146}"/>
    <hyperlink ref="C5" r:id="rId7" xr:uid="{3AE27CFE-B5D7-4152-9A8F-7009D74FB5A2}"/>
    <hyperlink ref="C6" r:id="rId8" xr:uid="{E1C7127D-717B-440F-8CFA-D83C0F19142F}"/>
    <hyperlink ref="F4" r:id="rId9" display="T439DHG =&amp;gt; IDLING. At 01.01.2026 07:36:20 it moved with speed 0 km/h near 'Great North Road, Muchinga Province, Zambia, 5.18 km from Two Leopards'." xr:uid="{E3309C54-D388-4565-A7B3-3C7E70193152}"/>
    <hyperlink ref="G6" r:id="rId10" xr:uid="{ACA23EF7-ACAE-4E77-886C-835E9DCFE1DA}"/>
    <hyperlink ref="F5" r:id="rId11" display="T378DHG =&amp;gt; IDLING. At 01.01.2026 07:51:55 it moved with speed 0 km/h near 'T3, Copperbelt Province, Zambia, 51.96 km from Ndola'." xr:uid="{B5602B16-62D2-4B61-A11E-1B922BDC705B}"/>
    <hyperlink ref="C4" r:id="rId12" xr:uid="{E9AFFCF0-C498-486F-B46F-C0BFC71E6575}"/>
    <hyperlink ref="F6" r:id="rId13" display="T517EBY =&amp;gt; IDLING. At 01.01.2026 07:59:46 it moved with speed 0 km/h near 'Mbala - Nakonde Road, Muchinga Province, Zambia, 5.25 km from Mwezo'." xr:uid="{DDF29B51-750C-4395-AA20-77890DB0B140}"/>
    <hyperlink ref="G4" r:id="rId14" xr:uid="{7CEF7EE1-35C2-4D66-B076-8B383D90A7E3}"/>
    <hyperlink ref="G5" r:id="rId15" xr:uid="{098ABDD2-AB0C-4B0D-8913-69E2F366AD95}"/>
    <hyperlink ref="G8" r:id="rId16" xr:uid="{88AFD507-1CF5-40FB-B08B-778F00B4D0B7}"/>
    <hyperlink ref="C8" r:id="rId17" xr:uid="{C73D6F1F-3238-4749-B748-621C03717F31}"/>
    <hyperlink ref="C7" r:id="rId18" xr:uid="{49D0D2A8-F588-4CC3-AAB6-759BACD449E3}"/>
    <hyperlink ref="F7" r:id="rId19" display="T799DYR =&amp;gt; IDLING. At 01.01.2026 08:08:53 it moved with speed 0 km/h near 'Morogoro Main Road, Pwani, Kibaha, Tanzania, Mwendapole B'." xr:uid="{213128ED-E995-45AF-ACEA-A4738F583D1B}"/>
    <hyperlink ref="G7" r:id="rId20" xr:uid="{5BFED747-017F-4D52-85A2-144A6FB6BCFB}"/>
    <hyperlink ref="F8" r:id="rId21" display="T792EBW =&amp;gt; IDLING. At 01.01.2026 08:21:22 it moved with speed 0 km/h near 'Great North Road, Central Province, Zambia, 11.45 km from Kanona'." xr:uid="{CF8D2DB9-97D3-49B8-8C92-4AB81A073C77}"/>
    <hyperlink ref="G9" r:id="rId22" xr:uid="{16538953-E5AF-4BF4-AD4D-367F2BA2909F}"/>
    <hyperlink ref="F9" r:id="rId23" display="T737DEB =&amp;gt; IDLING. At 01.01.2026 08:31:35 it moved with speed 0 km/h near 'Rn1, Lualaba, Democratic Republic of the Congo, 2.56 km from Kaidi'." xr:uid="{C1D90695-222F-46BA-AB6F-5C93604C966E}"/>
    <hyperlink ref="C9" r:id="rId24" xr:uid="{5396AF18-9151-4314-8D1E-4BBBA7310DEE}"/>
    <hyperlink ref="G10" r:id="rId25" xr:uid="{38CB5A02-FAEC-4794-A27D-E28024378EE4}"/>
    <hyperlink ref="F10" r:id="rId26" display="T514EBY =&amp;gt; IDLING. At 01.01.2026 08:44:44 it moved with speed 0 km/h near 'T1, Mbeya, Tanzania, Kongolo Mkola'." xr:uid="{3EFD6882-436B-4B1B-A3C7-838638EDCE06}"/>
    <hyperlink ref="C10" r:id="rId27" xr:uid="{BBABE7D3-EBA6-409A-8E72-90445AF7D4A5}"/>
    <hyperlink ref="G11" r:id="rId28" xr:uid="{E4D46C01-9FEE-4A2A-80DB-74B3EB2503E8}"/>
    <hyperlink ref="C11" r:id="rId29" xr:uid="{5069A82B-BE56-4F05-A73E-107E7D92E073}"/>
    <hyperlink ref="F11" r:id="rId30" display="T907EBW =&amp;gt; IDLING. At 01.01.2026 09:00:49 it moved with speed 0 km/h near 'Tanzam Road, Mbeya, Kalobe, Tanzania, 2.40 km from Mbeya'." xr:uid="{0850B779-783D-4846-9F66-AB42E266DE6C}"/>
    <hyperlink ref="F12" r:id="rId31" display="T934EBW =&amp;gt; IDLING. At 01.01.2026 09:16:10 it moved with speed 0 km/h near 'Great North Road, Muchinga Province, Zambia, Kalungu'." xr:uid="{23CC7E53-57D6-4B2C-B68D-2CA5854F6F6B}"/>
    <hyperlink ref="C12" r:id="rId32" xr:uid="{252C81BA-1378-4617-9EC7-75455073F0D7}"/>
    <hyperlink ref="G12" r:id="rId33" xr:uid="{CFCB141E-C65F-45FD-B2D7-A7A027D5FBDB}"/>
    <hyperlink ref="F15" r:id="rId34" display="T491DYR =&amp;gt; IDLING. At 01.01.2026 09:43:10 it moved with speed 0 km/h near 'T1, Pwani, Bagamoyo, Tanzania, 1.76 km from Vigwaza'." xr:uid="{C01CDFA1-EE3B-4A57-8CB1-05525DFC1405}"/>
    <hyperlink ref="F16" r:id="rId35" display="T378ECN =&amp;gt; IDLING. At 01.01.2026 09:44:22 it moved with speed 0 km/h near 'Great North Road, Muchinga Province, Zambia, Kalungu'." xr:uid="{93EA16FC-CFDB-4544-A354-864A073D11A1}"/>
    <hyperlink ref="G15" r:id="rId36" xr:uid="{ACD7F3F7-ED21-4C98-A29E-BA34C14E43AC}"/>
    <hyperlink ref="G14" r:id="rId37" xr:uid="{2C020299-1B7C-449D-9C44-D874461A6DC3}"/>
    <hyperlink ref="F13" r:id="rId38" display="T799EBW =&amp;gt; IDLING. At 01.01.2026 09:36:51 it moved with speed 0 km/h near 'Regional Hospital Road, Mbeya, Nzovwe, Tanzania, 2.40 km from Mbeya'." xr:uid="{42472E56-38AE-4BAE-8D7F-D8B94391B1EB}"/>
    <hyperlink ref="G13" r:id="rId39" xr:uid="{24BFDE1A-04D2-4FFC-A931-9047BBA86E5D}"/>
    <hyperlink ref="C14" r:id="rId40" xr:uid="{A4763149-A96D-42AD-8697-95BB9343A933}"/>
    <hyperlink ref="G16" r:id="rId41" xr:uid="{87B0B0B5-36B0-48EE-80D2-9211946D1E81}"/>
    <hyperlink ref="C16" r:id="rId42" xr:uid="{E2214833-D46F-4547-A726-789945FD3982}"/>
    <hyperlink ref="F14" r:id="rId43" display="T871EBW =&amp;gt; IDLING. At 01.01.2026 09:41:56 it moved with speed 0 km/h near 'Great North Road, Muchinga Province, Zambia, Kalungu'." xr:uid="{A0B7B56E-DAFD-49C3-B229-66A513B0D1DB}"/>
    <hyperlink ref="C15" r:id="rId44" xr:uid="{108C4E56-BC26-4ACF-97B5-AF2592070184}"/>
    <hyperlink ref="C13" r:id="rId45" xr:uid="{9777F82F-BA73-42F0-89F5-AE0A6BF78769}"/>
    <hyperlink ref="C17" r:id="rId46" xr:uid="{2342FC76-C1DF-46F2-A5E9-DD50B6B6B0FA}"/>
    <hyperlink ref="F17" r:id="rId47" display="T591DTQ =&amp;gt; IDLING. At 01.01.2026 10:34:13 it moved with speed 0 km/h near 'Tanzania To Zambia Road, Iringa, Mufindi, Tanzania, 1.83 km from Ifunda'." xr:uid="{3AC1421C-A11C-4262-ADA7-E9E0E4E50248}"/>
    <hyperlink ref="G17" r:id="rId48" xr:uid="{42420648-11F7-4112-871A-4902C7A522F5}"/>
    <hyperlink ref="F18" r:id="rId49" display="T382ECN =&amp;gt; IDLING. At 01.01.2026 11:18:32 it moved with speed 0 km/h near 'T1, Njombe, Tanzania, Igawa'." xr:uid="{37E70447-D143-49A0-A5DC-126D8E963D8F}"/>
    <hyperlink ref="C18" r:id="rId50" xr:uid="{B5AA9975-C5EA-4591-AC31-8692FF74D662}"/>
    <hyperlink ref="G18" r:id="rId51" xr:uid="{221F6FD5-9DE0-4CC5-B9A8-01C58BCFDDD1}"/>
    <hyperlink ref="G19" r:id="rId52" xr:uid="{4C1F5F9D-E4BE-4041-8B2C-DBE1602C1248}"/>
    <hyperlink ref="C20" r:id="rId53" xr:uid="{670DF967-D073-455D-985A-C89C8FB312B0}"/>
    <hyperlink ref="F20" r:id="rId54" display="T416DCT =&amp;gt; IDLING. At 01.01.2026 11:57:14 it moved with speed 0 km/h near 'T1, Mbeya, Tanzania, Mambi'." xr:uid="{65C50562-6454-4D9D-A5B2-31E6F66D3AD9}"/>
    <hyperlink ref="F19" r:id="rId55" display="T396ECN =&amp;gt; IDLING. At 01.01.2026 11:55:03 it moved with speed 0 km/h near 'Great North Road, Muchinga Province, Zambia, 6.12 km from Kalungu'." xr:uid="{779F7260-CE04-4CEC-AB2B-5BEF87135CE0}"/>
    <hyperlink ref="G20" r:id="rId56" xr:uid="{E87BAD0C-0AD8-4334-8304-565D0DC96AE0}"/>
    <hyperlink ref="C19" r:id="rId57" xr:uid="{FA52CFA5-844D-4E36-A249-85A64A66E121}"/>
    <hyperlink ref="G21" r:id="rId58" xr:uid="{CB2D2398-9398-4FA5-B680-EA23F66F3D1C}"/>
    <hyperlink ref="C21" r:id="rId59" xr:uid="{99225EDF-922B-44CD-99C9-094690555805}"/>
    <hyperlink ref="F21" r:id="rId60" display="T728DYR =&amp;gt; IDLING. At 01.01.2026 12:03:25 it moved with speed 0 km/h near 'T1, Njombe, Tanzania, 1.47 km from Nyololo'." xr:uid="{D9B5F83E-2208-4978-AAED-22F4BED7C5BB}"/>
    <hyperlink ref="F22" r:id="rId61" display="T905EBW =&amp;gt; IDLING. At 01.01.2026 12:12:25 it moved with speed 0 km/h near 'T1, Mbeya, Tanzania, 1.09 km from Lunwa'." xr:uid="{F59811F4-38AA-4563-A761-B5FD63750CDE}"/>
    <hyperlink ref="C22" r:id="rId62" xr:uid="{BDBE0F15-66C7-4FD5-B29D-0DB73DB1C11D}"/>
    <hyperlink ref="G22" r:id="rId63" xr:uid="{C4C6753D-E443-46EA-B9B8-EB6EC69FB8A2}"/>
    <hyperlink ref="F23" r:id="rId64" display="T337EBX =&amp;gt; IDLING. At 01.01.2026 12:20:33 it moved with speed 0 km/h near 'Tanzania To Zambia Road, Iringa, Mufindi, Tanzania, 1.78 km from Ifunda'." xr:uid="{0CE9293F-3795-45CA-BE38-E62B12B76154}"/>
    <hyperlink ref="C23" r:id="rId65" xr:uid="{0C4E2826-3361-4B98-9E60-07B7BD669A7C}"/>
    <hyperlink ref="G23" r:id="rId66" xr:uid="{CFAF33FF-12A7-4ABF-9488-DEE09E1790DC}"/>
    <hyperlink ref="G24" r:id="rId67" xr:uid="{BABE0D53-61B0-4B8A-8367-868B97F9FD7B}"/>
    <hyperlink ref="C24" r:id="rId68" xr:uid="{1E533D5F-5E89-4970-BDB9-A1E53235CFD8}"/>
    <hyperlink ref="F24" r:id="rId69" display="T266EBX =&amp;gt; IDLING. At 01.01.2026 12:28:41 it moved with speed 0 km/h near 'Great North Road, Central Province, Zambia, 1.88 km from Mkushi River'." xr:uid="{34C5DA3E-A82A-442A-9606-DD8D338B618E}"/>
    <hyperlink ref="C25" r:id="rId70" xr:uid="{6C7106D5-CEA9-417D-82FD-3C100367DEE9}"/>
    <hyperlink ref="G25" r:id="rId71" xr:uid="{0F90BDCD-610C-4E59-8DC6-3A81C3D40F65}"/>
    <hyperlink ref="F25" r:id="rId72" display="T326ECN =&amp;gt; IDLING. At 01.01.2026 12:47:07 it moved with speed 0 km/h near 'Great North Road, Muchinga Province, Zambia, 7.97 km from Mwezo'." xr:uid="{D9E3697B-6F81-49EA-B976-380EF1A69872}"/>
    <hyperlink ref="C26" r:id="rId73" xr:uid="{352CE533-9F0C-439B-B1F2-5527B7AE674C}"/>
    <hyperlink ref="F26" r:id="rId74" display="T431DHG =&amp;gt; IDLING. At 01.01.2026 12:53:47 it moved with speed 0 km/h near 'Iringa Road, Iringa, Tanzania, Mtandika 'A''." xr:uid="{51BCD437-BFB3-4DBE-9562-4F5296DA4D71}"/>
    <hyperlink ref="G26" r:id="rId75" xr:uid="{6D05994E-ED6E-4FB1-95A0-ABDF4BF49303}"/>
    <hyperlink ref="G27" r:id="rId76" xr:uid="{6E36F44B-97BA-46EB-B31F-1A8213BE3A45}"/>
    <hyperlink ref="F27" r:id="rId77" display="T595DTQ =&amp;gt; IDLING. At 01.01.2026 14:27:59 it moved with speed 0 km/h near 'Tanzania To Zambia Road, Iringa, Mufindi, Tanzania, Kinyanambo'." xr:uid="{D1F7069F-F869-48BE-86DF-2456A386C58D}"/>
    <hyperlink ref="C27" r:id="rId78" xr:uid="{A73478D4-3F47-4D40-849A-A985B3630971}"/>
    <hyperlink ref="F28" r:id="rId79" display="T772DYR =&amp;gt; IDLING. At 01.01.2026 14:54:04 it moved with speed 0 km/h near 'Tanzam Road, Mbeya, Kalobe, Tanzania, 2.33 km from Mbeya'." xr:uid="{EEF81309-FAB1-4030-B7B3-ED29B58DE8FF}"/>
    <hyperlink ref="G28" r:id="rId80" xr:uid="{2C263B74-8903-4CCF-A50B-FB29D2650AEA}"/>
    <hyperlink ref="C28" r:id="rId81" xr:uid="{6CEDA704-FBC2-44B4-894D-DC07284A26D5}"/>
    <hyperlink ref="C29" r:id="rId82" xr:uid="{1A9828CB-39B5-4F0A-8E67-51AF031C6529}"/>
    <hyperlink ref="C30" r:id="rId83" xr:uid="{755A5F9A-6E1B-4157-A980-DCCFEBB2E431}"/>
    <hyperlink ref="G31" r:id="rId84" xr:uid="{B74D9F52-99A0-4AE9-B901-B205F2AF1FFB}"/>
    <hyperlink ref="F31" r:id="rId85" display="T584DTQ =&amp;gt; IDLING. At 01.01.2026 15:35:57 it moved with speed 0 km/h near 'Tanzania To Zambia Road, Iringa, Mufindi, Tanzania, 1.65 km from Ifunda'." xr:uid="{3BDD8BAD-3E74-441C-A310-B888ACBEC5EE}"/>
    <hyperlink ref="F29" r:id="rId86" display="T564DEB =&amp;gt; IDLING. At 01.01.2026 15:29:29 it moved with speed 0 km/h near 'Great North Road, Muchinga Province, Zambia, Kalungu'." xr:uid="{71CF947B-6602-4E28-BEAE-F1ECCC046552}"/>
    <hyperlink ref="C31" r:id="rId87" xr:uid="{56E98049-EBDE-4B94-9F58-330756CDFF39}"/>
    <hyperlink ref="G29" r:id="rId88" xr:uid="{449F9EAA-AE78-4F0F-A205-9DA70B1DEEF6}"/>
    <hyperlink ref="G30" r:id="rId89" xr:uid="{93ADA085-D5A1-4B83-9D6A-74A2996E207C}"/>
    <hyperlink ref="F30" r:id="rId90" display="T299DCT =&amp;gt; IDLING. At 01.01.2026 15:33:22 it moved with speed 0 km/h near 'Great North Road, Muchinga Province, Zambia, Kalungu'." xr:uid="{AF419A4A-713B-4BC2-B3D5-6AA7B5AE7079}"/>
    <hyperlink ref="G32" r:id="rId91" xr:uid="{F9942DF5-53DA-40F3-9F72-4E8C8445AB7D}"/>
    <hyperlink ref="C32" r:id="rId92" xr:uid="{E7F289E3-0944-44E4-A9DB-DCC229AFE206}"/>
    <hyperlink ref="F32" r:id="rId93" display="T720DYR =&amp;gt; IDLING. At 01.01.2026 15:52:04 it moved with speed 0 km/h near 'Tanzam Road, Mbeya, Kalobe, Tanzania, 2.31 km from Mbeya'." xr:uid="{E0ED8543-D79E-4A29-BB8D-63F7399435FE}"/>
    <hyperlink ref="C33" r:id="rId94" xr:uid="{2E48CC3F-A6DC-4ECE-A88D-E999A82C611C}"/>
    <hyperlink ref="F33" r:id="rId95" display="T724DYR =&amp;gt; IDLING. At 01.01.2026 16:37:13 it moved with speed 0 km/h near 'Great North Road, Central Province, Zambia, 10.41 km from Tanemeka'." xr:uid="{C80EBAF0-24BA-4E4F-A33C-9A27B2D20619}"/>
    <hyperlink ref="G33" r:id="rId96" xr:uid="{10748CAB-5EF4-4CC5-8626-62C049A6A59C}"/>
    <hyperlink ref="G34" r:id="rId97" xr:uid="{8032D677-EC3C-41DA-BB62-0A5051BF5334}"/>
    <hyperlink ref="F34" r:id="rId98" display="T712DYR =&amp;gt; IDLING. At 01.01.2026 16:47:44 it moved with speed 0 km/h near 'Tanzam Road, Mbeya, Kalobe, Tanzania, 2.29 km from Mbeya'." xr:uid="{89C0805F-215C-49F6-8E7A-57E5F96940F2}"/>
    <hyperlink ref="C34" r:id="rId99" xr:uid="{2F46BC73-6C72-4FBD-B836-7D77B8CC89E1}"/>
    <hyperlink ref="G36" r:id="rId100" xr:uid="{B88A7D8E-1538-4C12-A7BB-18CD0C770A40}"/>
    <hyperlink ref="G38" r:id="rId101" xr:uid="{6D72DE87-F49A-4CD2-B5D1-0AFE0D136281}"/>
    <hyperlink ref="C37" r:id="rId102" xr:uid="{B1C35DD7-6522-499D-9A21-76070C8C84A9}"/>
    <hyperlink ref="G37" r:id="rId103" xr:uid="{EA8ADFB7-A8B8-4312-9C5D-09B340E79DD1}"/>
    <hyperlink ref="F35" r:id="rId104" display="T373DHG =&amp;gt; IDLING. At 02.01.2026 05:06:31 it moved with speed 0 km/h near 'Iringa Road, Lundamatwe, Iringa, Tanzania'." xr:uid="{6A88CAF6-359A-46F7-91C8-2AE0A386CD13}"/>
    <hyperlink ref="C38" r:id="rId105" xr:uid="{E96CDDBB-88A4-451A-9E96-912DEA8A64D3}"/>
    <hyperlink ref="F37" r:id="rId106" display="T905EBW =&amp;gt; IDLING. At 02.01.2026 06:29:52 it moved with speed 0 km/h near 'Tanzam Road, Mbeya, Kalobe, Tanzania, 2.37 km from Mbeya'." xr:uid="{39221FB7-D727-495D-90CC-3EDE69FDD1CE}"/>
    <hyperlink ref="F38" r:id="rId107" display="T444DHG =&amp;gt; IDLING. At 02.01.2026 06:30:24 it moved with speed 0 km/h near 'T1, Mbeya, Tanzania, 4.97 km from Mswiswi'." xr:uid="{0F02442C-CDDE-436C-8225-64383B52415B}"/>
    <hyperlink ref="G35" r:id="rId108" xr:uid="{94B34841-4D76-4CCB-86C2-694EBBC3520D}"/>
    <hyperlink ref="C35" r:id="rId109" xr:uid="{91A35F4A-E5CC-4F90-A1F5-C6D864F5EFDD}"/>
    <hyperlink ref="C36" r:id="rId110" xr:uid="{3EB874FC-1046-4566-9411-4E0E33E91A73}"/>
    <hyperlink ref="F36" r:id="rId111" display="T728DYR =&amp;gt; IDLING. At 02.01.2026 06:24:32 it moved with speed 0 km/h near 'Tanzam Road, Mbeya, Kalobe, Tanzania, 2.31 km from Mbeya'." xr:uid="{4797DC7D-4A8A-4D3A-AE39-D2A54AF1D4B2}"/>
    <hyperlink ref="C39" r:id="rId112" xr:uid="{FD405398-7D72-4CA9-AD16-D5DB001ECD2C}"/>
    <hyperlink ref="F39" r:id="rId113" display="T960DSX =&amp;gt; IDLING. At 02.01.2026 07:06:29 it moved with speed 0 km/h near 'T1, Mbeya, Tanzania, 4.80 km from Makwenje'." xr:uid="{01825878-70BA-4121-8F37-1EDD9885508C}"/>
    <hyperlink ref="G39" r:id="rId114" xr:uid="{6325B022-CB24-4E4D-B352-0A101A0A7B11}"/>
    <hyperlink ref="F40" r:id="rId115" display="T588DTQ =&amp;gt; IDLING. At 02.01.2026 07:49:59 it moved with speed 0 km/h near 'T1, Mbeya, Tanzania, Makwenje'." xr:uid="{B96EF0C6-E686-4152-B0C7-11F4888B0C90}"/>
    <hyperlink ref="C40" r:id="rId116" xr:uid="{A5444A25-ECE2-4690-89D8-086E23A6998B}"/>
    <hyperlink ref="G40" r:id="rId117" xr:uid="{5F791B9B-9EA5-4916-B751-68D290735DFF}"/>
    <hyperlink ref="C42" r:id="rId118" xr:uid="{01102D3A-8923-436D-AB97-0619D8C0E912}"/>
    <hyperlink ref="G41" r:id="rId119" xr:uid="{6F61D937-0E2C-4CED-AE6D-D66A8B04D39A}"/>
    <hyperlink ref="F41" r:id="rId120" display="T491DYR =&amp;gt; IDLING. At 02.01.2026 08:29:55 it moved with speed 0 km/h near 'Iringa Road, Iringa, Tanzania, 1.19 km from Ruaha Mbuyumi'." xr:uid="{F2F2D6BC-42D9-443F-B0FB-06E12CEC26C2}"/>
    <hyperlink ref="C41" r:id="rId121" xr:uid="{C0A57580-22B0-44FC-A099-850E4C52F2B5}"/>
    <hyperlink ref="G42" r:id="rId122" xr:uid="{F23BE9EF-B189-4236-9BDF-1A9F7969666F}"/>
    <hyperlink ref="C43" r:id="rId123" xr:uid="{12CD47E3-CB80-4CE8-96CA-681B7FBF6FFA}"/>
    <hyperlink ref="F43" r:id="rId124" display="T977EBW =&amp;gt; IDLING. At 02.01.2026 08:36:50 it moved with speed 0 km/h near 'Tanzam Road, Mbeya, Kalobe, Tanzania, 2.38 km from Mbeya'." xr:uid="{B302DA6A-6503-4F03-B7A1-C006179E68C9}"/>
    <hyperlink ref="F42" r:id="rId125" display="T585DYR =&amp;gt; IDLING. At 02.01.2026 08:35:41 it moved with speed 0 km/h near 'T3, Copperbelt Province, Zambia, 4.87 km from Konkola'." xr:uid="{21FBCED5-AD64-495B-BDC0-683AD55E3C42}"/>
    <hyperlink ref="G43" r:id="rId126" xr:uid="{4CFED093-7F00-476B-B7F4-D5892FA66BA6}"/>
    <hyperlink ref="C44" r:id="rId127" xr:uid="{F4D6779E-4C2E-43CB-9626-24BF0CD52812}"/>
    <hyperlink ref="G44" r:id="rId128" xr:uid="{6E33161E-749E-4EC5-A214-30D55B0A9925}"/>
    <hyperlink ref="F44" r:id="rId129" display="T793DDS =&amp;gt; IDLING. At 02.01.2026 08:45:56 it moved with speed 0 km/h near 'T3, Copperbelt Province, Zambia, 4.95 km from Konkola'." xr:uid="{1E2A2A71-FEB4-4F6B-B670-17F406D548C6}"/>
    <hyperlink ref="G45" r:id="rId130" xr:uid="{4F5B7EFB-EA41-47B6-A911-F050D6AA8058}"/>
    <hyperlink ref="F45" r:id="rId131" display="T332DHG =&amp;gt; IDLING. At 02.01.2026 08:57:28 it moved with speed 0 km/h near 'T3, Copperbelt Province, Zambia, 4.98 km from Konkola'." xr:uid="{67B34D07-0BE5-4485-852F-53FD43746D60}"/>
    <hyperlink ref="C45" r:id="rId132" xr:uid="{658BD0F7-D63E-4094-9C9E-6B7F4268C0DD}"/>
    <hyperlink ref="F46" r:id="rId133" display="T774EBW =&amp;gt; IDLING. At 02.01.2026 09:56:43 it moved with speed 0 km/h near 'Great North Road, Central Province, Zambia, 3.30 km from Mkushi'." xr:uid="{9C90F1EE-467A-4A5F-8613-04CCF33D9E64}"/>
    <hyperlink ref="G46" r:id="rId134" xr:uid="{313B64B5-F1CA-4430-8001-82EA75FA5F6F}"/>
    <hyperlink ref="C46" r:id="rId135" xr:uid="{8ADCFD4A-69BC-4F55-8FC3-9342CAAF6372}"/>
    <hyperlink ref="C47" r:id="rId136" xr:uid="{D7A35221-706F-4059-A7A5-CEC1BA41A209}"/>
    <hyperlink ref="G47" r:id="rId137" xr:uid="{A29BE2FA-B059-45E7-8452-3820B7B0D596}"/>
    <hyperlink ref="F47" r:id="rId138" display="T794DDS =&amp;gt; IDLING. At 02.01.2026 10:08:29 it moved with speed 0 km/h near 'Iringa Road, Morogoro, Kilosa, Tanzania, Kikwaraza'." xr:uid="{607F199F-BEB1-471F-BC45-453119654C6E}"/>
    <hyperlink ref="C49" r:id="rId139" xr:uid="{937DC556-715A-4B25-9D0D-94D589849391}"/>
    <hyperlink ref="C48" r:id="rId140" xr:uid="{A3378042-6330-476B-B05D-2AA0DE73103A}"/>
    <hyperlink ref="C50" r:id="rId141" xr:uid="{3F9DB1BD-F41C-47F1-8B62-DC7F24192A70}"/>
    <hyperlink ref="F50" r:id="rId142" display="T696DEB =&amp;gt; IDLING. At 02.01.2026 10:22:01 it moved with speed 0 km/h near 'T3, Copperbelt Province, Zambia, 4.76 km from Momba'." xr:uid="{81C474A1-1A7F-472C-96D2-AC33C4C1F506}"/>
    <hyperlink ref="G50" r:id="rId143" xr:uid="{918635B2-F574-43BC-8BEA-9A0CA1F1DD65}"/>
    <hyperlink ref="F48" r:id="rId144" display="T515EBY =&amp;gt; IDLING. At 02.01.2026 10:14:00 it moved with speed 0 km/h near 'Rn38, Haut-Katanga, Democratic Republic of the Congo, 2.95 km from Kampemba Ii'." xr:uid="{3077D518-EF81-4EF6-AAF1-86B6EDD1771C}"/>
    <hyperlink ref="F49" r:id="rId145" display="T746DEB =&amp;gt; IDLING. At 02.01.2026 10:16:28 it moved with speed 0 km/h near 'Iringa Road, Morogoro, Kilosa, Tanzania, Tambuka Reli'." xr:uid="{A4D9697B-C6BB-454C-A883-AD92A8D7800A}"/>
    <hyperlink ref="G48" r:id="rId146" xr:uid="{9467B0C5-FE31-45D5-A6D6-375781D79B0C}"/>
    <hyperlink ref="G49" r:id="rId147" xr:uid="{E12CAC94-8736-4091-86E9-CE09F647C907}"/>
    <hyperlink ref="C51" r:id="rId148" xr:uid="{15C0FE3F-8BA3-43EA-950C-BB4C967602AF}"/>
    <hyperlink ref="F51" r:id="rId149" display="T796DYR =&amp;gt; IDLING. At 02.01.2026 10:40:26 it moved with speed 0 km/h near 'Rn38, Haut-Katanga, Democratic Republic of the Congo, 2.95 km from Kampemba Ii'." xr:uid="{9FD0A0CD-D5C2-4DC4-BE9D-A6F63748B610}"/>
    <hyperlink ref="G51" r:id="rId150" xr:uid="{A43F02F7-E59C-4391-AE8A-0C95FA456DC6}"/>
    <hyperlink ref="F53" r:id="rId151" display="T785EBW =&amp;gt; IDLING. At 02.01.2026 11:07:32 it moved with speed 0 km/h near 'T2, Tanga, Handeni, Tanzania, Mkata'." xr:uid="{FF39CD3B-DFBE-4246-B641-5003520D05D9}"/>
    <hyperlink ref="F52" r:id="rId152" display="T337EBX =&amp;gt; IDLING. At 02.01.2026 11:06:28 it moved with speed 0 km/h near 'Tanzam Road, Mbeya, Kalobe, Tanzania, 2.32 km from Mbeya'." xr:uid="{40C71B35-E607-4E41-AB88-6C1A5CE4ADA0}"/>
    <hyperlink ref="G53" r:id="rId153" xr:uid="{4E2D5F74-2F8D-4C23-9870-1BB5FE4F63F3}"/>
    <hyperlink ref="C53" r:id="rId154" xr:uid="{9D2978D2-90AF-4340-A851-1E06B01BBE96}"/>
    <hyperlink ref="C52" r:id="rId155" xr:uid="{A51F3A25-2CA7-4D37-B78B-301307521AAB}"/>
    <hyperlink ref="G52" r:id="rId156" xr:uid="{37BC0C35-684C-40F0-964F-B44E1D51D404}"/>
    <hyperlink ref="G54" r:id="rId157" xr:uid="{167719AE-1CDC-46B3-8809-DA33ACF59BF7}"/>
    <hyperlink ref="F54" r:id="rId158" display="T980EBW =&amp;gt; IDLING. At 02.01.2026 11:38:58 it moved with speed 0 km/h near 'Tanzam Road, Mbeya, Tanzania, Iwambi'." xr:uid="{22806FF5-284D-4F41-B77E-88A70C558383}"/>
    <hyperlink ref="C54" r:id="rId159" xr:uid="{D8A52999-9F04-40A5-8BD2-5437979045A6}"/>
    <hyperlink ref="G55" r:id="rId160" xr:uid="{A3F1289F-5A84-4E3B-B47F-7D1C0CD80F3C}"/>
    <hyperlink ref="C55" r:id="rId161" xr:uid="{DDB55D4C-FA8C-41EE-8C0E-412B59C5C4A9}"/>
    <hyperlink ref="F55" r:id="rId162" display="T732DEB =&amp;gt; IDLING. At 02.01.2026 11:58:30 it moved with speed 0 km/h near 'M3, Luapula Province, Zambia, Chipili'." xr:uid="{71005EAF-1AD9-46EB-A366-E39EC11D1669}"/>
    <hyperlink ref="F56" r:id="rId163" display="T882EBW =&amp;gt; IDLING. At 02.01.2026 12:00:05 it moved with speed 0 km/h near 'Great North Road, Muchinga Province, Zambia, 3.90 km from Chinkumba'." xr:uid="{F69D8D62-2D6B-4B4F-9395-BAD7909CA73B}"/>
    <hyperlink ref="G56" r:id="rId164" xr:uid="{331C981F-9F97-4A44-A3DB-59911B88AB89}"/>
    <hyperlink ref="C56" r:id="rId165" xr:uid="{A10D7F94-A387-4EA8-B2B7-12A650EE8C36}"/>
    <hyperlink ref="G57" r:id="rId166" xr:uid="{891E5342-F24B-4C42-8B5D-2C06CC69E7DC}"/>
    <hyperlink ref="F58" r:id="rId167" display="T584DTQ =&amp;gt; IDLING. At 02.01.2026 12:16:10 it moved with speed 0 km/h near 'Iringa Road, Morogoro, Tanzania, 1.67 km from Melela Mlandizi'." xr:uid="{EC2B2115-5946-47BE-B3FF-EB79B5420C12}"/>
    <hyperlink ref="C58" r:id="rId168" xr:uid="{75043981-A76E-4E09-B2C0-7D6BDCCC127D}"/>
    <hyperlink ref="G58" r:id="rId169" xr:uid="{1683F945-91B7-4C7D-81CD-E69D17E2F7F1}"/>
    <hyperlink ref="C57" r:id="rId170" xr:uid="{FF602E33-10CE-4130-9AD9-D94B09A94B9F}"/>
    <hyperlink ref="F57" r:id="rId171" display="T406DHG =&amp;gt; IDLING. At 02.01.2026 12:06:06 it moved with speed 0 km/h near 'T1, Njombe, Makete, Tanzania, Mabadaga'." xr:uid="{003AD46E-8287-4170-9E16-36BD73EDDEA4}"/>
    <hyperlink ref="C60" r:id="rId172" xr:uid="{222BD850-4DF8-40C7-9BE0-14BB87509F6B}"/>
    <hyperlink ref="G60" r:id="rId173" xr:uid="{6488F3AE-5543-48D5-9CC5-B2C419943A9A}"/>
    <hyperlink ref="C59" r:id="rId174" xr:uid="{2BF6838B-275C-477B-9DDD-B2BB7B5EAEAB}"/>
    <hyperlink ref="F60" r:id="rId175" display="T416DCT =&amp;gt; IDLING. At 02.01.2026 12:31:40 it moved with speed 0 km/h near 'Iringa Road, Morogoro, Tanzania, 3.23 km from Kipera'." xr:uid="{A77C233A-5BCE-49D7-8420-42E7E13FAFC4}"/>
    <hyperlink ref="G59" r:id="rId176" xr:uid="{AA6C56FF-1B92-47FC-9A13-9CC434F5AB34}"/>
    <hyperlink ref="F59" r:id="rId177" display="T331EBX =&amp;gt; IDLING. At 02.01.2026 12:19:37 it moved with speed 0 km/h near 'Iringa Road, Iringa, Tanzania, Ruaha Mbuyumi'." xr:uid="{2D2EB57A-DE15-4647-B8EC-01A62C9447CA}"/>
    <hyperlink ref="F61" r:id="rId178" display="T838EBY =&amp;gt; IDLING. At 02.01.2026 12:37:51 it moved with speed 0 km/h near 'Iringa Road, Iringa, Tanzania, 1.15 km from Ruaha Mbuyumi'." xr:uid="{2128B221-7B41-45F6-86A0-2657DFF0F320}"/>
    <hyperlink ref="C61" r:id="rId179" xr:uid="{1E0D0126-F050-48D9-AC4D-BA688B285DA6}"/>
    <hyperlink ref="G61" r:id="rId180" xr:uid="{8C059EE8-E71A-4AF7-8192-D276FCA4F3DE}"/>
    <hyperlink ref="C62" r:id="rId181" xr:uid="{AA87F32D-33AB-4D73-842B-AD6CDAF84F1D}"/>
    <hyperlink ref="F62" r:id="rId182" display="T941EBW =&amp;gt; IDLING. At 02.01.2026 12:50:55 it moved with speed 0 km/h near 'Iringa Road, Morogoro, Kilosa, Tanzania, Tambuka Reli'." xr:uid="{7672CB8E-5E5B-4B4C-B754-43896252BC64}"/>
    <hyperlink ref="G62" r:id="rId183" xr:uid="{9C078E0E-116E-4D66-8220-1B48620A609F}"/>
    <hyperlink ref="C63" r:id="rId184" xr:uid="{A4EF8F98-1CEB-4A8C-9AF2-70EE2D0382D3}"/>
    <hyperlink ref="G63" r:id="rId185" xr:uid="{92FA732B-8518-47C5-A4F4-596874D63B00}"/>
    <hyperlink ref="F63" r:id="rId186" display="T645DHL =&amp;gt; IDLING. At 02.01.2026 13:44:52 it moved with speed 0 km/h near 'Iringa Road, Morogoro, Tanzania, 3.23 km from Kipera'." xr:uid="{5B39B4C2-29DF-4A1F-8177-A97F40C37B38}"/>
    <hyperlink ref="F64" r:id="rId187" display="T315EBX =&amp;gt; IDLING. At 02.01.2026 14:15:36 it moved with speed 0 km/h near 'Oxford Road, Copperbelt Province, Zambia, 3.17 km from Kitwe'." xr:uid="{495C020E-0690-4D1C-84AA-D7ED716F85A0}"/>
    <hyperlink ref="G64" r:id="rId188" xr:uid="{A3B38E58-53DF-4B83-AA4C-1AF5CDD13783}"/>
    <hyperlink ref="C64" r:id="rId189" xr:uid="{9985B5B2-C80A-4CFE-AD43-63548F2458A4}"/>
    <hyperlink ref="C65" r:id="rId190" xr:uid="{07145304-AF2F-4985-A811-C833633455A9}"/>
    <hyperlink ref="F65" r:id="rId191" display="T221EBX =&amp;gt; IDLING. At 02.01.2026 14:28:22 it moved with speed 0 km/h near 'Rn1, Haut-Katanga, Democratic Republic of the Congo, 9.45 km from Kasumbalesa'." xr:uid="{ADA95043-BBB3-4B49-9FCA-156027E897E6}"/>
    <hyperlink ref="G65" r:id="rId192" xr:uid="{1ADD0AFF-A4E4-451F-BAB4-1A423918FD12}"/>
    <hyperlink ref="C66" r:id="rId193" xr:uid="{FFE4596D-4905-4292-BC3C-37F28B8798A5}"/>
    <hyperlink ref="G66" r:id="rId194" xr:uid="{0CF863E5-FA88-4255-BA22-9D93436B8962}"/>
    <hyperlink ref="F66" r:id="rId195" display="T713DYR =&amp;gt; IDLING. At 02.01.2026 14:37:31 it moved with speed 0 km/h near 'Rn1, Haut-Katanga, Democratic Republic of the Congo, 9.30 km from Kasumbalesa'." xr:uid="{FCD03DD5-878C-4FD7-A2AE-E2A3020694D0}"/>
    <hyperlink ref="F67" r:id="rId196" display="T945DSX =&amp;gt; IDLING. At 02.01.2026 14:41:38 it moved with speed 0 km/h near 'Rn1, Haut-Katanga, Democratic Republic of the Congo, 9.30 km from Kasumbalesa'." xr:uid="{BEBC4287-CF3A-4681-AB31-1D3E7861F77E}"/>
    <hyperlink ref="G67" r:id="rId197" xr:uid="{FDC2CE50-6B9B-4B63-9E3B-333304156619}"/>
    <hyperlink ref="C67" r:id="rId198" xr:uid="{6AD7177A-8A1B-4C72-AF87-EBB0E8B24FB0}"/>
    <hyperlink ref="C68" r:id="rId199" xr:uid="{49E4A011-E976-46C6-A41E-D25B93A0B0AE}"/>
    <hyperlink ref="F68" r:id="rId200" display="T510EBY =&amp;gt; IDLING. At 02.01.2026 14:50:43 it moved with speed 0 km/h near 'Tanzam Road, Mbeya, Kalobe, Tanzania, 2.33 km from Mbeya'." xr:uid="{286FF3C7-F573-44A3-8EE4-C0495F2CEC71}"/>
    <hyperlink ref="G68" r:id="rId201" xr:uid="{BB60E003-3B36-45AC-8636-D59A5F43F909}"/>
    <hyperlink ref="C69" r:id="rId202" xr:uid="{B0129AB4-E446-484D-A1CF-29B540C9C46C}"/>
    <hyperlink ref="F69" r:id="rId203" display="T319EBY =&amp;gt; IDLING. At 02.01.2026 14:52:33 it moved with speed 0 km/h near 'Tanzam Road, Mbeya, Kalobe, Tanzania, 2.32 km from Mbeya'." xr:uid="{55C817ED-B4AF-49AE-9564-BD6099DB04A1}"/>
    <hyperlink ref="G69" r:id="rId204" xr:uid="{71C521E3-D297-44A7-AB1B-308E652E1BBF}"/>
    <hyperlink ref="F70" r:id="rId205" display="T588DYR =&amp;gt; IDLING. At 02.01.2026 15:34:32 it moved with speed 0 km/h near 'Rn1, Haut-Katanga, Democratic Republic of the Congo, 11.67 km from Sumbilili'." xr:uid="{0883704B-F6B6-4476-B40E-7E36550BFA95}"/>
    <hyperlink ref="C70" r:id="rId206" xr:uid="{946B8692-926E-4E5F-B228-369CAA98EEF9}"/>
    <hyperlink ref="G70" r:id="rId207" xr:uid="{65A8E465-F738-4C35-B590-7818691ED218}"/>
    <hyperlink ref="F71" r:id="rId208" display="T335EBX =&amp;gt; IDLING. At 02.01.2026 16:43:47 it moved with speed 0 km/h near 'T3, Copperbelt Province, Zambia, 2.02 km from Momba'." xr:uid="{21879883-2002-490E-BFE2-970039A8C601}"/>
    <hyperlink ref="C71" r:id="rId209" xr:uid="{15E1E571-7043-4375-994E-F2AA1465CB16}"/>
    <hyperlink ref="G71" r:id="rId210" xr:uid="{9C2DFA9F-0C11-460B-A7F7-68B44BAB4260}"/>
    <hyperlink ref="C72" r:id="rId211" xr:uid="{23DE0972-FEA7-4A49-9EA2-90033B38FD97}"/>
    <hyperlink ref="F72" r:id="rId212" display="T704DYR =&amp;gt; IDLING. At 02.01.2026 17:17:21 it moved with speed 0 km/h near 'Rn1, Haut-Katanga, Democratic Republic of the Congo, 8.28 km from Kasumbalesa'." xr:uid="{4431E032-9BDD-4405-99BE-FA402A507418}"/>
    <hyperlink ref="G72" r:id="rId213" xr:uid="{25DB20B2-0798-4957-88BC-882BBF07C06D}"/>
    <hyperlink ref="G73" r:id="rId214" xr:uid="{38C5D49A-8C14-486E-93C0-AD2E278E7791}"/>
    <hyperlink ref="F73" r:id="rId215" display="T750EBX =&amp;gt; IDLING. At 03.01.2026 06:29:57 it moved with speed 0 km/h near 'T1, Pwani, Bagamoyo, Tanzania, Ruvu Darajani'." xr:uid="{05AE9939-EC6A-4784-A2AB-14FC19B96FDE}"/>
    <hyperlink ref="C73" r:id="rId216" xr:uid="{5B2231D3-D819-4E5C-B45F-CBB13F0B9CE1}"/>
    <hyperlink ref="C74" r:id="rId217" xr:uid="{AC7CF44B-E9E4-40B9-8394-29E1C7EAA43B}"/>
    <hyperlink ref="G75" r:id="rId218" xr:uid="{5B576445-90B8-4824-981F-1EAB9BDB2077}"/>
    <hyperlink ref="F75" r:id="rId219" display="T735DYR =&amp;gt; IDLING. At 03.01.2026 07:22:31 it moved with speed 0 km/h near 'T3, Copperbelt Province, Zambia, 4.53 km from Momba'." xr:uid="{B96BDBE8-A660-479A-9462-E0BF6D8F26B6}"/>
    <hyperlink ref="F74" r:id="rId220" display="T315EBX =&amp;gt; IDLING. At 03.01.2026 07:11:31 it moved with speed 0 km/h near 'T3, Copperbelt Province, Zambia, 4.78 km from Momba'." xr:uid="{4EA859F2-3F0D-4164-B43E-848C90FF796A}"/>
    <hyperlink ref="G74" r:id="rId221" xr:uid="{45B016AD-50C4-45D7-8A54-2A525CD97FD6}"/>
    <hyperlink ref="C75" r:id="rId222" xr:uid="{9B1B6467-FA4F-4BC1-B434-9145209D26C6}"/>
    <hyperlink ref="F77" r:id="rId223" display="T586DYR =&amp;gt; IDLING. At 03.01.2026 07:43:35 it moved with speed 0 km/h near 'T1, Mbeya, Tanzania, Ilolo'." xr:uid="{78675A4D-0356-4BF7-B306-A7D1D4614412}"/>
    <hyperlink ref="G77" r:id="rId224" xr:uid="{C883ACB6-0B99-4E2C-81E5-EADD16048E67}"/>
    <hyperlink ref="G76" r:id="rId225" xr:uid="{1EF364ED-C67B-4974-8F0A-10926400405A}"/>
    <hyperlink ref="F76" r:id="rId226" display="T511EBY =&amp;gt; IDLING. At 03.01.2026 07:32:38 it moved with speed 0 km/h near 'T1, Morogoro, Tanzania, Bwawani'." xr:uid="{481B2A8A-00AD-413E-A769-FB2C5C8A1868}"/>
    <hyperlink ref="C77" r:id="rId227" xr:uid="{B0B51748-36BE-4290-BE06-52AC8FBC0341}"/>
    <hyperlink ref="C76" r:id="rId228" xr:uid="{62A6B320-452E-45F3-9C28-FE1B470D9494}"/>
    <hyperlink ref="F78" r:id="rId229" display="T335EBX =&amp;gt; IDLING. At 03.01.2026 07:46:30 it moved with speed 0 km/h near 'T3, Copperbelt Province, Zambia, 4.49 km from Momba'." xr:uid="{1E6FB6A6-123D-4B10-A26E-8D804FC24A06}"/>
    <hyperlink ref="G78" r:id="rId230" xr:uid="{D2E31059-65CC-4607-93D0-04FB55709F3E}"/>
    <hyperlink ref="C78" r:id="rId231" xr:uid="{3DFB8202-35FB-4132-904C-EF9D0A807FC0}"/>
    <hyperlink ref="G79" r:id="rId232" xr:uid="{F40C443A-F94A-4448-92AE-8C9CEB6206B5}"/>
    <hyperlink ref="F79" r:id="rId233" display="T651DTQ =&amp;gt; IDLING. At 03.01.2026 08:25:15 it moved with speed 0 km/h near 'Iringa Road, Morogoro, Tanzania, 3.22 km from Kipera'." xr:uid="{1C42691D-1FCE-42D7-81E0-8CFAB66565CB}"/>
    <hyperlink ref="C79" r:id="rId234" xr:uid="{54B99D2B-E777-4966-864E-357974394ED9}"/>
    <hyperlink ref="C80" r:id="rId235" xr:uid="{5F9D4565-6EB0-47BC-9F9F-36DDE89C2597}"/>
    <hyperlink ref="G80" r:id="rId236" xr:uid="{6481674D-5FAA-4227-96B6-5F06693B1D93}"/>
    <hyperlink ref="F80" r:id="rId237" display="T965EBW =&amp;gt; IDLING. At 03.01.2026 08:35:28 it moved with speed 0 km/h near 'Dar Es Salaam Road, Morogoro, Tanzania'." xr:uid="{00023146-14AD-406F-B547-FB22A0FB8B2B}"/>
    <hyperlink ref="F81" r:id="rId238" display="T952DSX =&amp;gt; IDLING. At 03.01.2026 08:57:10 it moved with speed 0 km/h near 'Iringa Road, Iringa, Tanzania, 1.16 km from Ruaha Mbuyumi'." xr:uid="{731CA72F-0249-4137-80B2-A69E1CA94D66}"/>
    <hyperlink ref="G81" r:id="rId239" xr:uid="{51B79937-3B18-4611-8F39-F33243C9C1C1}"/>
    <hyperlink ref="C81" r:id="rId240" xr:uid="{DA99BD81-09DC-4B50-A837-47ED8C029306}"/>
    <hyperlink ref="F82" r:id="rId241" display="T804DYR =&amp;gt; IDLING. At 03.01.2026 09:19:54 it moved with speed 0 km/h near 'T1, Njombe, Tanzania, 1.53 km from Nyololo'." xr:uid="{91AEA2BF-3086-4085-AC32-D195FBA977FD}"/>
    <hyperlink ref="G82" r:id="rId242" xr:uid="{8070D4E2-EF52-4B59-9A86-97803FDE2CE6}"/>
    <hyperlink ref="C82" r:id="rId243" xr:uid="{93A3B7A9-D203-4DF4-BC72-210392D16EB9}"/>
    <hyperlink ref="C83" r:id="rId244" xr:uid="{946AFF16-0D6F-4D75-8DAB-59173CDC3BFF}"/>
    <hyperlink ref="F83" r:id="rId245" display="T520EBY =&amp;gt; IDLING. At 03.01.2026 09:32:42 it moved with speed 0 km/h near 'Great North Road, Central Province, Zambia, 17.75 km from Mkushi River'." xr:uid="{8796FB5A-A102-49C3-B0F2-D6F6957037F9}"/>
    <hyperlink ref="G83" r:id="rId246" xr:uid="{360B5457-8F92-4A69-962D-BB8A13AB1A28}"/>
    <hyperlink ref="G84" r:id="rId247" xr:uid="{6B23A349-9237-458B-8974-352103968EA7}"/>
    <hyperlink ref="F84" r:id="rId248" display="T180EBX =&amp;gt; IDLING. At 03.01.2026 09:35:40 it moved with speed 0 km/h near 'Great North Road, Central Province, Zambia, 16.27 km from Mkushi River'." xr:uid="{CA1B4B8D-063D-44E6-871F-3853825E8A66}"/>
    <hyperlink ref="C84" r:id="rId249" xr:uid="{F92D0091-A42A-41D7-8F60-73E296607151}"/>
    <hyperlink ref="F85" r:id="rId250" display="T754DEB =&amp;gt; IDLING. At 03.01.2026 09:58:03 it moved with speed 0 km/h near 'T3, Copperbelt Province, Zambia, 1.77 km from Momba'." xr:uid="{42BD4AD1-F746-41F3-BD41-4F308082D617}"/>
    <hyperlink ref="G85" r:id="rId251" xr:uid="{DCD5A25D-2729-4FF7-B4CB-7AF06F366B84}"/>
    <hyperlink ref="C85" r:id="rId252" xr:uid="{EC08E492-23A1-4DA9-A684-31D6A05F043C}"/>
    <hyperlink ref="C86" r:id="rId253" xr:uid="{503C384D-70EE-44AE-BAF4-BC3AF128ED77}"/>
    <hyperlink ref="G88" r:id="rId254" xr:uid="{C084DB68-80CC-4314-8965-31809497E01C}"/>
    <hyperlink ref="F88" r:id="rId255" display="T564DEB =&amp;gt; IDLING. At 03.01.2026 10:26:17 it moved with speed 0 km/h near 'Great North Road, Central Province, Zambia, 15.00 km from Chitiwa'." xr:uid="{3BD34C5E-0514-4B33-8FF9-EEF49E558122}"/>
    <hyperlink ref="C87" r:id="rId256" xr:uid="{8F32D210-ADC1-4F23-A768-A7933AE4C323}"/>
    <hyperlink ref="C88" r:id="rId257" xr:uid="{895C998A-3E27-402E-942C-5EBBA21E1946}"/>
    <hyperlink ref="G86" r:id="rId258" xr:uid="{644CA1C3-4F30-43BE-BEAA-5D4508292534}"/>
    <hyperlink ref="F87" r:id="rId259" display="T856EBY =&amp;gt; IDLING. At 03.01.2026 10:26:10 it moved with speed 0 km/h near 'Great North Road, Central Province, Zambia, 15.02 km from Chitiwa'." xr:uid="{094D8B44-8D4C-4127-AB4E-F3C3C4FC17BF}"/>
    <hyperlink ref="G87" r:id="rId260" xr:uid="{15E8B6AF-19F7-49C4-A809-929CEF25D478}"/>
    <hyperlink ref="F86" r:id="rId261" display="T890EBW =&amp;gt; IDLING. At 03.01.2026 10:19:56 it moved with speed 0 km/h near 'Great North Road, Central Province, Zambia, 2.69 km from Chimpati'." xr:uid="{E423066C-8BA0-4AB5-BFE9-5CCB1945F038}"/>
    <hyperlink ref="C89" r:id="rId262" xr:uid="{D9EFB723-461C-4AE0-BA77-69AB44D40EE8}"/>
    <hyperlink ref="F89" r:id="rId263" display="T871EBW =&amp;gt; IDLING. At 03.01.2026 10:45:22 it moved with speed 0 km/h near 'Ndola - Kitwe Dual-Carriageway, Copperbelt Province, Zambia, 33.18 km from Ndola'." xr:uid="{912C3FCE-006D-4DB0-B939-B5FAA9F6D793}"/>
    <hyperlink ref="G89" r:id="rId264" xr:uid="{54C27F12-3DDF-4051-89CD-B5BA0592D668}"/>
    <hyperlink ref="C90" r:id="rId265" xr:uid="{9EC32784-149D-4CDA-8692-C0277D76762B}"/>
    <hyperlink ref="G91" r:id="rId266" xr:uid="{76E585FB-1F4C-4A30-AAA2-6902F96BEA2D}"/>
    <hyperlink ref="C91" r:id="rId267" xr:uid="{5B245794-7DF8-45C4-9D87-8E1973FED6FC}"/>
    <hyperlink ref="G90" r:id="rId268" xr:uid="{FED65E93-6C34-491B-A592-4043143058F1}"/>
    <hyperlink ref="F90" r:id="rId269" display="T588DTQ =&amp;gt; IDLING. At 03.01.2026 10:57:49 it moved with speed 0 km/h near 'Iringa Road, Iringa, Tanzania, Ruaha Mbuyumi'." xr:uid="{62EB8CD2-A2B3-4419-8B1F-E119F5AD155C}"/>
    <hyperlink ref="F91" r:id="rId270" display="T590DTQ =&amp;gt; IDLING. At 03.01.2026 11:07:49 it moved with speed 0 km/h near 'Tanzam Road, Mbeya, Kalobe, Tanzania, 2.88 km from Mbeya'." xr:uid="{5CEB2AC0-0209-4AA9-9952-0B8F55AA97A6}"/>
    <hyperlink ref="F92" r:id="rId271" display="T517EBY =&amp;gt; IDLING. At 03.01.2026 11:18:40 it moved with speed 0 km/h near 'Ndola - Kitwe Dual-Carriageway, Copperbelt Province, Zambia, 33.18 km from Ndola'." xr:uid="{CFCBD627-4047-4A4C-90E2-14D447313602}"/>
    <hyperlink ref="G92" r:id="rId272" xr:uid="{DA986FF3-F2AF-4E9A-B2F1-523B4F077FBF}"/>
    <hyperlink ref="C92" r:id="rId273" xr:uid="{BD124B00-AEAF-4FE3-90E4-04C3F866A388}"/>
    <hyperlink ref="F93" r:id="rId274" display="T875EBY =&amp;gt; IDLING. At 03.01.2026 11:51:01 it moved with speed 0 km/h near 'Tanzam Road, Mbeya, Ilomba, Tanzania, Soweto Street - Mbeya'." xr:uid="{9C84DECE-BC3D-41B9-A55C-6634743643DA}"/>
    <hyperlink ref="C93" r:id="rId275" xr:uid="{B0545713-E9C6-4558-ADDF-C419BEC46633}"/>
    <hyperlink ref="G93" r:id="rId276" xr:uid="{6F721D9F-4D6B-4E04-A2DC-1570C882F597}"/>
    <hyperlink ref="G94" r:id="rId277" xr:uid="{D322CBAE-2583-4743-88A5-4254F7BFFB24}"/>
    <hyperlink ref="F94" r:id="rId278" display="T838EBY =&amp;gt; IDLING. At 03.01.2026 12:26:31 it moved with speed 0 km/h near 'T1, Njombe, Tanzania, Igawa'." xr:uid="{7287FE94-5436-4746-91D6-DA4F288475D6}"/>
    <hyperlink ref="C94" r:id="rId279" xr:uid="{3192EC5D-B3F6-4E3E-AE5C-4BB2B4DBBAA2}"/>
    <hyperlink ref="F95" r:id="rId280" display="T491DYR =&amp;gt; IDLING. At 03.01.2026 13:10:04 it moved with speed 0 km/h near 'T1, Mbeya, Tanzania, Kongolo Mkola'." xr:uid="{953542E3-F36F-4307-84B9-23859264B20F}"/>
    <hyperlink ref="C95" r:id="rId281" xr:uid="{D74722C2-B604-4877-B576-DAD08CEE3660}"/>
    <hyperlink ref="G95" r:id="rId282" xr:uid="{E14C7F9E-0784-4389-8572-9B31124F651A}"/>
    <hyperlink ref="C96" r:id="rId283" xr:uid="{AE72DD05-A91D-4EF9-98FE-BC71DDC8AB86}"/>
    <hyperlink ref="F96" r:id="rId284" display="T799DYR =&amp;gt; IDLING. At 03.01.2026 13:20:57 it moved with speed 0 km/h near 'T1, Njombe, Tanzania, Igawa'." xr:uid="{114B25C4-AC3D-45E1-BFAB-022FDD179322}"/>
    <hyperlink ref="G96" r:id="rId285" xr:uid="{6FFDB815-7525-4FB1-913A-8BC878C7FF0B}"/>
    <hyperlink ref="F97" r:id="rId286" display="T331EBX =&amp;gt; IDLING. At 03.01.2026 13:23:49 it moved with speed 0 km/h near 'T1, Mbeya, Tanzania, Kongolo Mkola'." xr:uid="{DBC957A8-7E71-4F90-BC5A-1106873B51C8}"/>
    <hyperlink ref="G97" r:id="rId287" xr:uid="{51AE1DB9-31E4-4D54-82F8-310BDF8A2589}"/>
    <hyperlink ref="C97" r:id="rId288" xr:uid="{0031CA58-327A-432B-A82C-3328C630224C}"/>
    <hyperlink ref="C98" r:id="rId289" xr:uid="{FCEC05D4-C990-49FA-AA0D-D119A00FBF42}"/>
    <hyperlink ref="G98" r:id="rId290" xr:uid="{E0C91672-3EF0-452D-9F38-06E47750D789}"/>
    <hyperlink ref="F98" r:id="rId291" display="T326ECN =&amp;gt; IDLING. At 03.01.2026 15:00:56 it moved with speed 0 km/h near 'Ndola - Kitwe Dual-Carriageway, Copperbelt Province, Zambia, 33.19 km from Ndola'." xr:uid="{077FDC68-7236-4A96-8F6E-1AB1F0484D21}"/>
    <hyperlink ref="G99" r:id="rId292" xr:uid="{334B1053-C63A-4E4C-B35A-BACD95575A13}"/>
    <hyperlink ref="C99" r:id="rId293" xr:uid="{830E0172-6918-4276-A899-B78902479B57}"/>
    <hyperlink ref="F99" r:id="rId294" display="T299DCT =&amp;gt; IDLING. At 03.01.2026 15:16:30 it moved with speed 0 km/h near 'Ndola - Kitwe Dual-Carriageway, Copperbelt Province, Zambia, 33.18 km from Ndola'." xr:uid="{6C75566F-5976-4B67-9325-6583BD6E3FC8}"/>
    <hyperlink ref="G100" r:id="rId295" xr:uid="{D7CE2F40-3B21-4AA0-ACC9-C25DDAB64F8A}"/>
    <hyperlink ref="F100" r:id="rId296" display="T153EBX =&amp;gt; IDLING. At 03.01.2026 15:24:55 it moved with speed 0 km/h near 'Great North Road, Muchinga Province, Zambia, Chisoso'." xr:uid="{F3E7E5C0-387C-4FDC-B6B0-93CA87661A65}"/>
    <hyperlink ref="C100" r:id="rId297" xr:uid="{B1186D2F-D780-4C20-A723-E9139D992963}"/>
    <hyperlink ref="F101" r:id="rId298" display="T129EBX =&amp;gt; IDLING. At 03.01.2026 15:25:52 it moved with speed 0 km/h near 'Great North Road, Muchinga Province, Zambia, Chisoso'." xr:uid="{354437B1-7CE0-484F-A7F9-9C229EFADD79}"/>
    <hyperlink ref="C101" r:id="rId299" xr:uid="{42DDFA45-E769-4763-8111-5C519E43076E}"/>
    <hyperlink ref="G101" r:id="rId300" xr:uid="{DAE670C2-355B-4E45-A412-EE705F8F3515}"/>
    <hyperlink ref="F102" r:id="rId301" display="T318EBX =&amp;gt; IDLING. At 03.01.2026 15:27:04 it moved with speed 0 km/h near 'Great North Road, Muchinga Province, Zambia, Chisoso'." xr:uid="{E305C17B-8AAF-4749-9173-6428EB93542F}"/>
    <hyperlink ref="C102" r:id="rId302" xr:uid="{BBC0FEC8-5100-4CD9-8A73-2806BCCDC7AD}"/>
    <hyperlink ref="G102" r:id="rId303" xr:uid="{EC13360E-89DA-4A12-9BC2-38B8780E2230}"/>
    <hyperlink ref="F103" r:id="rId304" display="T882EBW =&amp;gt; IDLING. At 03.01.2026 17:04:01 it moved with speed 0 km/h near 'Ndola - Kitwe Dual-Carriageway, Copperbelt Province, Zambia, 33.20 km from Ndola'." xr:uid="{015DCA3D-6B7E-4DEC-B049-D2B306A3793C}"/>
    <hyperlink ref="F104" r:id="rId305" display="T224EBX =&amp;gt; IDLING. At 03.01.2026 17:04:21 it moved with speed 0 km/h near 'Tanzam Road, Mbeya, Kalobe, Tanzania, 2.37 km from Mbeya'." xr:uid="{4F186C4F-C3AD-49C6-97BD-4EBF9EB0E9D3}"/>
    <hyperlink ref="C104" r:id="rId306" xr:uid="{B149F643-4AB2-47D2-8D5B-EDE0752997CE}"/>
    <hyperlink ref="G104" r:id="rId307" xr:uid="{79CC05CA-2EFB-448E-A0B4-904535E9410C}"/>
    <hyperlink ref="C103" r:id="rId308" xr:uid="{EF91CEF8-0B5F-437A-A8BA-EACCF2F4AAE4}"/>
    <hyperlink ref="G103" r:id="rId309" xr:uid="{1E8BB6D6-CB29-46FD-A885-AEDF65EA1755}"/>
  </hyperlinks>
  <pageMargins left="0.7" right="0.7" top="0.75" bottom="0.75" header="0.3" footer="0.3"/>
  <tableParts count="1">
    <tablePart r:id="rId3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E88E-E35F-4F55-B142-ED8184D61BF2}">
  <dimension ref="A1:H95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8.90625" defaultRowHeight="11.5" x14ac:dyDescent="0.25"/>
  <cols>
    <col min="1" max="1" width="4.81640625" style="7" customWidth="1"/>
    <col min="2" max="2" width="8.81640625" style="7" bestFit="1" customWidth="1"/>
    <col min="3" max="4" width="14" style="7" bestFit="1" customWidth="1"/>
    <col min="5" max="5" width="27.1796875" style="7" bestFit="1" customWidth="1"/>
    <col min="6" max="6" width="142.453125" style="7" bestFit="1" customWidth="1"/>
    <col min="7" max="7" width="67.08984375" style="7" bestFit="1" customWidth="1"/>
    <col min="8" max="8" width="17.54296875" style="7" bestFit="1" customWidth="1"/>
    <col min="9" max="16384" width="8.90625" style="7"/>
  </cols>
  <sheetData>
    <row r="1" spans="1:8" ht="12" x14ac:dyDescent="0.3">
      <c r="A1" s="70" t="s">
        <v>20</v>
      </c>
      <c r="B1" s="71" t="s">
        <v>21</v>
      </c>
      <c r="C1" s="71" t="s">
        <v>22</v>
      </c>
      <c r="D1" s="71" t="s">
        <v>33</v>
      </c>
      <c r="E1" s="71" t="s">
        <v>59</v>
      </c>
      <c r="F1" s="71" t="s">
        <v>24</v>
      </c>
      <c r="G1" s="71" t="s">
        <v>16</v>
      </c>
      <c r="H1" s="72" t="s">
        <v>25</v>
      </c>
    </row>
    <row r="2" spans="1:8" ht="12" x14ac:dyDescent="0.3">
      <c r="A2" s="73">
        <v>1</v>
      </c>
      <c r="B2" s="74" t="s">
        <v>69</v>
      </c>
      <c r="C2" s="75" t="s">
        <v>1251</v>
      </c>
      <c r="D2" s="73" t="str">
        <f>LEFT(Table2[[#This Row],[Event time]],10)</f>
        <v>2026-01-01</v>
      </c>
      <c r="E2" s="76" t="str">
        <f>VLOOKUP(Table2[[#This Row],[Row Labels]],[1]Sheet2!$B:$J,4,0)</f>
        <v>ELIA JUMA NZOWA</v>
      </c>
      <c r="F2" s="73" t="s">
        <v>1252</v>
      </c>
      <c r="G2" s="74" t="s">
        <v>1253</v>
      </c>
      <c r="H2" s="73">
        <v>17</v>
      </c>
    </row>
    <row r="3" spans="1:8" ht="12" x14ac:dyDescent="0.3">
      <c r="A3" s="77">
        <v>2</v>
      </c>
      <c r="B3" s="78" t="s">
        <v>94</v>
      </c>
      <c r="C3" s="79" t="s">
        <v>1254</v>
      </c>
      <c r="D3" s="77" t="str">
        <f>LEFT(Table2[[#This Row],[Event time]],10)</f>
        <v>2026-01-01</v>
      </c>
      <c r="E3" s="76" t="str">
        <f>VLOOKUP(Table2[[#This Row],[Row Labels]],[1]Sheet2!$B:$J,4,0)</f>
        <v>ABDALLAH RASHID MBWANA</v>
      </c>
      <c r="F3" s="77" t="s">
        <v>1255</v>
      </c>
      <c r="G3" s="78" t="s">
        <v>1256</v>
      </c>
      <c r="H3" s="77">
        <v>7</v>
      </c>
    </row>
    <row r="4" spans="1:8" ht="12" x14ac:dyDescent="0.3">
      <c r="A4" s="73">
        <v>3</v>
      </c>
      <c r="B4" s="78" t="s">
        <v>54</v>
      </c>
      <c r="C4" s="79" t="s">
        <v>1257</v>
      </c>
      <c r="D4" s="77" t="str">
        <f>LEFT(Table2[[#This Row],[Event time]],10)</f>
        <v>2026-01-01</v>
      </c>
      <c r="E4" s="76" t="str">
        <f>VLOOKUP(Table2[[#This Row],[Row Labels]],[1]Sheet2!$B:$J,4,0)</f>
        <v>ALLY SAID MANDINGO</v>
      </c>
      <c r="F4" s="77" t="s">
        <v>1258</v>
      </c>
      <c r="G4" s="78" t="s">
        <v>1259</v>
      </c>
      <c r="H4" s="77">
        <v>3</v>
      </c>
    </row>
    <row r="5" spans="1:8" ht="12" x14ac:dyDescent="0.3">
      <c r="A5" s="77">
        <v>4</v>
      </c>
      <c r="B5" s="78" t="s">
        <v>85</v>
      </c>
      <c r="C5" s="79" t="s">
        <v>1260</v>
      </c>
      <c r="D5" s="77" t="str">
        <f>LEFT(Table2[[#This Row],[Event time]],10)</f>
        <v>2026-01-01</v>
      </c>
      <c r="E5" s="76" t="str">
        <f>VLOOKUP(Table2[[#This Row],[Row Labels]],[1]Sheet2!$B:$J,4,0)</f>
        <v>KHALIDY MOHAMEDY KIDOMO</v>
      </c>
      <c r="F5" s="77" t="s">
        <v>1261</v>
      </c>
      <c r="G5" s="78" t="s">
        <v>1262</v>
      </c>
      <c r="H5" s="77">
        <v>17</v>
      </c>
    </row>
    <row r="6" spans="1:8" ht="12" x14ac:dyDescent="0.3">
      <c r="A6" s="73">
        <v>5</v>
      </c>
      <c r="B6" s="78" t="s">
        <v>615</v>
      </c>
      <c r="C6" s="79" t="s">
        <v>1263</v>
      </c>
      <c r="D6" s="77" t="str">
        <f>LEFT(Table2[[#This Row],[Event time]],10)</f>
        <v>2026-01-01</v>
      </c>
      <c r="E6" s="76" t="str">
        <f>VLOOKUP(Table2[[#This Row],[Row Labels]],[1]Sheet2!$B:$J,4,0)</f>
        <v>RAFAEL ERASTO NZAWIBO</v>
      </c>
      <c r="F6" s="77" t="s">
        <v>1264</v>
      </c>
      <c r="G6" s="78" t="s">
        <v>1265</v>
      </c>
      <c r="H6" s="77">
        <v>3</v>
      </c>
    </row>
    <row r="7" spans="1:8" ht="12" x14ac:dyDescent="0.3">
      <c r="A7" s="77">
        <v>6</v>
      </c>
      <c r="B7" s="78" t="s">
        <v>78</v>
      </c>
      <c r="C7" s="79" t="s">
        <v>1266</v>
      </c>
      <c r="D7" s="77" t="str">
        <f>LEFT(Table2[[#This Row],[Event time]],10)</f>
        <v>2026-01-01</v>
      </c>
      <c r="E7" s="76" t="str">
        <f>VLOOKUP(Table2[[#This Row],[Row Labels]],[1]Sheet2!$B:$J,4,0)</f>
        <v>MOHAMED SAID HAKUNGWA</v>
      </c>
      <c r="F7" s="77" t="s">
        <v>1267</v>
      </c>
      <c r="G7" s="78" t="s">
        <v>1268</v>
      </c>
      <c r="H7" s="77">
        <v>10</v>
      </c>
    </row>
    <row r="8" spans="1:8" ht="12" x14ac:dyDescent="0.3">
      <c r="A8" s="73">
        <v>7</v>
      </c>
      <c r="B8" s="74" t="s">
        <v>257</v>
      </c>
      <c r="C8" s="75" t="s">
        <v>1269</v>
      </c>
      <c r="D8" s="73" t="str">
        <f>LEFT(Table2[[#This Row],[Event time]],10)</f>
        <v>2026-01-01</v>
      </c>
      <c r="E8" s="76" t="str">
        <f>VLOOKUP(Table2[[#This Row],[Row Labels]],[1]Sheet2!$B:$J,4,0)</f>
        <v>RAJABU HUSSEIN AHMAD</v>
      </c>
      <c r="F8" s="73" t="s">
        <v>1270</v>
      </c>
      <c r="G8" s="74" t="s">
        <v>1250</v>
      </c>
      <c r="H8" s="73">
        <v>4</v>
      </c>
    </row>
    <row r="9" spans="1:8" ht="12" x14ac:dyDescent="0.3">
      <c r="A9" s="77">
        <v>8</v>
      </c>
      <c r="B9" s="78" t="s">
        <v>155</v>
      </c>
      <c r="C9" s="79" t="s">
        <v>1271</v>
      </c>
      <c r="D9" s="77" t="str">
        <f>LEFT(Table2[[#This Row],[Event time]],10)</f>
        <v>2026-01-01</v>
      </c>
      <c r="E9" s="76" t="str">
        <f>VLOOKUP(Table2[[#This Row],[Row Labels]],[1]Sheet2!$B:$J,4,0)</f>
        <v>RASHIDI MUSTAFA ABDALLAH</v>
      </c>
      <c r="F9" s="77" t="s">
        <v>1272</v>
      </c>
      <c r="G9" s="78" t="s">
        <v>1273</v>
      </c>
      <c r="H9" s="77">
        <v>5</v>
      </c>
    </row>
    <row r="10" spans="1:8" ht="12" x14ac:dyDescent="0.3">
      <c r="A10" s="73">
        <v>9</v>
      </c>
      <c r="B10" s="74" t="s">
        <v>271</v>
      </c>
      <c r="C10" s="75" t="s">
        <v>1274</v>
      </c>
      <c r="D10" s="73" t="str">
        <f>LEFT(Table2[[#This Row],[Event time]],10)</f>
        <v>2026-01-01</v>
      </c>
      <c r="E10" s="76" t="str">
        <f>VLOOKUP(Table2[[#This Row],[Row Labels]],[1]Sheet2!$B:$J,4,0)</f>
        <v>MUMBA YASSINI KHAMISI</v>
      </c>
      <c r="F10" s="73" t="s">
        <v>1275</v>
      </c>
      <c r="G10" s="74" t="s">
        <v>1276</v>
      </c>
      <c r="H10" s="73">
        <v>3</v>
      </c>
    </row>
    <row r="11" spans="1:8" ht="12" x14ac:dyDescent="0.3">
      <c r="A11" s="77">
        <v>10</v>
      </c>
      <c r="B11" s="74" t="s">
        <v>619</v>
      </c>
      <c r="C11" s="75" t="s">
        <v>1277</v>
      </c>
      <c r="D11" s="73" t="str">
        <f>LEFT(Table2[[#This Row],[Event time]],10)</f>
        <v>2026-01-01</v>
      </c>
      <c r="E11" s="76" t="str">
        <f>VLOOKUP(Table2[[#This Row],[Row Labels]],[1]Sheet2!$B:$J,4,0)</f>
        <v>ALLY ISSA OMARY</v>
      </c>
      <c r="F11" s="73" t="s">
        <v>1278</v>
      </c>
      <c r="G11" s="74" t="s">
        <v>1279</v>
      </c>
      <c r="H11" s="73">
        <v>3</v>
      </c>
    </row>
    <row r="12" spans="1:8" ht="12" x14ac:dyDescent="0.3">
      <c r="A12" s="73">
        <v>11</v>
      </c>
      <c r="B12" s="78" t="s">
        <v>218</v>
      </c>
      <c r="C12" s="79" t="s">
        <v>1280</v>
      </c>
      <c r="D12" s="77" t="str">
        <f>LEFT(Table2[[#This Row],[Event time]],10)</f>
        <v>2026-01-01</v>
      </c>
      <c r="E12" s="76" t="str">
        <f>VLOOKUP(Table2[[#This Row],[Row Labels]],[1]Sheet2!$B:$J,4,0)</f>
        <v>RICHARD JOHN MWASILE</v>
      </c>
      <c r="F12" s="77" t="s">
        <v>1281</v>
      </c>
      <c r="G12" s="78" t="s">
        <v>1282</v>
      </c>
      <c r="H12" s="77">
        <v>9</v>
      </c>
    </row>
    <row r="13" spans="1:8" ht="12" x14ac:dyDescent="0.3">
      <c r="A13" s="77">
        <v>12</v>
      </c>
      <c r="B13" s="78" t="s">
        <v>50</v>
      </c>
      <c r="C13" s="79" t="s">
        <v>1283</v>
      </c>
      <c r="D13" s="77" t="str">
        <f>LEFT(Table2[[#This Row],[Event time]],10)</f>
        <v>2026-01-01</v>
      </c>
      <c r="E13" s="76" t="str">
        <f>VLOOKUP(Table2[[#This Row],[Row Labels]],[1]Sheet2!$B:$J,4,0)</f>
        <v>HAMADI  MOHAMED KACHEM</v>
      </c>
      <c r="F13" s="77" t="s">
        <v>1284</v>
      </c>
      <c r="G13" s="78" t="s">
        <v>1285</v>
      </c>
      <c r="H13" s="77">
        <v>4</v>
      </c>
    </row>
    <row r="14" spans="1:8" ht="12" x14ac:dyDescent="0.3">
      <c r="A14" s="73">
        <v>13</v>
      </c>
      <c r="B14" s="78" t="s">
        <v>163</v>
      </c>
      <c r="C14" s="79" t="s">
        <v>1286</v>
      </c>
      <c r="D14" s="77" t="str">
        <f>LEFT(Table2[[#This Row],[Event time]],10)</f>
        <v>2026-01-01</v>
      </c>
      <c r="E14" s="76" t="str">
        <f>VLOOKUP(Table2[[#This Row],[Row Labels]],[1]Sheet2!$B:$J,4,0)</f>
        <v xml:space="preserve">HAROUB OMARY JAKA </v>
      </c>
      <c r="F14" s="77" t="s">
        <v>1287</v>
      </c>
      <c r="G14" s="78" t="s">
        <v>1288</v>
      </c>
      <c r="H14" s="77">
        <v>8</v>
      </c>
    </row>
    <row r="15" spans="1:8" ht="12" x14ac:dyDescent="0.3">
      <c r="A15" s="77">
        <v>14</v>
      </c>
      <c r="B15" s="78" t="s">
        <v>83</v>
      </c>
      <c r="C15" s="79" t="s">
        <v>1289</v>
      </c>
      <c r="D15" s="77" t="str">
        <f>LEFT(Table2[[#This Row],[Event time]],10)</f>
        <v>2026-01-01</v>
      </c>
      <c r="E15" s="76" t="str">
        <f>VLOOKUP(Table2[[#This Row],[Row Labels]],[1]Sheet2!$B:$J,4,0)</f>
        <v>KELVIN JOSEPH MWAMI</v>
      </c>
      <c r="F15" s="77" t="s">
        <v>1290</v>
      </c>
      <c r="G15" s="78" t="s">
        <v>1291</v>
      </c>
      <c r="H15" s="77">
        <v>5</v>
      </c>
    </row>
    <row r="16" spans="1:8" ht="12" x14ac:dyDescent="0.3">
      <c r="A16" s="73">
        <v>15</v>
      </c>
      <c r="B16" s="78" t="s">
        <v>127</v>
      </c>
      <c r="C16" s="79" t="s">
        <v>1292</v>
      </c>
      <c r="D16" s="77" t="str">
        <f>LEFT(Table2[[#This Row],[Event time]],10)</f>
        <v>2026-01-01</v>
      </c>
      <c r="E16" s="76" t="str">
        <f>VLOOKUP(Table2[[#This Row],[Row Labels]],[1]Sheet2!$B:$J,4,0)</f>
        <v>MOHAMEDI MOSHI NYANZA</v>
      </c>
      <c r="F16" s="77" t="s">
        <v>1293</v>
      </c>
      <c r="G16" s="78" t="s">
        <v>1294</v>
      </c>
      <c r="H16" s="77">
        <v>8</v>
      </c>
    </row>
    <row r="17" spans="1:8" ht="12" x14ac:dyDescent="0.3">
      <c r="A17" s="77">
        <v>16</v>
      </c>
      <c r="B17" s="78" t="s">
        <v>283</v>
      </c>
      <c r="C17" s="79" t="s">
        <v>1295</v>
      </c>
      <c r="D17" s="77" t="str">
        <f>LEFT(Table2[[#This Row],[Event time]],10)</f>
        <v>2026-01-01</v>
      </c>
      <c r="E17" s="76" t="str">
        <f>VLOOKUP(Table2[[#This Row],[Row Labels]],[1]Sheet2!$B:$J,4,0)</f>
        <v>HAMAD OMARY HAMAD</v>
      </c>
      <c r="F17" s="77" t="s">
        <v>1296</v>
      </c>
      <c r="G17" s="78" t="s">
        <v>1297</v>
      </c>
      <c r="H17" s="77">
        <v>3</v>
      </c>
    </row>
    <row r="18" spans="1:8" ht="12" x14ac:dyDescent="0.3">
      <c r="A18" s="73">
        <v>17</v>
      </c>
      <c r="B18" s="74" t="s">
        <v>109</v>
      </c>
      <c r="C18" s="75" t="s">
        <v>1298</v>
      </c>
      <c r="D18" s="73" t="str">
        <f>LEFT(Table2[[#This Row],[Event time]],10)</f>
        <v>2026-01-02</v>
      </c>
      <c r="E18" s="76" t="str">
        <f>VLOOKUP(Table2[[#This Row],[Row Labels]],[1]Sheet2!$B:$J,4,0)</f>
        <v>MASOUDI SAIDY MUHALI</v>
      </c>
      <c r="F18" s="73" t="s">
        <v>1299</v>
      </c>
      <c r="G18" s="74" t="s">
        <v>1300</v>
      </c>
      <c r="H18" s="73">
        <v>6</v>
      </c>
    </row>
    <row r="19" spans="1:8" ht="12" x14ac:dyDescent="0.3">
      <c r="A19" s="77">
        <v>18</v>
      </c>
      <c r="B19" s="78" t="s">
        <v>52</v>
      </c>
      <c r="C19" s="79" t="s">
        <v>1301</v>
      </c>
      <c r="D19" s="77" t="str">
        <f>LEFT(Table2[[#This Row],[Event time]],10)</f>
        <v>2026-01-02</v>
      </c>
      <c r="E19" s="76" t="str">
        <f>VLOOKUP(Table2[[#This Row],[Row Labels]],[1]Sheet2!$B:$J,4,0)</f>
        <v>ISIHAKA IDRISA HAMIDU</v>
      </c>
      <c r="F19" s="77" t="s">
        <v>1302</v>
      </c>
      <c r="G19" s="78" t="s">
        <v>1303</v>
      </c>
      <c r="H19" s="77">
        <v>4</v>
      </c>
    </row>
    <row r="20" spans="1:8" ht="12" x14ac:dyDescent="0.3">
      <c r="A20" s="73">
        <v>19</v>
      </c>
      <c r="B20" s="78" t="s">
        <v>83</v>
      </c>
      <c r="C20" s="79" t="s">
        <v>1304</v>
      </c>
      <c r="D20" s="77" t="str">
        <f>LEFT(Table2[[#This Row],[Event time]],10)</f>
        <v>2026-01-02</v>
      </c>
      <c r="E20" s="76" t="str">
        <f>VLOOKUP(Table2[[#This Row],[Row Labels]],[1]Sheet2!$B:$J,4,0)</f>
        <v>KELVIN JOSEPH MWAMI</v>
      </c>
      <c r="F20" s="77" t="s">
        <v>1305</v>
      </c>
      <c r="G20" s="78" t="s">
        <v>1306</v>
      </c>
      <c r="H20" s="77">
        <v>7</v>
      </c>
    </row>
    <row r="21" spans="1:8" ht="12" x14ac:dyDescent="0.3">
      <c r="A21" s="77">
        <v>20</v>
      </c>
      <c r="B21" s="78" t="s">
        <v>85</v>
      </c>
      <c r="C21" s="79" t="s">
        <v>1307</v>
      </c>
      <c r="D21" s="77" t="str">
        <f>LEFT(Table2[[#This Row],[Event time]],10)</f>
        <v>2026-01-02</v>
      </c>
      <c r="E21" s="76" t="str">
        <f>VLOOKUP(Table2[[#This Row],[Row Labels]],[1]Sheet2!$B:$J,4,0)</f>
        <v>KHALIDY MOHAMEDY KIDOMO</v>
      </c>
      <c r="F21" s="77" t="s">
        <v>1308</v>
      </c>
      <c r="G21" s="78" t="s">
        <v>1309</v>
      </c>
      <c r="H21" s="77">
        <v>15</v>
      </c>
    </row>
    <row r="22" spans="1:8" ht="12" x14ac:dyDescent="0.3">
      <c r="A22" s="73">
        <v>21</v>
      </c>
      <c r="B22" s="78" t="s">
        <v>78</v>
      </c>
      <c r="C22" s="79" t="s">
        <v>1310</v>
      </c>
      <c r="D22" s="77" t="str">
        <f>LEFT(Table2[[#This Row],[Event time]],10)</f>
        <v>2026-01-02</v>
      </c>
      <c r="E22" s="76" t="str">
        <f>VLOOKUP(Table2[[#This Row],[Row Labels]],[1]Sheet2!$B:$J,4,0)</f>
        <v>MOHAMED SAID HAKUNGWA</v>
      </c>
      <c r="F22" s="77" t="s">
        <v>1311</v>
      </c>
      <c r="G22" s="78" t="s">
        <v>1312</v>
      </c>
      <c r="H22" s="77">
        <v>3</v>
      </c>
    </row>
    <row r="23" spans="1:8" ht="12" x14ac:dyDescent="0.3">
      <c r="A23" s="77">
        <v>22</v>
      </c>
      <c r="B23" s="74" t="s">
        <v>195</v>
      </c>
      <c r="C23" s="75" t="s">
        <v>1313</v>
      </c>
      <c r="D23" s="73" t="str">
        <f>LEFT(Table2[[#This Row],[Event time]],10)</f>
        <v>2026-01-02</v>
      </c>
      <c r="E23" s="76" t="str">
        <f>VLOOKUP(Table2[[#This Row],[Row Labels]],[1]Sheet2!$B:$J,4,0)</f>
        <v>ALLY MBARAKA ALLY</v>
      </c>
      <c r="F23" s="73" t="s">
        <v>1314</v>
      </c>
      <c r="G23" s="74" t="s">
        <v>1315</v>
      </c>
      <c r="H23" s="73">
        <v>3</v>
      </c>
    </row>
    <row r="24" spans="1:8" ht="12" x14ac:dyDescent="0.3">
      <c r="A24" s="73">
        <v>23</v>
      </c>
      <c r="B24" s="78" t="s">
        <v>163</v>
      </c>
      <c r="C24" s="79" t="s">
        <v>1316</v>
      </c>
      <c r="D24" s="77" t="str">
        <f>LEFT(Table2[[#This Row],[Event time]],10)</f>
        <v>2026-01-02</v>
      </c>
      <c r="E24" s="76" t="str">
        <f>VLOOKUP(Table2[[#This Row],[Row Labels]],[1]Sheet2!$B:$J,4,0)</f>
        <v xml:space="preserve">HAROUB OMARY JAKA </v>
      </c>
      <c r="F24" s="77" t="s">
        <v>1317</v>
      </c>
      <c r="G24" s="78" t="s">
        <v>1318</v>
      </c>
      <c r="H24" s="77">
        <v>7</v>
      </c>
    </row>
    <row r="25" spans="1:8" ht="12" x14ac:dyDescent="0.3">
      <c r="A25" s="77">
        <v>24</v>
      </c>
      <c r="B25" s="74" t="s">
        <v>600</v>
      </c>
      <c r="C25" s="75" t="s">
        <v>1319</v>
      </c>
      <c r="D25" s="73" t="str">
        <f>LEFT(Table2[[#This Row],[Event time]],10)</f>
        <v>2026-01-02</v>
      </c>
      <c r="E25" s="76" t="str">
        <f>VLOOKUP(Table2[[#This Row],[Row Labels]],[1]Sheet2!$B:$J,4,0)</f>
        <v>EMANUEL AGRICOLA MKENDA</v>
      </c>
      <c r="F25" s="73" t="s">
        <v>1320</v>
      </c>
      <c r="G25" s="74" t="s">
        <v>1321</v>
      </c>
      <c r="H25" s="73">
        <v>3</v>
      </c>
    </row>
    <row r="26" spans="1:8" ht="12" x14ac:dyDescent="0.3">
      <c r="A26" s="73">
        <v>25</v>
      </c>
      <c r="B26" s="78" t="s">
        <v>121</v>
      </c>
      <c r="C26" s="79" t="s">
        <v>1322</v>
      </c>
      <c r="D26" s="77" t="str">
        <f>LEFT(Table2[[#This Row],[Event time]],10)</f>
        <v>2026-01-02</v>
      </c>
      <c r="E26" s="76" t="str">
        <f>VLOOKUP(Table2[[#This Row],[Row Labels]],[1]Sheet2!$B:$J,4,0)</f>
        <v>TWAHIR RASHID MSAKA</v>
      </c>
      <c r="F26" s="77" t="s">
        <v>1323</v>
      </c>
      <c r="G26" s="78" t="s">
        <v>1324</v>
      </c>
      <c r="H26" s="77">
        <v>5</v>
      </c>
    </row>
    <row r="27" spans="1:8" ht="12" x14ac:dyDescent="0.3">
      <c r="A27" s="77">
        <v>26</v>
      </c>
      <c r="B27" s="74" t="s">
        <v>76</v>
      </c>
      <c r="C27" s="75" t="s">
        <v>1325</v>
      </c>
      <c r="D27" s="73" t="str">
        <f>LEFT(Table2[[#This Row],[Event time]],10)</f>
        <v>2026-01-02</v>
      </c>
      <c r="E27" s="76" t="str">
        <f>VLOOKUP(Table2[[#This Row],[Row Labels]],[1]Sheet2!$B:$J,4,0)</f>
        <v>NICKODEMO DEOGLASS MASSAWE</v>
      </c>
      <c r="F27" s="73" t="s">
        <v>1326</v>
      </c>
      <c r="G27" s="74" t="s">
        <v>1327</v>
      </c>
      <c r="H27" s="73">
        <v>3</v>
      </c>
    </row>
    <row r="28" spans="1:8" ht="12" x14ac:dyDescent="0.3">
      <c r="A28" s="73">
        <v>27</v>
      </c>
      <c r="B28" s="78" t="s">
        <v>488</v>
      </c>
      <c r="C28" s="79" t="s">
        <v>1328</v>
      </c>
      <c r="D28" s="77" t="str">
        <f>LEFT(Table2[[#This Row],[Event time]],10)</f>
        <v>2026-01-02</v>
      </c>
      <c r="E28" s="76" t="str">
        <f>VLOOKUP(Table2[[#This Row],[Row Labels]],[1]Sheet2!$B:$J,4,0)</f>
        <v>OMARI ATHUMANI SELEMANI</v>
      </c>
      <c r="F28" s="77" t="s">
        <v>1329</v>
      </c>
      <c r="G28" s="78" t="s">
        <v>1330</v>
      </c>
      <c r="H28" s="77">
        <v>4</v>
      </c>
    </row>
    <row r="29" spans="1:8" ht="12" x14ac:dyDescent="0.3">
      <c r="A29" s="77">
        <v>28</v>
      </c>
      <c r="B29" s="78" t="s">
        <v>614</v>
      </c>
      <c r="C29" s="79" t="s">
        <v>1331</v>
      </c>
      <c r="D29" s="77" t="str">
        <f>LEFT(Table2[[#This Row],[Event time]],10)</f>
        <v>2026-01-02</v>
      </c>
      <c r="E29" s="76" t="str">
        <f>VLOOKUP(Table2[[#This Row],[Row Labels]],[1]Sheet2!$B:$J,4,0)</f>
        <v>HABIBU SELEMANI NTILLA</v>
      </c>
      <c r="F29" s="77" t="s">
        <v>1332</v>
      </c>
      <c r="G29" s="78" t="s">
        <v>1333</v>
      </c>
      <c r="H29" s="77">
        <v>4</v>
      </c>
    </row>
    <row r="30" spans="1:8" ht="12" x14ac:dyDescent="0.3">
      <c r="A30" s="73">
        <v>29</v>
      </c>
      <c r="B30" s="78" t="s">
        <v>244</v>
      </c>
      <c r="C30" s="79" t="s">
        <v>1334</v>
      </c>
      <c r="D30" s="77" t="str">
        <f>LEFT(Table2[[#This Row],[Event time]],10)</f>
        <v>2026-01-02</v>
      </c>
      <c r="E30" s="76" t="str">
        <f>VLOOKUP(Table2[[#This Row],[Row Labels]],[1]Sheet2!$B:$J,4,0)</f>
        <v>JABU RASHIDI ISSA</v>
      </c>
      <c r="F30" s="77" t="s">
        <v>1335</v>
      </c>
      <c r="G30" s="78" t="s">
        <v>617</v>
      </c>
      <c r="H30" s="77">
        <v>3</v>
      </c>
    </row>
    <row r="31" spans="1:8" ht="12" x14ac:dyDescent="0.3">
      <c r="A31" s="77">
        <v>30</v>
      </c>
      <c r="B31" s="74" t="s">
        <v>252</v>
      </c>
      <c r="C31" s="75" t="s">
        <v>1336</v>
      </c>
      <c r="D31" s="73" t="str">
        <f>LEFT(Table2[[#This Row],[Event time]],10)</f>
        <v>2026-01-03</v>
      </c>
      <c r="E31" s="76" t="str">
        <f>VLOOKUP(Table2[[#This Row],[Row Labels]],[1]Sheet2!$B:$J,4,0)</f>
        <v>ROBERT TULIA CHANDO</v>
      </c>
      <c r="F31" s="73" t="s">
        <v>1337</v>
      </c>
      <c r="G31" s="74" t="s">
        <v>1338</v>
      </c>
      <c r="H31" s="73">
        <v>3</v>
      </c>
    </row>
    <row r="32" spans="1:8" ht="12" x14ac:dyDescent="0.3">
      <c r="A32" s="73">
        <v>31</v>
      </c>
      <c r="B32" s="78" t="s">
        <v>121</v>
      </c>
      <c r="C32" s="79" t="s">
        <v>1339</v>
      </c>
      <c r="D32" s="77" t="str">
        <f>LEFT(Table2[[#This Row],[Event time]],10)</f>
        <v>2026-01-03</v>
      </c>
      <c r="E32" s="76" t="str">
        <f>VLOOKUP(Table2[[#This Row],[Row Labels]],[1]Sheet2!$B:$J,4,0)</f>
        <v>TWAHIR RASHID MSAKA</v>
      </c>
      <c r="F32" s="77" t="s">
        <v>1340</v>
      </c>
      <c r="G32" s="78" t="s">
        <v>179</v>
      </c>
      <c r="H32" s="77">
        <v>11</v>
      </c>
    </row>
    <row r="33" spans="1:8" ht="12" x14ac:dyDescent="0.3">
      <c r="A33" s="77">
        <v>32</v>
      </c>
      <c r="B33" s="78" t="s">
        <v>82</v>
      </c>
      <c r="C33" s="79" t="s">
        <v>1341</v>
      </c>
      <c r="D33" s="77" t="str">
        <f>LEFT(Table2[[#This Row],[Event time]],10)</f>
        <v>2026-01-03</v>
      </c>
      <c r="E33" s="76" t="str">
        <f>VLOOKUP(Table2[[#This Row],[Row Labels]],[1]Sheet2!$B:$J,4,0)</f>
        <v>SAID RAJABU RAJABU</v>
      </c>
      <c r="F33" s="77" t="s">
        <v>1342</v>
      </c>
      <c r="G33" s="78" t="s">
        <v>1343</v>
      </c>
      <c r="H33" s="77">
        <v>5</v>
      </c>
    </row>
    <row r="34" spans="1:8" ht="12" x14ac:dyDescent="0.3">
      <c r="A34" s="73">
        <v>33</v>
      </c>
      <c r="B34" s="78" t="s">
        <v>86</v>
      </c>
      <c r="C34" s="79" t="s">
        <v>1344</v>
      </c>
      <c r="D34" s="77" t="str">
        <f>LEFT(Table2[[#This Row],[Event time]],10)</f>
        <v>2026-01-03</v>
      </c>
      <c r="E34" s="76" t="str">
        <f>VLOOKUP(Table2[[#This Row],[Row Labels]],[1]Sheet2!$B:$J,4,0)</f>
        <v>BAHATI ATHUMANI MDOE</v>
      </c>
      <c r="F34" s="77" t="s">
        <v>1345</v>
      </c>
      <c r="G34" s="78" t="s">
        <v>1346</v>
      </c>
      <c r="H34" s="77">
        <v>3</v>
      </c>
    </row>
    <row r="35" spans="1:8" ht="12" x14ac:dyDescent="0.3">
      <c r="A35" s="77">
        <v>34</v>
      </c>
      <c r="B35" s="78" t="s">
        <v>238</v>
      </c>
      <c r="C35" s="79" t="s">
        <v>1347</v>
      </c>
      <c r="D35" s="77" t="str">
        <f>LEFT(Table2[[#This Row],[Event time]],10)</f>
        <v>2026-01-03</v>
      </c>
      <c r="E35" s="76" t="str">
        <f>VLOOKUP(Table2[[#This Row],[Row Labels]],[1]Sheet2!$B:$J,4,0)</f>
        <v>ROBERT VICENT SONJE</v>
      </c>
      <c r="F35" s="77" t="s">
        <v>1348</v>
      </c>
      <c r="G35" s="78" t="s">
        <v>1349</v>
      </c>
      <c r="H35" s="77">
        <v>5</v>
      </c>
    </row>
    <row r="36" spans="1:8" ht="12" x14ac:dyDescent="0.3">
      <c r="A36" s="73">
        <v>35</v>
      </c>
      <c r="B36" s="78" t="s">
        <v>282</v>
      </c>
      <c r="C36" s="79" t="s">
        <v>1350</v>
      </c>
      <c r="D36" s="77" t="str">
        <f>LEFT(Table2[[#This Row],[Event time]],10)</f>
        <v>2026-01-03</v>
      </c>
      <c r="E36" s="76" t="str">
        <f>VLOOKUP(Table2[[#This Row],[Row Labels]],[1]Sheet2!$B:$J,4,0)</f>
        <v>MRISHO WAZIRI ALLY</v>
      </c>
      <c r="F36" s="77" t="s">
        <v>1351</v>
      </c>
      <c r="G36" s="78" t="s">
        <v>1352</v>
      </c>
      <c r="H36" s="77">
        <v>3</v>
      </c>
    </row>
    <row r="37" spans="1:8" ht="12" x14ac:dyDescent="0.3">
      <c r="A37" s="77">
        <v>36</v>
      </c>
      <c r="B37" s="77" t="s">
        <v>82</v>
      </c>
      <c r="C37" s="77" t="s">
        <v>1418</v>
      </c>
      <c r="D37" s="77" t="str">
        <f>LEFT(Table2[[#This Row],[Event time]],10)</f>
        <v>2026-01-04</v>
      </c>
      <c r="E37" s="76" t="str">
        <f>VLOOKUP(Table2[[#This Row],[Row Labels]],[1]Sheet2!$B:$J,4,0)</f>
        <v>SAID RAJABU RAJABU</v>
      </c>
      <c r="F37" s="77" t="s">
        <v>1419</v>
      </c>
      <c r="G37" s="77" t="s">
        <v>1420</v>
      </c>
      <c r="H37" s="77">
        <v>9</v>
      </c>
    </row>
    <row r="38" spans="1:8" ht="12" x14ac:dyDescent="0.3">
      <c r="A38" s="73">
        <v>37</v>
      </c>
      <c r="B38" s="73" t="s">
        <v>255</v>
      </c>
      <c r="C38" s="73" t="s">
        <v>1421</v>
      </c>
      <c r="D38" s="73" t="str">
        <f>LEFT(Table2[[#This Row],[Event time]],10)</f>
        <v>2026-01-04</v>
      </c>
      <c r="E38" s="76" t="str">
        <f>VLOOKUP(Table2[[#This Row],[Row Labels]],[1]Sheet2!$B:$J,4,0)</f>
        <v>JUMANNE ALLY NJECHELE</v>
      </c>
      <c r="F38" s="73" t="s">
        <v>1422</v>
      </c>
      <c r="G38" s="73" t="s">
        <v>1423</v>
      </c>
      <c r="H38" s="73">
        <v>3</v>
      </c>
    </row>
    <row r="39" spans="1:8" ht="12" x14ac:dyDescent="0.3">
      <c r="A39" s="77">
        <v>38</v>
      </c>
      <c r="B39" s="77" t="s">
        <v>277</v>
      </c>
      <c r="C39" s="77" t="s">
        <v>1424</v>
      </c>
      <c r="D39" s="77" t="str">
        <f>LEFT(Table2[[#This Row],[Event time]],10)</f>
        <v>2026-01-04</v>
      </c>
      <c r="E39" s="76" t="str">
        <f>VLOOKUP(Table2[[#This Row],[Row Labels]],[1]Sheet2!$B:$J,4,0)</f>
        <v>BASHIRU ABDALLA HUSSEIN</v>
      </c>
      <c r="F39" s="77" t="s">
        <v>1425</v>
      </c>
      <c r="G39" s="77" t="s">
        <v>1426</v>
      </c>
      <c r="H39" s="77">
        <v>4</v>
      </c>
    </row>
    <row r="40" spans="1:8" ht="12" x14ac:dyDescent="0.3">
      <c r="A40" s="73">
        <v>39</v>
      </c>
      <c r="B40" s="77" t="s">
        <v>178</v>
      </c>
      <c r="C40" s="77" t="s">
        <v>1427</v>
      </c>
      <c r="D40" s="77" t="str">
        <f>LEFT(Table2[[#This Row],[Event time]],10)</f>
        <v>2026-01-04</v>
      </c>
      <c r="E40" s="76" t="str">
        <f>VLOOKUP(Table2[[#This Row],[Row Labels]],[1]Sheet2!$B:$J,4,0)</f>
        <v>GABRIEL SHIJA MAHONA</v>
      </c>
      <c r="F40" s="77" t="s">
        <v>1428</v>
      </c>
      <c r="G40" s="77" t="s">
        <v>1429</v>
      </c>
      <c r="H40" s="77">
        <v>5</v>
      </c>
    </row>
    <row r="41" spans="1:8" ht="12" x14ac:dyDescent="0.3">
      <c r="A41" s="77">
        <v>40</v>
      </c>
      <c r="B41" s="77" t="s">
        <v>243</v>
      </c>
      <c r="C41" s="77" t="s">
        <v>1430</v>
      </c>
      <c r="D41" s="77" t="str">
        <f>LEFT(Table2[[#This Row],[Event time]],10)</f>
        <v>2026-01-04</v>
      </c>
      <c r="E41" s="76" t="str">
        <f>VLOOKUP(Table2[[#This Row],[Row Labels]],[1]Sheet2!$B:$J,4,0)</f>
        <v>FLAVIAN PASCAL MLUWE</v>
      </c>
      <c r="F41" s="77" t="s">
        <v>1431</v>
      </c>
      <c r="G41" s="77" t="s">
        <v>1349</v>
      </c>
      <c r="H41" s="77">
        <v>3</v>
      </c>
    </row>
    <row r="42" spans="1:8" ht="12" x14ac:dyDescent="0.3">
      <c r="A42" s="73">
        <v>41</v>
      </c>
      <c r="B42" s="77" t="s">
        <v>142</v>
      </c>
      <c r="C42" s="77" t="s">
        <v>1432</v>
      </c>
      <c r="D42" s="77" t="str">
        <f>LEFT(Table2[[#This Row],[Event time]],10)</f>
        <v>2026-01-04</v>
      </c>
      <c r="E42" s="76" t="str">
        <f>VLOOKUP(Table2[[#This Row],[Row Labels]],[1]Sheet2!$B:$J,4,0)</f>
        <v>LUSEKELO JEREMIA MWAMBETE</v>
      </c>
      <c r="F42" s="77" t="s">
        <v>1433</v>
      </c>
      <c r="G42" s="77" t="s">
        <v>613</v>
      </c>
      <c r="H42" s="77">
        <v>5</v>
      </c>
    </row>
    <row r="43" spans="1:8" ht="12" x14ac:dyDescent="0.3">
      <c r="A43" s="77">
        <v>42</v>
      </c>
      <c r="B43" s="73" t="s">
        <v>286</v>
      </c>
      <c r="C43" s="73" t="s">
        <v>1441</v>
      </c>
      <c r="D43" s="73" t="str">
        <f>LEFT(Table2[[#This Row],[Event time]],10)</f>
        <v>2026-01-05</v>
      </c>
      <c r="E43" s="76" t="str">
        <f>VLOOKUP(Table2[[#This Row],[Row Labels]],[1]Sheet2!$B:$J,4,0)</f>
        <v>ISAYA MSHUKURU MMBANDO</v>
      </c>
      <c r="F43" s="65" t="s">
        <v>1450</v>
      </c>
      <c r="G43" s="73" t="s">
        <v>1442</v>
      </c>
      <c r="H43" s="73">
        <v>5</v>
      </c>
    </row>
    <row r="44" spans="1:8" ht="12" x14ac:dyDescent="0.3">
      <c r="A44" s="73">
        <v>43</v>
      </c>
      <c r="B44" s="73" t="s">
        <v>277</v>
      </c>
      <c r="C44" s="73" t="s">
        <v>1443</v>
      </c>
      <c r="D44" s="73" t="str">
        <f>LEFT(Table2[[#This Row],[Event time]],10)</f>
        <v>2026-01-05</v>
      </c>
      <c r="E44" s="76" t="str">
        <f>VLOOKUP(Table2[[#This Row],[Row Labels]],[1]Sheet2!$B:$J,4,0)</f>
        <v>BASHIRU ABDALLA HUSSEIN</v>
      </c>
      <c r="F44" s="65" t="s">
        <v>1451</v>
      </c>
      <c r="G44" s="73" t="s">
        <v>1444</v>
      </c>
      <c r="H44" s="73">
        <v>3</v>
      </c>
    </row>
    <row r="45" spans="1:8" ht="12" x14ac:dyDescent="0.3">
      <c r="A45" s="77">
        <v>44</v>
      </c>
      <c r="B45" s="73" t="s">
        <v>178</v>
      </c>
      <c r="C45" s="73" t="s">
        <v>1445</v>
      </c>
      <c r="D45" s="73" t="str">
        <f>LEFT(Table2[[#This Row],[Event time]],10)</f>
        <v>2026-01-05</v>
      </c>
      <c r="E45" s="76" t="str">
        <f>VLOOKUP(Table2[[#This Row],[Row Labels]],[1]Sheet2!$B:$J,4,0)</f>
        <v>GABRIEL SHIJA MAHONA</v>
      </c>
      <c r="F45" s="65" t="s">
        <v>1452</v>
      </c>
      <c r="G45" s="73" t="s">
        <v>1446</v>
      </c>
      <c r="H45" s="73">
        <v>6</v>
      </c>
    </row>
    <row r="46" spans="1:8" ht="12" x14ac:dyDescent="0.3">
      <c r="A46" s="73">
        <v>45</v>
      </c>
      <c r="B46" s="73" t="s">
        <v>80</v>
      </c>
      <c r="C46" s="73" t="s">
        <v>1447</v>
      </c>
      <c r="D46" s="73" t="str">
        <f>LEFT(Table2[[#This Row],[Event time]],10)</f>
        <v>2026-01-05</v>
      </c>
      <c r="E46" s="76" t="str">
        <f>VLOOKUP(Table2[[#This Row],[Row Labels]],[1]Sheet2!$B:$J,4,0)</f>
        <v>ALLY RAMADHANI ZANDA</v>
      </c>
      <c r="F46" s="65" t="s">
        <v>1453</v>
      </c>
      <c r="G46" s="73" t="s">
        <v>426</v>
      </c>
      <c r="H46" s="73">
        <v>15</v>
      </c>
    </row>
    <row r="47" spans="1:8" ht="12" x14ac:dyDescent="0.3">
      <c r="A47" s="77">
        <v>46</v>
      </c>
      <c r="B47" s="77" t="s">
        <v>84</v>
      </c>
      <c r="C47" s="77" t="s">
        <v>1448</v>
      </c>
      <c r="D47" s="77" t="str">
        <f>LEFT(Table2[[#This Row],[Event time]],10)</f>
        <v>2026-01-05</v>
      </c>
      <c r="E47" s="76" t="str">
        <f>VLOOKUP(Table2[[#This Row],[Row Labels]],[1]Sheet2!$B:$J,4,0)</f>
        <v>NIZAR HASHAM TIMBILI</v>
      </c>
      <c r="F47" s="65" t="s">
        <v>1454</v>
      </c>
      <c r="G47" s="77" t="s">
        <v>1449</v>
      </c>
      <c r="H47" s="77">
        <v>3</v>
      </c>
    </row>
    <row r="48" spans="1:8" ht="12" x14ac:dyDescent="0.3">
      <c r="A48" s="73">
        <v>47</v>
      </c>
      <c r="B48" s="73" t="s">
        <v>136</v>
      </c>
      <c r="C48" s="73" t="s">
        <v>1701</v>
      </c>
      <c r="D48" s="73" t="str">
        <f>LEFT(Table2[[#This Row],[Event time]],10)</f>
        <v>2026-01-06</v>
      </c>
      <c r="E48" s="76" t="str">
        <f>VLOOKUP(Table2[[#This Row],[Row Labels]],[1]Sheet2!$B:$J,4,0)</f>
        <v>JOHN NICHOLAUS MASSAWE</v>
      </c>
      <c r="F48" s="73" t="s">
        <v>1702</v>
      </c>
      <c r="G48" s="73" t="s">
        <v>1703</v>
      </c>
      <c r="H48" s="73">
        <v>3</v>
      </c>
    </row>
    <row r="49" spans="1:8" ht="12" x14ac:dyDescent="0.3">
      <c r="A49" s="77">
        <v>48</v>
      </c>
      <c r="B49" s="77" t="s">
        <v>55</v>
      </c>
      <c r="C49" s="77" t="s">
        <v>1704</v>
      </c>
      <c r="D49" s="77" t="str">
        <f>LEFT(Table2[[#This Row],[Event time]],10)</f>
        <v>2026-01-06</v>
      </c>
      <c r="E49" s="76" t="str">
        <f>VLOOKUP(Table2[[#This Row],[Row Labels]],[1]Sheet2!$B:$J,4,0)</f>
        <v>GODFREY JOHN ANTHONY KUNDI</v>
      </c>
      <c r="F49" s="77" t="s">
        <v>1705</v>
      </c>
      <c r="G49" s="77" t="s">
        <v>1706</v>
      </c>
      <c r="H49" s="77">
        <v>4</v>
      </c>
    </row>
    <row r="50" spans="1:8" ht="12" x14ac:dyDescent="0.3">
      <c r="A50" s="73">
        <v>49</v>
      </c>
      <c r="B50" s="77" t="s">
        <v>286</v>
      </c>
      <c r="C50" s="77" t="s">
        <v>1707</v>
      </c>
      <c r="D50" s="77" t="str">
        <f>LEFT(Table2[[#This Row],[Event time]],10)</f>
        <v>2026-01-06</v>
      </c>
      <c r="E50" s="76" t="str">
        <f>VLOOKUP(Table2[[#This Row],[Row Labels]],[1]Sheet2!$B:$J,4,0)</f>
        <v>ISAYA MSHUKURU MMBANDO</v>
      </c>
      <c r="F50" s="77" t="s">
        <v>1708</v>
      </c>
      <c r="G50" s="77" t="s">
        <v>1709</v>
      </c>
      <c r="H50" s="77">
        <v>8</v>
      </c>
    </row>
    <row r="51" spans="1:8" ht="12" x14ac:dyDescent="0.3">
      <c r="A51" s="77">
        <v>50</v>
      </c>
      <c r="B51" s="77" t="s">
        <v>80</v>
      </c>
      <c r="C51" s="77" t="s">
        <v>1710</v>
      </c>
      <c r="D51" s="77" t="str">
        <f>LEFT(Table2[[#This Row],[Event time]],10)</f>
        <v>2026-01-06</v>
      </c>
      <c r="E51" s="76" t="str">
        <f>VLOOKUP(Table2[[#This Row],[Row Labels]],[1]Sheet2!$B:$J,4,0)</f>
        <v>ALLY RAMADHANI ZANDA</v>
      </c>
      <c r="F51" s="77" t="s">
        <v>1711</v>
      </c>
      <c r="G51" s="77" t="s">
        <v>487</v>
      </c>
      <c r="H51" s="77">
        <v>3</v>
      </c>
    </row>
    <row r="52" spans="1:8" ht="12" x14ac:dyDescent="0.3">
      <c r="A52" s="73">
        <v>51</v>
      </c>
      <c r="B52" s="77" t="s">
        <v>57</v>
      </c>
      <c r="C52" s="77" t="s">
        <v>1712</v>
      </c>
      <c r="D52" s="77" t="str">
        <f>LEFT(Table2[[#This Row],[Event time]],10)</f>
        <v>2026-01-06</v>
      </c>
      <c r="E52" s="76" t="str">
        <f>VLOOKUP(Table2[[#This Row],[Row Labels]],[1]Sheet2!$B:$J,4,0)</f>
        <v xml:space="preserve">JOSEPH LAWRENCE MAHANO </v>
      </c>
      <c r="F52" s="77" t="s">
        <v>1713</v>
      </c>
      <c r="G52" s="77" t="s">
        <v>1714</v>
      </c>
      <c r="H52" s="77">
        <v>5</v>
      </c>
    </row>
    <row r="53" spans="1:8" ht="12" x14ac:dyDescent="0.3">
      <c r="A53" s="77">
        <v>52</v>
      </c>
      <c r="B53" s="73" t="s">
        <v>287</v>
      </c>
      <c r="C53" s="73" t="s">
        <v>1715</v>
      </c>
      <c r="D53" s="73" t="str">
        <f>LEFT(Table2[[#This Row],[Event time]],10)</f>
        <v>2026-01-06</v>
      </c>
      <c r="E53" s="76" t="str">
        <f>VLOOKUP(Table2[[#This Row],[Row Labels]],[1]Sheet2!$B:$J,4,0)</f>
        <v>ABILLAH BAKARI MHINA</v>
      </c>
      <c r="F53" s="73" t="s">
        <v>1716</v>
      </c>
      <c r="G53" s="73" t="s">
        <v>1717</v>
      </c>
      <c r="H53" s="73">
        <v>3</v>
      </c>
    </row>
    <row r="54" spans="1:8" ht="12" x14ac:dyDescent="0.3">
      <c r="A54" s="73">
        <v>53</v>
      </c>
      <c r="B54" s="77" t="s">
        <v>618</v>
      </c>
      <c r="C54" s="77" t="s">
        <v>1718</v>
      </c>
      <c r="D54" s="77" t="str">
        <f>LEFT(Table2[[#This Row],[Event time]],10)</f>
        <v>2026-01-06</v>
      </c>
      <c r="E54" s="76" t="str">
        <f>VLOOKUP(Table2[[#This Row],[Row Labels]],[1]Sheet2!$B:$J,4,0)</f>
        <v>SHOMAR MOHAMED MITAWA</v>
      </c>
      <c r="F54" s="77" t="s">
        <v>1719</v>
      </c>
      <c r="G54" s="77" t="s">
        <v>1720</v>
      </c>
      <c r="H54" s="77">
        <v>11</v>
      </c>
    </row>
    <row r="55" spans="1:8" ht="12" x14ac:dyDescent="0.3">
      <c r="A55" s="77">
        <v>54</v>
      </c>
      <c r="B55" s="77" t="s">
        <v>186</v>
      </c>
      <c r="C55" s="77" t="s">
        <v>1721</v>
      </c>
      <c r="D55" s="77" t="str">
        <f>LEFT(Table2[[#This Row],[Event time]],10)</f>
        <v>2026-01-06</v>
      </c>
      <c r="E55" s="76" t="str">
        <f>VLOOKUP(Table2[[#This Row],[Row Labels]],[1]Sheet2!$B:$J,4,0)</f>
        <v>YASIN BAKARI NYALU</v>
      </c>
      <c r="F55" s="77" t="s">
        <v>1722</v>
      </c>
      <c r="G55" s="77" t="s">
        <v>1723</v>
      </c>
      <c r="H55" s="77">
        <v>4</v>
      </c>
    </row>
    <row r="56" spans="1:8" ht="12" x14ac:dyDescent="0.3">
      <c r="A56" s="73">
        <v>55</v>
      </c>
      <c r="B56" s="73" t="s">
        <v>621</v>
      </c>
      <c r="C56" s="73" t="s">
        <v>1724</v>
      </c>
      <c r="D56" s="73" t="str">
        <f>LEFT(Table2[[#This Row],[Event time]],10)</f>
        <v>2026-01-06</v>
      </c>
      <c r="E56" s="76" t="str">
        <f>VLOOKUP(Table2[[#This Row],[Row Labels]],[1]Sheet2!$B:$J,4,0)</f>
        <v>HASSAN RAMADHANI SHABANI</v>
      </c>
      <c r="F56" s="73" t="s">
        <v>1725</v>
      </c>
      <c r="G56" s="73" t="s">
        <v>1726</v>
      </c>
      <c r="H56" s="73">
        <v>3</v>
      </c>
    </row>
    <row r="57" spans="1:8" ht="12" x14ac:dyDescent="0.3">
      <c r="A57" s="77">
        <v>56</v>
      </c>
      <c r="B57" s="73" t="s">
        <v>84</v>
      </c>
      <c r="C57" s="73" t="s">
        <v>1727</v>
      </c>
      <c r="D57" s="73" t="str">
        <f>LEFT(Table2[[#This Row],[Event time]],10)</f>
        <v>2026-01-06</v>
      </c>
      <c r="E57" s="76" t="str">
        <f>VLOOKUP(Table2[[#This Row],[Row Labels]],[1]Sheet2!$B:$J,4,0)</f>
        <v>NIZAR HASHAM TIMBILI</v>
      </c>
      <c r="F57" s="73" t="s">
        <v>1728</v>
      </c>
      <c r="G57" s="73" t="s">
        <v>1729</v>
      </c>
      <c r="H57" s="73">
        <v>5</v>
      </c>
    </row>
    <row r="58" spans="1:8" ht="12" x14ac:dyDescent="0.3">
      <c r="A58" s="73">
        <v>57</v>
      </c>
      <c r="B58" s="73" t="s">
        <v>88</v>
      </c>
      <c r="C58" s="73" t="s">
        <v>1730</v>
      </c>
      <c r="D58" s="73" t="str">
        <f>LEFT(Table2[[#This Row],[Event time]],10)</f>
        <v>2026-01-06</v>
      </c>
      <c r="E58" s="76" t="str">
        <f>VLOOKUP(Table2[[#This Row],[Row Labels]],[1]Sheet2!$B:$J,4,0)</f>
        <v>OMARY SAID MTAJI</v>
      </c>
      <c r="F58" s="73" t="s">
        <v>1731</v>
      </c>
      <c r="G58" s="73" t="s">
        <v>1732</v>
      </c>
      <c r="H58" s="73">
        <v>3</v>
      </c>
    </row>
    <row r="59" spans="1:8" ht="12" x14ac:dyDescent="0.3">
      <c r="A59" s="77">
        <v>58</v>
      </c>
      <c r="B59" s="77" t="s">
        <v>220</v>
      </c>
      <c r="C59" s="77" t="s">
        <v>1733</v>
      </c>
      <c r="D59" s="77" t="str">
        <f>LEFT(Table2[[#This Row],[Event time]],10)</f>
        <v>2026-01-06</v>
      </c>
      <c r="E59" s="76" t="str">
        <f>VLOOKUP(Table2[[#This Row],[Row Labels]],[1]Sheet2!$B:$J,4,0)</f>
        <v>ISSACK KONRADI KASIANO</v>
      </c>
      <c r="F59" s="77" t="s">
        <v>1734</v>
      </c>
      <c r="G59" s="77" t="s">
        <v>1735</v>
      </c>
      <c r="H59" s="77">
        <v>8</v>
      </c>
    </row>
    <row r="60" spans="1:8" ht="12" x14ac:dyDescent="0.3">
      <c r="A60" s="73">
        <v>59</v>
      </c>
      <c r="B60" s="73" t="s">
        <v>284</v>
      </c>
      <c r="C60" s="73" t="s">
        <v>1736</v>
      </c>
      <c r="D60" s="73" t="str">
        <f>LEFT(Table2[[#This Row],[Event time]],10)</f>
        <v>2026-01-06</v>
      </c>
      <c r="E60" s="76" t="str">
        <f>VLOOKUP(Table2[[#This Row],[Row Labels]],[1]Sheet2!$B:$J,4,0)</f>
        <v>STEPHANO ABINELI ULOMI</v>
      </c>
      <c r="F60" s="73" t="s">
        <v>1737</v>
      </c>
      <c r="G60" s="73" t="s">
        <v>174</v>
      </c>
      <c r="H60" s="73">
        <v>7</v>
      </c>
    </row>
    <row r="61" spans="1:8" ht="12" x14ac:dyDescent="0.3">
      <c r="A61" s="77">
        <v>60</v>
      </c>
      <c r="B61" s="77" t="s">
        <v>209</v>
      </c>
      <c r="C61" s="77" t="s">
        <v>1738</v>
      </c>
      <c r="D61" s="77" t="str">
        <f>LEFT(Table2[[#This Row],[Event time]],10)</f>
        <v>2026-01-06</v>
      </c>
      <c r="E61" s="76" t="str">
        <f>VLOOKUP(Table2[[#This Row],[Row Labels]],[1]Sheet2!$B:$J,4,0)</f>
        <v>SWEETBERT RUKONGE MWEMEZI</v>
      </c>
      <c r="F61" s="77" t="s">
        <v>1739</v>
      </c>
      <c r="G61" s="77" t="s">
        <v>1740</v>
      </c>
      <c r="H61" s="77">
        <v>4</v>
      </c>
    </row>
    <row r="62" spans="1:8" ht="12" x14ac:dyDescent="0.3">
      <c r="A62" s="73">
        <v>61</v>
      </c>
      <c r="B62" s="77" t="s">
        <v>221</v>
      </c>
      <c r="C62" s="77" t="s">
        <v>1741</v>
      </c>
      <c r="D62" s="77" t="str">
        <f>LEFT(Table2[[#This Row],[Event time]],10)</f>
        <v>2026-01-06</v>
      </c>
      <c r="E62" s="76" t="str">
        <f>VLOOKUP(Table2[[#This Row],[Row Labels]],[1]Sheet2!$B:$J,4,0)</f>
        <v>SEIF AMARY HAMAD</v>
      </c>
      <c r="F62" s="77" t="s">
        <v>1742</v>
      </c>
      <c r="G62" s="77" t="s">
        <v>1743</v>
      </c>
      <c r="H62" s="77">
        <v>5</v>
      </c>
    </row>
    <row r="63" spans="1:8" ht="12" x14ac:dyDescent="0.3">
      <c r="A63" s="77">
        <v>62</v>
      </c>
      <c r="B63" s="77" t="s">
        <v>251</v>
      </c>
      <c r="C63" s="77" t="s">
        <v>1744</v>
      </c>
      <c r="D63" s="77" t="str">
        <f>LEFT(Table2[[#This Row],[Event time]],10)</f>
        <v>2026-01-07</v>
      </c>
      <c r="E63" s="76" t="str">
        <f>VLOOKUP(Table2[[#This Row],[Row Labels]],[1]Sheet2!$B:$J,4,0)</f>
        <v>MWAITA ALLY ISIHAKA</v>
      </c>
      <c r="F63" s="77" t="s">
        <v>1745</v>
      </c>
      <c r="G63" s="77" t="s">
        <v>174</v>
      </c>
      <c r="H63" s="77">
        <v>6</v>
      </c>
    </row>
    <row r="64" spans="1:8" ht="12" x14ac:dyDescent="0.3">
      <c r="A64" s="73">
        <v>63</v>
      </c>
      <c r="B64" s="77" t="s">
        <v>50</v>
      </c>
      <c r="C64" s="77" t="s">
        <v>1746</v>
      </c>
      <c r="D64" s="77" t="str">
        <f>LEFT(Table2[[#This Row],[Event time]],10)</f>
        <v>2026-01-07</v>
      </c>
      <c r="E64" s="76" t="str">
        <f>VLOOKUP(Table2[[#This Row],[Row Labels]],[1]Sheet2!$B:$J,4,0)</f>
        <v>HAMADI  MOHAMED KACHEM</v>
      </c>
      <c r="F64" s="77" t="s">
        <v>1747</v>
      </c>
      <c r="G64" s="77" t="s">
        <v>1748</v>
      </c>
      <c r="H64" s="77">
        <v>3</v>
      </c>
    </row>
    <row r="65" spans="1:8" ht="12" x14ac:dyDescent="0.3">
      <c r="A65" s="77">
        <v>64</v>
      </c>
      <c r="B65" s="77" t="s">
        <v>266</v>
      </c>
      <c r="C65" s="77" t="s">
        <v>1749</v>
      </c>
      <c r="D65" s="77" t="str">
        <f>LEFT(Table2[[#This Row],[Event time]],10)</f>
        <v>2026-01-07</v>
      </c>
      <c r="E65" s="76" t="str">
        <f>VLOOKUP(Table2[[#This Row],[Row Labels]],[1]Sheet2!$B:$J,4,0)</f>
        <v xml:space="preserve">DEOGRATIAS PETER NGHABI </v>
      </c>
      <c r="F65" s="77" t="s">
        <v>1750</v>
      </c>
      <c r="G65" s="77" t="s">
        <v>1751</v>
      </c>
      <c r="H65" s="77">
        <v>4</v>
      </c>
    </row>
    <row r="66" spans="1:8" ht="12" x14ac:dyDescent="0.3">
      <c r="A66" s="73">
        <v>65</v>
      </c>
      <c r="B66" s="77" t="s">
        <v>155</v>
      </c>
      <c r="C66" s="77" t="s">
        <v>1752</v>
      </c>
      <c r="D66" s="77" t="str">
        <f>LEFT(Table2[[#This Row],[Event time]],10)</f>
        <v>2026-01-07</v>
      </c>
      <c r="E66" s="76" t="str">
        <f>VLOOKUP(Table2[[#This Row],[Row Labels]],[1]Sheet2!$B:$J,4,0)</f>
        <v>RASHIDI MUSTAFA ABDALLAH</v>
      </c>
      <c r="F66" s="77" t="s">
        <v>1753</v>
      </c>
      <c r="G66" s="77" t="s">
        <v>1754</v>
      </c>
      <c r="H66" s="77">
        <v>8</v>
      </c>
    </row>
    <row r="67" spans="1:8" ht="12" x14ac:dyDescent="0.3">
      <c r="A67" s="77">
        <v>66</v>
      </c>
      <c r="B67" s="73" t="s">
        <v>257</v>
      </c>
      <c r="C67" s="73" t="s">
        <v>1755</v>
      </c>
      <c r="D67" s="73" t="str">
        <f>LEFT(Table2[[#This Row],[Event time]],10)</f>
        <v>2026-01-07</v>
      </c>
      <c r="E67" s="76" t="str">
        <f>VLOOKUP(Table2[[#This Row],[Row Labels]],[1]Sheet2!$B:$J,4,0)</f>
        <v>RAJABU HUSSEIN AHMAD</v>
      </c>
      <c r="F67" s="73" t="s">
        <v>1756</v>
      </c>
      <c r="G67" s="73" t="s">
        <v>1757</v>
      </c>
      <c r="H67" s="73">
        <v>6</v>
      </c>
    </row>
    <row r="68" spans="1:8" ht="12" x14ac:dyDescent="0.3">
      <c r="A68" s="73">
        <v>67</v>
      </c>
      <c r="B68" s="77" t="s">
        <v>85</v>
      </c>
      <c r="C68" s="77" t="s">
        <v>1758</v>
      </c>
      <c r="D68" s="77" t="str">
        <f>LEFT(Table2[[#This Row],[Event time]],10)</f>
        <v>2026-01-07</v>
      </c>
      <c r="E68" s="76" t="str">
        <f>VLOOKUP(Table2[[#This Row],[Row Labels]],[1]Sheet2!$B:$J,4,0)</f>
        <v>KHALIDY MOHAMEDY KIDOMO</v>
      </c>
      <c r="F68" s="77" t="s">
        <v>1759</v>
      </c>
      <c r="G68" s="77" t="s">
        <v>1760</v>
      </c>
      <c r="H68" s="77">
        <v>3</v>
      </c>
    </row>
    <row r="69" spans="1:8" ht="12" x14ac:dyDescent="0.3">
      <c r="A69" s="77">
        <v>68</v>
      </c>
      <c r="B69" s="77" t="s">
        <v>96</v>
      </c>
      <c r="C69" s="77" t="s">
        <v>1761</v>
      </c>
      <c r="D69" s="77" t="str">
        <f>LEFT(Table2[[#This Row],[Event time]],10)</f>
        <v>2026-01-07</v>
      </c>
      <c r="E69" s="76" t="str">
        <f>VLOOKUP(Table2[[#This Row],[Row Labels]],[1]Sheet2!$B:$J,4,0)</f>
        <v>ELIBAS EZEKIEL KITUNGWA</v>
      </c>
      <c r="F69" s="77" t="s">
        <v>1762</v>
      </c>
      <c r="G69" s="77" t="s">
        <v>1763</v>
      </c>
      <c r="H69" s="77">
        <v>5</v>
      </c>
    </row>
    <row r="70" spans="1:8" ht="12" x14ac:dyDescent="0.3">
      <c r="A70" s="73">
        <v>69</v>
      </c>
      <c r="B70" s="73" t="s">
        <v>93</v>
      </c>
      <c r="C70" s="73" t="s">
        <v>1984</v>
      </c>
      <c r="D70" s="73" t="str">
        <f>LEFT(Table2[[#This Row],[Event time]],10)</f>
        <v>2026-01-08</v>
      </c>
      <c r="E70" s="76" t="str">
        <f>VLOOKUP(Table2[[#This Row],[Row Labels]],[1]Sheet2!$B:$J,4,0)</f>
        <v>OMAR SWALEH CHANINGA</v>
      </c>
      <c r="F70" s="73" t="s">
        <v>1985</v>
      </c>
      <c r="G70" s="73" t="s">
        <v>1986</v>
      </c>
      <c r="H70" s="73">
        <v>3</v>
      </c>
    </row>
    <row r="71" spans="1:8" ht="12" x14ac:dyDescent="0.3">
      <c r="A71" s="77">
        <v>70</v>
      </c>
      <c r="B71" s="73" t="s">
        <v>86</v>
      </c>
      <c r="C71" s="73" t="s">
        <v>1987</v>
      </c>
      <c r="D71" s="73" t="str">
        <f>LEFT(Table2[[#This Row],[Event time]],10)</f>
        <v>2026-01-08</v>
      </c>
      <c r="E71" s="76" t="str">
        <f>VLOOKUP(Table2[[#This Row],[Row Labels]],[1]Sheet2!$B:$J,4,0)</f>
        <v>BAHATI ATHUMANI MDOE</v>
      </c>
      <c r="F71" s="73" t="s">
        <v>1988</v>
      </c>
      <c r="G71" s="73" t="s">
        <v>1989</v>
      </c>
      <c r="H71" s="73">
        <v>4</v>
      </c>
    </row>
    <row r="72" spans="1:8" ht="12" x14ac:dyDescent="0.3">
      <c r="A72" s="73">
        <v>71</v>
      </c>
      <c r="B72" s="73" t="s">
        <v>155</v>
      </c>
      <c r="C72" s="73" t="s">
        <v>1990</v>
      </c>
      <c r="D72" s="73" t="str">
        <f>LEFT(Table2[[#This Row],[Event time]],10)</f>
        <v>2026-01-08</v>
      </c>
      <c r="E72" s="76" t="str">
        <f>VLOOKUP(Table2[[#This Row],[Row Labels]],[1]Sheet2!$B:$J,4,0)</f>
        <v>RASHIDI MUSTAFA ABDALLAH</v>
      </c>
      <c r="F72" s="73" t="s">
        <v>1991</v>
      </c>
      <c r="G72" s="73" t="s">
        <v>1992</v>
      </c>
      <c r="H72" s="73">
        <v>3</v>
      </c>
    </row>
    <row r="73" spans="1:8" ht="12" x14ac:dyDescent="0.3">
      <c r="A73" s="77">
        <v>72</v>
      </c>
      <c r="B73" s="73" t="s">
        <v>164</v>
      </c>
      <c r="C73" s="73" t="s">
        <v>1993</v>
      </c>
      <c r="D73" s="73" t="str">
        <f>LEFT(Table2[[#This Row],[Event time]],10)</f>
        <v>2026-01-08</v>
      </c>
      <c r="E73" s="76" t="str">
        <f>VLOOKUP(Table2[[#This Row],[Row Labels]],[1]Sheet2!$B:$J,4,0)</f>
        <v>HAMIS MASOUD MWANKWALLE</v>
      </c>
      <c r="F73" s="73" t="s">
        <v>1994</v>
      </c>
      <c r="G73" s="73" t="s">
        <v>1995</v>
      </c>
      <c r="H73" s="73">
        <v>18</v>
      </c>
    </row>
    <row r="74" spans="1:8" ht="12" x14ac:dyDescent="0.3">
      <c r="A74" s="73">
        <v>73</v>
      </c>
      <c r="B74" s="73" t="s">
        <v>257</v>
      </c>
      <c r="C74" s="73" t="s">
        <v>1996</v>
      </c>
      <c r="D74" s="73" t="str">
        <f>LEFT(Table2[[#This Row],[Event time]],10)</f>
        <v>2026-01-08</v>
      </c>
      <c r="E74" s="76" t="str">
        <f>VLOOKUP(Table2[[#This Row],[Row Labels]],[1]Sheet2!$B:$J,4,0)</f>
        <v>RAJABU HUSSEIN AHMAD</v>
      </c>
      <c r="F74" s="73" t="s">
        <v>1997</v>
      </c>
      <c r="G74" s="73" t="s">
        <v>1998</v>
      </c>
      <c r="H74" s="73">
        <v>8</v>
      </c>
    </row>
    <row r="75" spans="1:8" ht="12" x14ac:dyDescent="0.3">
      <c r="A75" s="77">
        <v>74</v>
      </c>
      <c r="B75" s="73" t="s">
        <v>91</v>
      </c>
      <c r="C75" s="73" t="s">
        <v>1999</v>
      </c>
      <c r="D75" s="73" t="str">
        <f>LEFT(Table2[[#This Row],[Event time]],10)</f>
        <v>2026-01-08</v>
      </c>
      <c r="E75" s="76" t="str">
        <f>VLOOKUP(Table2[[#This Row],[Row Labels]],[1]Sheet2!$B:$J,4,0)</f>
        <v>STANLEY SAIMON MLOGANZALA</v>
      </c>
      <c r="F75" s="73" t="s">
        <v>2000</v>
      </c>
      <c r="G75" s="73" t="s">
        <v>2001</v>
      </c>
      <c r="H75" s="73">
        <v>9</v>
      </c>
    </row>
    <row r="76" spans="1:8" ht="12" x14ac:dyDescent="0.3">
      <c r="A76" s="73">
        <v>75</v>
      </c>
      <c r="B76" s="73" t="s">
        <v>85</v>
      </c>
      <c r="C76" s="73" t="s">
        <v>2002</v>
      </c>
      <c r="D76" s="73" t="str">
        <f>LEFT(Table2[[#This Row],[Event time]],10)</f>
        <v>2026-01-08</v>
      </c>
      <c r="E76" s="76" t="str">
        <f>VLOOKUP(Table2[[#This Row],[Row Labels]],[1]Sheet2!$B:$J,4,0)</f>
        <v>KHALIDY MOHAMEDY KIDOMO</v>
      </c>
      <c r="F76" s="73" t="s">
        <v>2003</v>
      </c>
      <c r="G76" s="73" t="s">
        <v>2004</v>
      </c>
      <c r="H76" s="73">
        <v>23</v>
      </c>
    </row>
    <row r="77" spans="1:8" ht="12" x14ac:dyDescent="0.3">
      <c r="A77" s="77">
        <v>76</v>
      </c>
      <c r="B77" s="73" t="s">
        <v>69</v>
      </c>
      <c r="C77" s="73" t="s">
        <v>2005</v>
      </c>
      <c r="D77" s="73" t="str">
        <f>LEFT(Table2[[#This Row],[Event time]],10)</f>
        <v>2026-01-08</v>
      </c>
      <c r="E77" s="76" t="str">
        <f>VLOOKUP(Table2[[#This Row],[Row Labels]],[1]Sheet2!$B:$J,4,0)</f>
        <v>ELIA JUMA NZOWA</v>
      </c>
      <c r="F77" s="73" t="s">
        <v>2006</v>
      </c>
      <c r="G77" s="73" t="s">
        <v>2007</v>
      </c>
      <c r="H77" s="73">
        <v>5</v>
      </c>
    </row>
    <row r="78" spans="1:8" ht="12" x14ac:dyDescent="0.3">
      <c r="A78" s="73">
        <v>77</v>
      </c>
      <c r="B78" s="73" t="s">
        <v>97</v>
      </c>
      <c r="C78" s="73" t="s">
        <v>2008</v>
      </c>
      <c r="D78" s="73" t="str">
        <f>LEFT(Table2[[#This Row],[Event time]],10)</f>
        <v>2026-01-08</v>
      </c>
      <c r="E78" s="76" t="str">
        <f>VLOOKUP(Table2[[#This Row],[Row Labels]],[1]Sheet2!$B:$J,4,0)</f>
        <v>LEONIDAS KALUMUNA KAGENYI</v>
      </c>
      <c r="F78" s="73" t="s">
        <v>2009</v>
      </c>
      <c r="G78" s="73" t="s">
        <v>2010</v>
      </c>
      <c r="H78" s="73">
        <v>4</v>
      </c>
    </row>
    <row r="79" spans="1:8" ht="12" x14ac:dyDescent="0.3">
      <c r="A79" s="77">
        <v>78</v>
      </c>
      <c r="B79" s="73" t="s">
        <v>96</v>
      </c>
      <c r="C79" s="73" t="s">
        <v>2011</v>
      </c>
      <c r="D79" s="73" t="str">
        <f>LEFT(Table2[[#This Row],[Event time]],10)</f>
        <v>2026-01-08</v>
      </c>
      <c r="E79" s="76" t="str">
        <f>VLOOKUP(Table2[[#This Row],[Row Labels]],[1]Sheet2!$B:$J,4,0)</f>
        <v>ELIBAS EZEKIEL KITUNGWA</v>
      </c>
      <c r="F79" s="73" t="s">
        <v>2012</v>
      </c>
      <c r="G79" s="73" t="s">
        <v>2013</v>
      </c>
      <c r="H79" s="73">
        <v>8</v>
      </c>
    </row>
    <row r="80" spans="1:8" ht="12" x14ac:dyDescent="0.3">
      <c r="A80" s="73">
        <v>79</v>
      </c>
      <c r="B80" s="77" t="s">
        <v>148</v>
      </c>
      <c r="C80" s="77" t="s">
        <v>2014</v>
      </c>
      <c r="D80" s="77" t="str">
        <f>LEFT(Table2[[#This Row],[Event time]],10)</f>
        <v>2026-01-08</v>
      </c>
      <c r="E80" s="76" t="str">
        <f>VLOOKUP(Table2[[#This Row],[Row Labels]],[1]Sheet2!$B:$J,4,0)</f>
        <v>MOSES ELIBARIKI MSHANA</v>
      </c>
      <c r="F80" s="77" t="s">
        <v>2015</v>
      </c>
      <c r="G80" s="77" t="s">
        <v>2016</v>
      </c>
      <c r="H80" s="77">
        <v>3</v>
      </c>
    </row>
    <row r="81" spans="1:8" ht="12" x14ac:dyDescent="0.3">
      <c r="A81" s="73"/>
      <c r="B81" s="73" t="s">
        <v>2062</v>
      </c>
      <c r="C81" s="73" t="s">
        <v>2063</v>
      </c>
      <c r="D81" s="73" t="str">
        <f>LEFT(Table2[[#This Row],[Event time]],10)</f>
        <v>2026-01-09</v>
      </c>
      <c r="E81" s="76" t="str">
        <f>VLOOKUP(Table2[[#This Row],[Row Labels]],[1]Sheet2!$B:$J,4,0)</f>
        <v>ALLY JUMA ATHUMANI</v>
      </c>
      <c r="F81" s="73" t="s">
        <v>2064</v>
      </c>
      <c r="G81" s="73" t="s">
        <v>2065</v>
      </c>
      <c r="H81" s="73">
        <v>5</v>
      </c>
    </row>
    <row r="82" spans="1:8" ht="12" x14ac:dyDescent="0.3">
      <c r="A82" s="73"/>
      <c r="B82" s="73" t="s">
        <v>254</v>
      </c>
      <c r="C82" s="73" t="s">
        <v>2066</v>
      </c>
      <c r="D82" s="73" t="str">
        <f>LEFT(Table2[[#This Row],[Event time]],10)</f>
        <v>2026-01-09</v>
      </c>
      <c r="E82" s="76" t="str">
        <f>VLOOKUP(Table2[[#This Row],[Row Labels]],[1]Sheet2!$B:$J,4,0)</f>
        <v>BAKARI MOHAMED SAID</v>
      </c>
      <c r="F82" s="73" t="s">
        <v>2067</v>
      </c>
      <c r="G82" s="73" t="s">
        <v>2068</v>
      </c>
      <c r="H82" s="73">
        <v>5</v>
      </c>
    </row>
    <row r="83" spans="1:8" ht="12" x14ac:dyDescent="0.3">
      <c r="A83" s="73"/>
      <c r="B83" s="73" t="s">
        <v>239</v>
      </c>
      <c r="C83" s="73" t="s">
        <v>2069</v>
      </c>
      <c r="D83" s="73" t="str">
        <f>LEFT(Table2[[#This Row],[Event time]],10)</f>
        <v>2026-01-09</v>
      </c>
      <c r="E83" s="76" t="str">
        <f>VLOOKUP(Table2[[#This Row],[Row Labels]],[1]Sheet2!$B:$J,4,0)</f>
        <v>YUSUFU  SAMSON NICODEMUS</v>
      </c>
      <c r="F83" s="73" t="s">
        <v>2070</v>
      </c>
      <c r="G83" s="73" t="s">
        <v>2071</v>
      </c>
      <c r="H83" s="73">
        <v>3</v>
      </c>
    </row>
    <row r="84" spans="1:8" ht="12" x14ac:dyDescent="0.3">
      <c r="A84" s="73"/>
      <c r="B84" s="73" t="s">
        <v>2072</v>
      </c>
      <c r="C84" s="73" t="s">
        <v>2073</v>
      </c>
      <c r="D84" s="73" t="str">
        <f>LEFT(Table2[[#This Row],[Event time]],10)</f>
        <v>2026-01-09</v>
      </c>
      <c r="E84" s="76" t="str">
        <f>VLOOKUP(Table2[[#This Row],[Row Labels]],[1]Sheet2!$B:$J,4,0)</f>
        <v>JOSEPH WILLIAM NTANDU</v>
      </c>
      <c r="F84" s="73" t="s">
        <v>2074</v>
      </c>
      <c r="G84" s="73" t="s">
        <v>2075</v>
      </c>
      <c r="H84" s="73">
        <v>4</v>
      </c>
    </row>
    <row r="85" spans="1:8" ht="12" x14ac:dyDescent="0.3">
      <c r="A85" s="73"/>
      <c r="B85" s="73" t="s">
        <v>2076</v>
      </c>
      <c r="C85" s="73" t="s">
        <v>2077</v>
      </c>
      <c r="D85" s="73" t="str">
        <f>LEFT(Table2[[#This Row],[Event time]],10)</f>
        <v>2026-01-09</v>
      </c>
      <c r="E85" s="76" t="str">
        <f>VLOOKUP(Table2[[#This Row],[Row Labels]],[1]Sheet2!$B:$J,4,0)</f>
        <v>SAID SALUM MOHAMED</v>
      </c>
      <c r="F85" s="73" t="s">
        <v>2078</v>
      </c>
      <c r="G85" s="73" t="s">
        <v>2079</v>
      </c>
      <c r="H85" s="73">
        <v>4</v>
      </c>
    </row>
    <row r="86" spans="1:8" ht="12" x14ac:dyDescent="0.3">
      <c r="A86" s="73"/>
      <c r="B86" s="73" t="s">
        <v>2080</v>
      </c>
      <c r="C86" s="73" t="s">
        <v>2081</v>
      </c>
      <c r="D86" s="73" t="str">
        <f>LEFT(Table2[[#This Row],[Event time]],10)</f>
        <v>2026-01-09</v>
      </c>
      <c r="E86" s="76" t="str">
        <f>VLOOKUP(Table2[[#This Row],[Row Labels]],[1]Sheet2!$B:$J,4,0)</f>
        <v>ALLY HAMISI MPEMBA</v>
      </c>
      <c r="F86" s="73" t="s">
        <v>2082</v>
      </c>
      <c r="G86" s="73" t="s">
        <v>2083</v>
      </c>
      <c r="H86" s="73">
        <v>3</v>
      </c>
    </row>
    <row r="87" spans="1:8" ht="12" x14ac:dyDescent="0.3">
      <c r="A87" s="73"/>
      <c r="B87" s="73" t="s">
        <v>91</v>
      </c>
      <c r="C87" s="73" t="s">
        <v>2084</v>
      </c>
      <c r="D87" s="73" t="str">
        <f>LEFT(Table2[[#This Row],[Event time]],10)</f>
        <v>2026-01-09</v>
      </c>
      <c r="E87" s="76" t="str">
        <f>VLOOKUP(Table2[[#This Row],[Row Labels]],[1]Sheet2!$B:$J,4,0)</f>
        <v>STANLEY SAIMON MLOGANZALA</v>
      </c>
      <c r="F87" s="73" t="s">
        <v>2085</v>
      </c>
      <c r="G87" s="73" t="s">
        <v>2086</v>
      </c>
      <c r="H87" s="73">
        <v>6</v>
      </c>
    </row>
    <row r="88" spans="1:8" ht="12" x14ac:dyDescent="0.3">
      <c r="A88" s="73"/>
      <c r="B88" s="73" t="s">
        <v>2087</v>
      </c>
      <c r="C88" s="73" t="s">
        <v>2088</v>
      </c>
      <c r="D88" s="73" t="str">
        <f>LEFT(Table2[[#This Row],[Event time]],10)</f>
        <v>2026-01-09</v>
      </c>
      <c r="E88" s="76" t="str">
        <f>VLOOKUP(Table2[[#This Row],[Row Labels]],[1]Sheet2!$B:$J,4,0)</f>
        <v>KELNALDO MATHIS JUMA</v>
      </c>
      <c r="F88" s="73" t="s">
        <v>2089</v>
      </c>
      <c r="G88" s="73" t="s">
        <v>2090</v>
      </c>
      <c r="H88" s="73">
        <v>3</v>
      </c>
    </row>
    <row r="89" spans="1:8" ht="12" x14ac:dyDescent="0.3">
      <c r="A89" s="73"/>
      <c r="B89" s="73" t="s">
        <v>97</v>
      </c>
      <c r="C89" s="73" t="s">
        <v>2091</v>
      </c>
      <c r="D89" s="73" t="str">
        <f>LEFT(Table2[[#This Row],[Event time]],10)</f>
        <v>2026-01-09</v>
      </c>
      <c r="E89" s="76" t="str">
        <f>VLOOKUP(Table2[[#This Row],[Row Labels]],[1]Sheet2!$B:$J,4,0)</f>
        <v>LEONIDAS KALUMUNA KAGENYI</v>
      </c>
      <c r="F89" s="73" t="s">
        <v>2092</v>
      </c>
      <c r="G89" s="73" t="s">
        <v>2093</v>
      </c>
      <c r="H89" s="73">
        <v>5</v>
      </c>
    </row>
    <row r="90" spans="1:8" ht="12" x14ac:dyDescent="0.3">
      <c r="A90" s="73"/>
      <c r="B90" s="73" t="s">
        <v>177</v>
      </c>
      <c r="C90" s="73" t="s">
        <v>2094</v>
      </c>
      <c r="D90" s="73" t="str">
        <f>LEFT(Table2[[#This Row],[Event time]],10)</f>
        <v>2026-01-09</v>
      </c>
      <c r="E90" s="76" t="str">
        <f>VLOOKUP(Table2[[#This Row],[Row Labels]],[1]Sheet2!$B:$J,4,0)</f>
        <v>JAPHARY NASSORO JAPHARY</v>
      </c>
      <c r="F90" s="73" t="s">
        <v>2095</v>
      </c>
      <c r="G90" s="73" t="s">
        <v>2096</v>
      </c>
      <c r="H90" s="73">
        <v>3</v>
      </c>
    </row>
    <row r="91" spans="1:8" ht="12" x14ac:dyDescent="0.3">
      <c r="A91" s="73"/>
      <c r="B91" s="73" t="s">
        <v>621</v>
      </c>
      <c r="C91" s="73" t="s">
        <v>2097</v>
      </c>
      <c r="D91" s="73" t="str">
        <f>LEFT(Table2[[#This Row],[Event time]],10)</f>
        <v>2026-01-09</v>
      </c>
      <c r="E91" s="76" t="str">
        <f>VLOOKUP(Table2[[#This Row],[Row Labels]],[1]Sheet2!$B:$J,4,0)</f>
        <v>HASSAN RAMADHANI SHABANI</v>
      </c>
      <c r="F91" s="73" t="s">
        <v>2098</v>
      </c>
      <c r="G91" s="73" t="s">
        <v>2099</v>
      </c>
      <c r="H91" s="73">
        <v>3</v>
      </c>
    </row>
    <row r="92" spans="1:8" ht="12" x14ac:dyDescent="0.3">
      <c r="A92" s="73"/>
      <c r="B92" s="73" t="s">
        <v>507</v>
      </c>
      <c r="C92" s="73" t="s">
        <v>2100</v>
      </c>
      <c r="D92" s="73" t="str">
        <f>LEFT(Table2[[#This Row],[Event time]],10)</f>
        <v>2026-01-09</v>
      </c>
      <c r="E92" s="76" t="str">
        <f>VLOOKUP(Table2[[#This Row],[Row Labels]],[1]Sheet2!$B:$J,4,0)</f>
        <v>IDRISA IBRAHIM SAID</v>
      </c>
      <c r="F92" s="73" t="s">
        <v>2101</v>
      </c>
      <c r="G92" s="73" t="s">
        <v>2102</v>
      </c>
      <c r="H92" s="73">
        <v>10</v>
      </c>
    </row>
    <row r="93" spans="1:8" ht="12" x14ac:dyDescent="0.3">
      <c r="A93" s="73"/>
      <c r="B93" s="73" t="s">
        <v>886</v>
      </c>
      <c r="C93" s="73" t="s">
        <v>2103</v>
      </c>
      <c r="D93" s="73" t="str">
        <f>LEFT(Table2[[#This Row],[Event time]],10)</f>
        <v>2026-01-09</v>
      </c>
      <c r="E93" s="76" t="str">
        <f>VLOOKUP(Table2[[#This Row],[Row Labels]],[1]Sheet2!$B:$J,4,0)</f>
        <v>ATHONNY PAULO MDEDE</v>
      </c>
      <c r="F93" s="73" t="s">
        <v>2104</v>
      </c>
      <c r="G93" s="73" t="s">
        <v>2105</v>
      </c>
      <c r="H93" s="73">
        <v>3</v>
      </c>
    </row>
    <row r="94" spans="1:8" ht="12" x14ac:dyDescent="0.3">
      <c r="A94" s="73"/>
      <c r="B94" s="73" t="s">
        <v>284</v>
      </c>
      <c r="C94" s="73" t="s">
        <v>2106</v>
      </c>
      <c r="D94" s="73" t="str">
        <f>LEFT(Table2[[#This Row],[Event time]],10)</f>
        <v>2026-01-09</v>
      </c>
      <c r="E94" s="76" t="str">
        <f>VLOOKUP(Table2[[#This Row],[Row Labels]],[1]Sheet2!$B:$J,4,0)</f>
        <v>STEPHANO ABINELI ULOMI</v>
      </c>
      <c r="F94" s="73" t="s">
        <v>2107</v>
      </c>
      <c r="G94" s="73" t="s">
        <v>2108</v>
      </c>
      <c r="H94" s="73">
        <v>7</v>
      </c>
    </row>
    <row r="95" spans="1:8" ht="12" x14ac:dyDescent="0.3">
      <c r="A95" s="77"/>
      <c r="B95" s="77" t="s">
        <v>96</v>
      </c>
      <c r="C95" s="77" t="s">
        <v>2109</v>
      </c>
      <c r="D95" s="77" t="str">
        <f>LEFT(Table2[[#This Row],[Event time]],10)</f>
        <v>2026-01-09</v>
      </c>
      <c r="E95" s="76" t="str">
        <f>VLOOKUP(Table2[[#This Row],[Row Labels]],[1]Sheet2!$B:$J,4,0)</f>
        <v>ELIBAS EZEKIEL KITUNGWA</v>
      </c>
      <c r="F95" s="77" t="s">
        <v>2110</v>
      </c>
      <c r="G95" s="77" t="s">
        <v>2111</v>
      </c>
      <c r="H95" s="77">
        <v>6</v>
      </c>
    </row>
  </sheetData>
  <phoneticPr fontId="2" type="noConversion"/>
  <hyperlinks>
    <hyperlink ref="F2" r:id="rId1" xr:uid="{20DDFA42-1936-4822-8720-6FE656E8E5C9}"/>
    <hyperlink ref="C2" r:id="rId2" xr:uid="{C4C3A1E6-D8F3-4C92-9ACC-D95F5A34D348}"/>
    <hyperlink ref="G2" r:id="rId3" xr:uid="{F983F791-FC3D-4743-8761-5EFB0BC67507}"/>
    <hyperlink ref="G3" r:id="rId4" xr:uid="{EE45FF24-86FC-4755-8C4E-6C6EB8681161}"/>
    <hyperlink ref="F3" r:id="rId5" xr:uid="{A2905590-FF55-4C76-A49B-F79CEE5F4CB5}"/>
    <hyperlink ref="C3" r:id="rId6" xr:uid="{C2C83B25-6BE2-412A-9F6D-32BBA4493DC3}"/>
    <hyperlink ref="G4" r:id="rId7" xr:uid="{23105CC6-6F74-49F3-B162-F758F9E29B0D}"/>
    <hyperlink ref="F4" r:id="rId8" xr:uid="{4D466A07-32E1-4847-9AC0-7149B13B8938}"/>
    <hyperlink ref="C4" r:id="rId9" xr:uid="{EC81C181-2BC1-411E-BD7C-C5D077F21CD6}"/>
    <hyperlink ref="F5" r:id="rId10" xr:uid="{59620853-8048-42E5-AF6F-4B9A573E07B3}"/>
    <hyperlink ref="C5" r:id="rId11" xr:uid="{D2A1B224-0F64-47AB-BB80-9A2F07ABBFD0}"/>
    <hyperlink ref="G5" r:id="rId12" xr:uid="{1F0B144E-29D1-44D8-A9A9-CD38AA006A6C}"/>
    <hyperlink ref="F6" r:id="rId13" xr:uid="{7B9519FA-8D36-4F16-BF0A-BC5806806E4D}"/>
    <hyperlink ref="G6" r:id="rId14" xr:uid="{B8EF3D19-78CB-4223-B219-F705715DF35B}"/>
    <hyperlink ref="C6" r:id="rId15" xr:uid="{7DCCA1FB-D201-4BC1-947F-89B6AC9B0EA4}"/>
    <hyperlink ref="C7" r:id="rId16" xr:uid="{9859D605-054A-466C-92B4-ACC674D3D4D4}"/>
    <hyperlink ref="G7" r:id="rId17" xr:uid="{F6035F3D-D3B1-41C7-9667-7A67771D6847}"/>
    <hyperlink ref="F7" r:id="rId18" xr:uid="{4BD7C3BF-D205-4B4A-85B4-75C2902F1758}"/>
    <hyperlink ref="G8" r:id="rId19" xr:uid="{77D23140-43A9-491B-ABA8-B0A0DBED56A2}"/>
    <hyperlink ref="C8" r:id="rId20" xr:uid="{B60A864F-8524-4BB6-B40B-77C965A89034}"/>
    <hyperlink ref="F8" r:id="rId21" xr:uid="{2857CE48-38F7-4045-A597-84B25440AA99}"/>
    <hyperlink ref="C9" r:id="rId22" xr:uid="{2CBCE682-BFBA-4EE6-A1D0-077662FBCEC0}"/>
    <hyperlink ref="G9" r:id="rId23" xr:uid="{C40A9AA0-628B-4555-92CA-504616D30755}"/>
    <hyperlink ref="F9" r:id="rId24" xr:uid="{A4E4CE3E-3126-4ADF-B411-8F68E0CB3E1C}"/>
    <hyperlink ref="G10" r:id="rId25" xr:uid="{9C0A54D4-548C-4FD2-8EC0-9BAABE284CDE}"/>
    <hyperlink ref="F10" r:id="rId26" xr:uid="{FF77CFE4-92BF-47D0-A85D-DBA75CDBCD0C}"/>
    <hyperlink ref="C10" r:id="rId27" xr:uid="{6F42345A-84A8-41E8-BB10-0292638AD55C}"/>
    <hyperlink ref="F11" r:id="rId28" xr:uid="{2ACAA1F3-446F-4826-8DAE-561671E43384}"/>
    <hyperlink ref="C12" r:id="rId29" xr:uid="{0311D9A0-F00E-4D54-B9CB-916AFF1593FC}"/>
    <hyperlink ref="C11" r:id="rId30" xr:uid="{BAD6D18F-68EF-4155-991A-5E381759010C}"/>
    <hyperlink ref="G12" r:id="rId31" xr:uid="{A0D47C57-0978-4B1B-B449-BF8FFB640CD3}"/>
    <hyperlink ref="F12" r:id="rId32" xr:uid="{1D229EE6-F855-4671-A451-BDCB0E0D053A}"/>
    <hyperlink ref="G11" r:id="rId33" xr:uid="{4A7B8148-FC60-4E12-87B1-D40A3E6A96D3}"/>
    <hyperlink ref="G13" r:id="rId34" xr:uid="{C72765A1-4FCA-466E-9A0E-2BF7D9609127}"/>
    <hyperlink ref="C13" r:id="rId35" xr:uid="{6E6DB00E-F8E8-4B69-A3DE-54A25CFB12BF}"/>
    <hyperlink ref="F13" r:id="rId36" xr:uid="{923A7DCD-E5C5-4CF7-AEB5-548FC3BDCFFE}"/>
    <hyperlink ref="F14" r:id="rId37" xr:uid="{4D6D6B39-EB68-4B04-89D5-F3211541AC12}"/>
    <hyperlink ref="C14" r:id="rId38" xr:uid="{54DF08E2-A2AB-411B-AEEE-917B02174A68}"/>
    <hyperlink ref="G14" r:id="rId39" xr:uid="{C3FAF686-8C18-495D-BDA7-553FAFE1EEF1}"/>
    <hyperlink ref="G15" r:id="rId40" xr:uid="{38E8D10D-D1F6-4116-A27F-5A94F892CACE}"/>
    <hyperlink ref="C15" r:id="rId41" xr:uid="{F7E42A94-0C2B-414D-8D17-D702108159B0}"/>
    <hyperlink ref="F15" r:id="rId42" xr:uid="{0DDEB654-1FD2-4F57-BA7E-DBC1C3F7EAA5}"/>
    <hyperlink ref="G16" r:id="rId43" xr:uid="{73F74ABD-E576-4A26-B6DF-871640280ECE}"/>
    <hyperlink ref="F16" r:id="rId44" xr:uid="{90DB40F1-8CF5-4060-8D49-3233FD6D6688}"/>
    <hyperlink ref="C16" r:id="rId45" xr:uid="{9B0E8B8D-C101-4259-87A2-74C4EACA951A}"/>
    <hyperlink ref="G17" r:id="rId46" xr:uid="{BEA0C726-FD1A-4584-BEC4-07C4E8644452}"/>
    <hyperlink ref="F17" r:id="rId47" xr:uid="{088B1B21-5494-4865-AFF4-448B874D25FE}"/>
    <hyperlink ref="C17" r:id="rId48" xr:uid="{581EE180-4456-4703-ABAE-D9E842A55A16}"/>
    <hyperlink ref="F19" r:id="rId49" xr:uid="{652C2A22-E5E1-4DC1-B410-BCA64E6CE84C}"/>
    <hyperlink ref="F18" r:id="rId50" xr:uid="{3BE53600-E1C5-4218-982A-7239B361A1BB}"/>
    <hyperlink ref="C18" r:id="rId51" xr:uid="{8A34F156-B3F1-4662-88AC-7B1C697EA1CD}"/>
    <hyperlink ref="C19" r:id="rId52" xr:uid="{32B399D1-CBE6-4E5A-98CD-823B2A654D5D}"/>
    <hyperlink ref="G19" r:id="rId53" xr:uid="{9117245B-247E-4017-A129-4D78AE6CF107}"/>
    <hyperlink ref="G18" r:id="rId54" xr:uid="{21A58970-C3C4-4AC5-95C6-446368E82E22}"/>
    <hyperlink ref="G20" r:id="rId55" xr:uid="{95C294EE-CEA8-4881-90D0-EFC8B68C6360}"/>
    <hyperlink ref="C20" r:id="rId56" xr:uid="{1588DC6E-6E4A-4A59-98DD-8FFA35998AC7}"/>
    <hyperlink ref="F20" r:id="rId57" xr:uid="{F4B170C3-3D71-48C2-BBCE-40FB36962672}"/>
    <hyperlink ref="C21" r:id="rId58" xr:uid="{30AED9B5-C315-4BAE-B3D5-A029A4F6998A}"/>
    <hyperlink ref="F21" r:id="rId59" xr:uid="{CC86BBAF-FF4D-49FB-AB00-6E02F69188C9}"/>
    <hyperlink ref="G21" r:id="rId60" xr:uid="{DCF236D5-6CDD-48D0-8D54-4D7A828A521E}"/>
    <hyperlink ref="G22" r:id="rId61" xr:uid="{334F93F9-EE86-4125-883F-ACDFA77AD8C5}"/>
    <hyperlink ref="C22" r:id="rId62" xr:uid="{104D866A-6E3B-47F9-AD4B-8AE934DC32BF}"/>
    <hyperlink ref="F22" r:id="rId63" xr:uid="{3EC12401-EDCD-4844-AF9F-1BA97985AA1F}"/>
    <hyperlink ref="F23" r:id="rId64" xr:uid="{BEE746AA-42DE-40E7-BE69-F86885FBFEF7}"/>
    <hyperlink ref="G23" r:id="rId65" xr:uid="{AAEB918D-1F97-4270-8DE1-CE2691374F6D}"/>
    <hyperlink ref="C23" r:id="rId66" xr:uid="{D38BCF3C-3958-4BDA-96A5-ADEF4B6999D5}"/>
    <hyperlink ref="C24" r:id="rId67" xr:uid="{259CBE48-1AEC-4421-83AB-FE60D0AA6B76}"/>
    <hyperlink ref="G24" r:id="rId68" xr:uid="{97B88E89-F5F3-461D-B8AA-9718B6BBE530}"/>
    <hyperlink ref="F24" r:id="rId69" xr:uid="{6E2BFECF-9446-4B22-95D8-2E22C543B8FE}"/>
    <hyperlink ref="F25" r:id="rId70" xr:uid="{67A9A0FB-4C59-4B1B-8987-90A659A8947E}"/>
    <hyperlink ref="G25" r:id="rId71" xr:uid="{91213260-4362-405F-881F-D67736B43F3B}"/>
    <hyperlink ref="C25" r:id="rId72" xr:uid="{F0468897-A4A5-4F8F-B1CC-A52E30FFB285}"/>
    <hyperlink ref="F26" r:id="rId73" xr:uid="{1974EA19-954B-4C3A-B049-30F6A7913B75}"/>
    <hyperlink ref="C26" r:id="rId74" xr:uid="{91900386-0511-4903-8BF5-1E1C577A8270}"/>
    <hyperlink ref="G26" r:id="rId75" xr:uid="{03290C8D-D2A7-471D-B972-595741BB1A4E}"/>
    <hyperlink ref="C28" r:id="rId76" xr:uid="{1588CD38-311D-4BA1-AA92-CB7ACBA74330}"/>
    <hyperlink ref="F27" r:id="rId77" xr:uid="{F1324FA5-989D-4652-B487-181F85C9C1EC}"/>
    <hyperlink ref="C27" r:id="rId78" xr:uid="{0801B112-CBFC-44B3-AD79-F43CF6F6DE51}"/>
    <hyperlink ref="G27" r:id="rId79" xr:uid="{755258B0-7976-47AF-9BBA-74C4379AEF90}"/>
    <hyperlink ref="G28" r:id="rId80" xr:uid="{B66B02F4-8B0B-4490-BB11-2AB8AEDD66B7}"/>
    <hyperlink ref="F28" r:id="rId81" xr:uid="{ED956AF0-F55D-4090-97E8-0E51FE608CC6}"/>
    <hyperlink ref="F29" r:id="rId82" xr:uid="{4D27E6AE-03FC-4FED-A7B7-F261110D4895}"/>
    <hyperlink ref="C29" r:id="rId83" xr:uid="{4BF08724-C463-4206-8115-7AEC9C03351B}"/>
    <hyperlink ref="G29" r:id="rId84" xr:uid="{E55E3726-8DDD-4D37-88CB-4CAE02D6D272}"/>
    <hyperlink ref="C30" r:id="rId85" xr:uid="{F9A126F3-7533-4B69-AF9F-C9F57A7FAA82}"/>
    <hyperlink ref="G30" r:id="rId86" xr:uid="{7ACB559A-AD2B-413A-88D2-6CE9CFEE0131}"/>
    <hyperlink ref="F30" r:id="rId87" xr:uid="{3B58D5C0-5B3C-411A-ACBC-85404AE4058D}"/>
    <hyperlink ref="C31" r:id="rId88" xr:uid="{0E027C3E-5D40-48FC-BECF-724AF88B740D}"/>
    <hyperlink ref="F32" r:id="rId89" xr:uid="{6CB9AF91-2CDE-4628-B916-4325D8B59A53}"/>
    <hyperlink ref="F31" r:id="rId90" xr:uid="{300BBC0D-FA8B-4E43-9277-7F4489BFC91C}"/>
    <hyperlink ref="G32" r:id="rId91" xr:uid="{99273F9D-EDB3-4E57-A446-0235AEB61A21}"/>
    <hyperlink ref="C32" r:id="rId92" xr:uid="{1BFCB30C-D213-464C-B09B-FD25CFED394B}"/>
    <hyperlink ref="G31" r:id="rId93" xr:uid="{37F22C79-728A-4529-8F89-BE208987892F}"/>
    <hyperlink ref="F33" r:id="rId94" xr:uid="{6C35991A-3DAB-47F7-A59A-71919BFEE56C}"/>
    <hyperlink ref="C33" r:id="rId95" xr:uid="{8EF40BAC-7FAF-402B-B0D3-E3BC44F48BBC}"/>
    <hyperlink ref="G33" r:id="rId96" xr:uid="{9062A758-5946-4675-881D-7585D04A44A9}"/>
    <hyperlink ref="G34" r:id="rId97" xr:uid="{CF438A66-E19D-4354-9BEA-EC466691DCA1}"/>
    <hyperlink ref="C34" r:id="rId98" xr:uid="{C72E44ED-71B3-4C11-94CC-081C222D6004}"/>
    <hyperlink ref="F34" r:id="rId99" xr:uid="{B6D68A4F-3BD2-4E75-9126-4BC86766267B}"/>
    <hyperlink ref="F35" r:id="rId100" xr:uid="{082B2508-52AC-48EE-9021-1CEB017B4BFD}"/>
    <hyperlink ref="G35" r:id="rId101" xr:uid="{6602816C-E410-4BF9-9B81-BFDB5E84238E}"/>
    <hyperlink ref="C35" r:id="rId102" xr:uid="{228AD4C9-1975-4FFD-BFFC-69003A681C45}"/>
    <hyperlink ref="G36" r:id="rId103" xr:uid="{A2F4432F-5963-4442-B27D-CFCA6E37BE1F}"/>
    <hyperlink ref="F36" r:id="rId104" xr:uid="{08843170-0A0E-47DA-9575-D976F23C2687}"/>
    <hyperlink ref="C36" r:id="rId105" xr:uid="{52368E13-C891-4D4B-BDB0-1D763C4946B6}"/>
  </hyperlinks>
  <pageMargins left="0.7" right="0.7" top="0.75" bottom="0.75" header="0.3" footer="0.3"/>
  <tableParts count="1">
    <tablePart r:id="rId10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11E2-6B23-4636-9309-661A6B836F85}">
  <dimension ref="A1:J61"/>
  <sheetViews>
    <sheetView zoomScale="101" workbookViewId="0">
      <pane ySplit="1" topLeftCell="A49" activePane="bottomLeft" state="frozen"/>
      <selection pane="bottomLeft" activeCell="B54" sqref="B54:I61"/>
    </sheetView>
  </sheetViews>
  <sheetFormatPr defaultRowHeight="14.5" x14ac:dyDescent="0.35"/>
  <cols>
    <col min="1" max="1" width="4.90625" style="68" bestFit="1" customWidth="1"/>
    <col min="2" max="2" width="11.453125" style="68" bestFit="1" customWidth="1"/>
    <col min="3" max="3" width="20.453125" style="68" customWidth="1"/>
    <col min="4" max="4" width="8.6328125" style="68" bestFit="1" customWidth="1"/>
    <col min="5" max="5" width="25.36328125" style="68" bestFit="1" customWidth="1"/>
    <col min="6" max="6" width="11.36328125" style="68" bestFit="1" customWidth="1"/>
    <col min="7" max="7" width="66" style="68" bestFit="1" customWidth="1"/>
    <col min="8" max="8" width="11.453125" style="68" bestFit="1" customWidth="1"/>
    <col min="9" max="9" width="7.36328125" style="68" bestFit="1" customWidth="1"/>
    <col min="10" max="10" width="8.90625" style="68"/>
  </cols>
  <sheetData>
    <row r="1" spans="1:10" s="11" customFormat="1" ht="18.649999999999999" customHeight="1" x14ac:dyDescent="0.35">
      <c r="A1" s="45" t="s">
        <v>20</v>
      </c>
      <c r="B1" s="46" t="s">
        <v>19</v>
      </c>
      <c r="C1" s="46" t="s">
        <v>15</v>
      </c>
      <c r="D1" s="46" t="s">
        <v>33</v>
      </c>
      <c r="E1" s="47" t="s">
        <v>48</v>
      </c>
      <c r="F1" s="48" t="s">
        <v>49</v>
      </c>
      <c r="G1" s="49" t="s">
        <v>16</v>
      </c>
      <c r="H1" s="46" t="s">
        <v>17</v>
      </c>
      <c r="I1" s="47" t="s">
        <v>18</v>
      </c>
      <c r="J1" s="67"/>
    </row>
    <row r="2" spans="1:10" x14ac:dyDescent="0.35">
      <c r="A2" s="69">
        <v>1</v>
      </c>
      <c r="B2" s="51" t="s">
        <v>423</v>
      </c>
      <c r="C2" s="52" t="s">
        <v>860</v>
      </c>
      <c r="D2" s="52" t="str">
        <f>LEFT(Table1[[#This Row],[Time]],10)</f>
        <v>01.01.2026</v>
      </c>
      <c r="E2" s="53" t="str">
        <f>VLOOKUP(Table1[[#This Row],[TRUCK NO  ]],[1]Sheet2!$B:$E,4,0)</f>
        <v>SAIDI OMARI MTEA</v>
      </c>
      <c r="F2" s="54">
        <v>88</v>
      </c>
      <c r="G2" s="55" t="s">
        <v>861</v>
      </c>
      <c r="H2" s="56">
        <v>81</v>
      </c>
      <c r="I2" s="57">
        <v>5</v>
      </c>
    </row>
    <row r="3" spans="1:10" x14ac:dyDescent="0.35">
      <c r="A3" s="69">
        <v>2</v>
      </c>
      <c r="B3" s="51" t="s">
        <v>67</v>
      </c>
      <c r="C3" s="52" t="s">
        <v>862</v>
      </c>
      <c r="D3" s="52" t="str">
        <f>LEFT(Table1[[#This Row],[Time]],10)</f>
        <v>01.01.2026</v>
      </c>
      <c r="E3" s="53" t="str">
        <f>VLOOKUP(Table1[[#This Row],[TRUCK NO  ]],[1]Sheet2!$B:$E,4,0)</f>
        <v>ALPHONCE SIMO HORO</v>
      </c>
      <c r="F3" s="54">
        <v>87</v>
      </c>
      <c r="G3" s="55" t="s">
        <v>863</v>
      </c>
      <c r="H3" s="56">
        <v>81</v>
      </c>
      <c r="I3" s="57">
        <v>6</v>
      </c>
    </row>
    <row r="4" spans="1:10" x14ac:dyDescent="0.35">
      <c r="A4" s="69">
        <v>3</v>
      </c>
      <c r="B4" s="51" t="s">
        <v>94</v>
      </c>
      <c r="C4" s="52" t="s">
        <v>864</v>
      </c>
      <c r="D4" s="52" t="str">
        <f>LEFT(Table1[[#This Row],[Time]],10)</f>
        <v>01.01.2026</v>
      </c>
      <c r="E4" s="53" t="str">
        <f>VLOOKUP(Table1[[#This Row],[TRUCK NO  ]],[1]Sheet2!$B:$E,4,0)</f>
        <v>ABDALLAH RASHID MBWANA</v>
      </c>
      <c r="F4" s="54">
        <v>92</v>
      </c>
      <c r="G4" s="55" t="s">
        <v>865</v>
      </c>
      <c r="H4" s="56">
        <v>81</v>
      </c>
      <c r="I4" s="57">
        <v>2</v>
      </c>
    </row>
    <row r="5" spans="1:10" x14ac:dyDescent="0.35">
      <c r="A5" s="69">
        <v>4</v>
      </c>
      <c r="B5" s="51" t="s">
        <v>866</v>
      </c>
      <c r="C5" s="52" t="s">
        <v>867</v>
      </c>
      <c r="D5" s="52" t="str">
        <f>LEFT(Table1[[#This Row],[Time]],10)</f>
        <v>01.01.2026</v>
      </c>
      <c r="E5" s="53">
        <f>VLOOKUP(Table1[[#This Row],[TRUCK NO  ]],[1]Sheet2!$B:$E,4,0)</f>
        <v>0</v>
      </c>
      <c r="F5" s="54">
        <v>89</v>
      </c>
      <c r="G5" s="55" t="s">
        <v>42</v>
      </c>
      <c r="H5" s="56">
        <v>81</v>
      </c>
      <c r="I5" s="57">
        <v>1</v>
      </c>
    </row>
    <row r="6" spans="1:10" x14ac:dyDescent="0.35">
      <c r="A6" s="69">
        <v>5</v>
      </c>
      <c r="B6" s="51" t="s">
        <v>44</v>
      </c>
      <c r="C6" s="52" t="s">
        <v>868</v>
      </c>
      <c r="D6" s="52" t="str">
        <f>LEFT(Table1[[#This Row],[Time]],10)</f>
        <v>02.01.2026</v>
      </c>
      <c r="E6" s="53" t="str">
        <f>VLOOKUP(Table1[[#This Row],[TRUCK NO  ]],[1]Sheet2!$B:$E,4,0)</f>
        <v>AMIRI AMANI MAWAKA</v>
      </c>
      <c r="F6" s="54">
        <v>92</v>
      </c>
      <c r="G6" s="55" t="s">
        <v>291</v>
      </c>
      <c r="H6" s="56">
        <v>81</v>
      </c>
      <c r="I6" s="57">
        <v>13</v>
      </c>
    </row>
    <row r="7" spans="1:10" x14ac:dyDescent="0.35">
      <c r="A7" s="69">
        <v>6</v>
      </c>
      <c r="B7" s="51" t="s">
        <v>147</v>
      </c>
      <c r="C7" s="52" t="s">
        <v>869</v>
      </c>
      <c r="D7" s="52" t="str">
        <f>LEFT(Table1[[#This Row],[Time]],10)</f>
        <v>02.01.2026</v>
      </c>
      <c r="E7" s="53" t="str">
        <f>VLOOKUP(Table1[[#This Row],[TRUCK NO  ]],[1]Sheet2!$B:$E,4,0)</f>
        <v>JUMA SHUKURU JUMA</v>
      </c>
      <c r="F7" s="54">
        <v>86</v>
      </c>
      <c r="G7" s="55" t="s">
        <v>870</v>
      </c>
      <c r="H7" s="56">
        <v>81</v>
      </c>
      <c r="I7" s="57">
        <v>2</v>
      </c>
    </row>
    <row r="8" spans="1:10" x14ac:dyDescent="0.35">
      <c r="A8" s="69">
        <v>7</v>
      </c>
      <c r="B8" s="51" t="s">
        <v>134</v>
      </c>
      <c r="C8" s="52" t="s">
        <v>871</v>
      </c>
      <c r="D8" s="52" t="str">
        <f>LEFT(Table1[[#This Row],[Time]],10)</f>
        <v>02.01.2026</v>
      </c>
      <c r="E8" s="53" t="str">
        <f>VLOOKUP(Table1[[#This Row],[TRUCK NO  ]],[1]Sheet2!$B:$E,4,0)</f>
        <v>AFFIF ISMAIL KIZENGA</v>
      </c>
      <c r="F8" s="54">
        <v>99</v>
      </c>
      <c r="G8" s="55" t="s">
        <v>872</v>
      </c>
      <c r="H8" s="56">
        <v>81</v>
      </c>
      <c r="I8" s="57">
        <v>3</v>
      </c>
    </row>
    <row r="9" spans="1:10" x14ac:dyDescent="0.35">
      <c r="A9" s="69">
        <v>8</v>
      </c>
      <c r="B9" s="51" t="s">
        <v>53</v>
      </c>
      <c r="C9" s="52" t="s">
        <v>873</v>
      </c>
      <c r="D9" s="52" t="str">
        <f>LEFT(Table1[[#This Row],[Time]],10)</f>
        <v>02.01.2026</v>
      </c>
      <c r="E9" s="53" t="str">
        <f>VLOOKUP(Table1[[#This Row],[TRUCK NO  ]],[1]Sheet2!$B:$E,4,0)</f>
        <v>MUZAMIRU SAIDI NAHODA</v>
      </c>
      <c r="F9" s="54">
        <v>95</v>
      </c>
      <c r="G9" s="55" t="s">
        <v>42</v>
      </c>
      <c r="H9" s="56">
        <v>81</v>
      </c>
      <c r="I9" s="57">
        <v>7</v>
      </c>
    </row>
    <row r="10" spans="1:10" x14ac:dyDescent="0.35">
      <c r="A10" s="69">
        <v>9</v>
      </c>
      <c r="B10" s="59" t="s">
        <v>85</v>
      </c>
      <c r="C10" s="60" t="s">
        <v>874</v>
      </c>
      <c r="D10" s="60" t="str">
        <f>LEFT(Table1[[#This Row],[Time]],10)</f>
        <v>02.01.2026</v>
      </c>
      <c r="E10" s="61" t="str">
        <f>VLOOKUP(Table1[[#This Row],[TRUCK NO  ]],[1]Sheet2!$B:$E,4,0)</f>
        <v>KHALIDY MOHAMEDY KIDOMO</v>
      </c>
      <c r="F10" s="54">
        <v>86</v>
      </c>
      <c r="G10" s="62" t="s">
        <v>875</v>
      </c>
      <c r="H10" s="63">
        <v>81</v>
      </c>
      <c r="I10" s="64">
        <v>1</v>
      </c>
    </row>
    <row r="11" spans="1:10" x14ac:dyDescent="0.35">
      <c r="A11" s="69">
        <v>10</v>
      </c>
      <c r="B11" s="51" t="s">
        <v>195</v>
      </c>
      <c r="C11" s="52" t="s">
        <v>876</v>
      </c>
      <c r="D11" s="52" t="str">
        <f>LEFT(Table1[[#This Row],[Time]],10)</f>
        <v>02.01.2026</v>
      </c>
      <c r="E11" s="53" t="str">
        <f>VLOOKUP(Table1[[#This Row],[TRUCK NO  ]],[1]Sheet2!$B:$E,4,0)</f>
        <v>ALLY MBARAKA ALLY</v>
      </c>
      <c r="F11" s="54">
        <v>92</v>
      </c>
      <c r="G11" s="55" t="s">
        <v>877</v>
      </c>
      <c r="H11" s="56">
        <v>81</v>
      </c>
      <c r="I11" s="57">
        <v>3</v>
      </c>
    </row>
    <row r="12" spans="1:10" x14ac:dyDescent="0.35">
      <c r="A12" s="69">
        <v>11</v>
      </c>
      <c r="B12" s="59" t="s">
        <v>121</v>
      </c>
      <c r="C12" s="60" t="s">
        <v>878</v>
      </c>
      <c r="D12" s="60" t="str">
        <f>LEFT(Table1[[#This Row],[Time]],10)</f>
        <v>02.01.2026</v>
      </c>
      <c r="E12" s="61" t="str">
        <f>VLOOKUP(Table1[[#This Row],[TRUCK NO  ]],[1]Sheet2!$B:$E,4,0)</f>
        <v>TWAHIR RASHID MSAKA</v>
      </c>
      <c r="F12" s="54">
        <v>99</v>
      </c>
      <c r="G12" s="62" t="s">
        <v>879</v>
      </c>
      <c r="H12" s="63">
        <v>81</v>
      </c>
      <c r="I12" s="64">
        <v>29</v>
      </c>
    </row>
    <row r="13" spans="1:10" x14ac:dyDescent="0.35">
      <c r="A13" s="69">
        <v>12</v>
      </c>
      <c r="B13" s="59" t="s">
        <v>61</v>
      </c>
      <c r="C13" s="60" t="s">
        <v>880</v>
      </c>
      <c r="D13" s="60" t="str">
        <f>LEFT(Table1[[#This Row],[Time]],10)</f>
        <v>03.01.2026</v>
      </c>
      <c r="E13" s="61" t="str">
        <f>VLOOKUP(Table1[[#This Row],[TRUCK NO  ]],[1]Sheet2!$B:$E,4,0)</f>
        <v>MWALIMU OMARY KIANGA</v>
      </c>
      <c r="F13" s="54">
        <v>90</v>
      </c>
      <c r="G13" s="62" t="s">
        <v>75</v>
      </c>
      <c r="H13" s="63">
        <v>81</v>
      </c>
      <c r="I13" s="64">
        <v>6</v>
      </c>
    </row>
    <row r="14" spans="1:10" x14ac:dyDescent="0.35">
      <c r="A14" s="69">
        <v>13</v>
      </c>
      <c r="B14" s="59" t="s">
        <v>175</v>
      </c>
      <c r="C14" s="60" t="s">
        <v>881</v>
      </c>
      <c r="D14" s="60" t="str">
        <f>LEFT(Table1[[#This Row],[Time]],10)</f>
        <v>03.01.2026</v>
      </c>
      <c r="E14" s="61" t="str">
        <f>VLOOKUP(Table1[[#This Row],[TRUCK NO  ]],[1]Sheet2!$B:$E,4,0)</f>
        <v>JOSEPHAT MARO KEBURE</v>
      </c>
      <c r="F14" s="54">
        <v>96</v>
      </c>
      <c r="G14" s="62" t="s">
        <v>882</v>
      </c>
      <c r="H14" s="63">
        <v>81</v>
      </c>
      <c r="I14" s="64">
        <v>7</v>
      </c>
    </row>
    <row r="15" spans="1:10" x14ac:dyDescent="0.35">
      <c r="A15" s="69">
        <v>14</v>
      </c>
      <c r="B15" s="51" t="s">
        <v>171</v>
      </c>
      <c r="C15" s="52" t="s">
        <v>883</v>
      </c>
      <c r="D15" s="52" t="str">
        <f>LEFT(Table1[[#This Row],[Time]],10)</f>
        <v>03.01.2026</v>
      </c>
      <c r="E15" s="53" t="str">
        <f>VLOOKUP(Table1[[#This Row],[TRUCK NO  ]],[1]Sheet2!$B:$E,4,0)</f>
        <v>EZEKIEL DONARD UYACHI</v>
      </c>
      <c r="F15" s="54">
        <v>97</v>
      </c>
      <c r="G15" s="55" t="s">
        <v>42</v>
      </c>
      <c r="H15" s="56">
        <v>81</v>
      </c>
      <c r="I15" s="57">
        <v>5</v>
      </c>
    </row>
    <row r="16" spans="1:10" x14ac:dyDescent="0.35">
      <c r="A16" s="69">
        <v>15</v>
      </c>
      <c r="B16" s="59" t="s">
        <v>130</v>
      </c>
      <c r="C16" s="60" t="s">
        <v>884</v>
      </c>
      <c r="D16" s="60" t="str">
        <f>LEFT(Table1[[#This Row],[Time]],10)</f>
        <v>03.01.2026</v>
      </c>
      <c r="E16" s="61" t="str">
        <f>VLOOKUP(Table1[[#This Row],[TRUCK NO  ]],[1]Sheet2!$B:$E,4,0)</f>
        <v>YUSUPH MOHAMEDI NG'ONG'OSI</v>
      </c>
      <c r="F16" s="54">
        <v>88</v>
      </c>
      <c r="G16" s="62" t="s">
        <v>42</v>
      </c>
      <c r="H16" s="63">
        <v>81</v>
      </c>
      <c r="I16" s="64">
        <v>1</v>
      </c>
    </row>
    <row r="17" spans="1:9" x14ac:dyDescent="0.35">
      <c r="A17" s="69">
        <v>16</v>
      </c>
      <c r="B17" s="51" t="s">
        <v>175</v>
      </c>
      <c r="C17" s="52" t="s">
        <v>1434</v>
      </c>
      <c r="D17" s="52" t="str">
        <f>LEFT(Table1[[#This Row],[Time]],10)</f>
        <v>04.01.2026</v>
      </c>
      <c r="E17" s="53" t="str">
        <f>VLOOKUP(Table1[[#This Row],[TRUCK NO  ]],[1]Sheet2!$B:$E,4,0)</f>
        <v>JOSEPHAT MARO KEBURE</v>
      </c>
      <c r="F17" s="54">
        <v>114</v>
      </c>
      <c r="G17" s="55" t="s">
        <v>1435</v>
      </c>
      <c r="H17" s="56">
        <v>81</v>
      </c>
      <c r="I17" s="57">
        <v>18</v>
      </c>
    </row>
    <row r="18" spans="1:9" x14ac:dyDescent="0.35">
      <c r="A18" s="69">
        <v>17</v>
      </c>
      <c r="B18" s="51" t="s">
        <v>61</v>
      </c>
      <c r="C18" s="52" t="s">
        <v>1436</v>
      </c>
      <c r="D18" s="52" t="str">
        <f>LEFT(Table1[[#This Row],[Time]],10)</f>
        <v>04.01.2026</v>
      </c>
      <c r="E18" s="53" t="str">
        <f>VLOOKUP(Table1[[#This Row],[TRUCK NO  ]],[1]Sheet2!$B:$E,4,0)</f>
        <v>MWALIMU OMARY KIANGA</v>
      </c>
      <c r="F18" s="54">
        <v>91</v>
      </c>
      <c r="G18" s="55" t="s">
        <v>1437</v>
      </c>
      <c r="H18" s="56">
        <v>81</v>
      </c>
      <c r="I18" s="57">
        <v>4</v>
      </c>
    </row>
    <row r="19" spans="1:9" x14ac:dyDescent="0.35">
      <c r="A19" s="69">
        <v>18</v>
      </c>
      <c r="B19" s="51" t="s">
        <v>436</v>
      </c>
      <c r="C19" s="52" t="s">
        <v>1438</v>
      </c>
      <c r="D19" s="52" t="str">
        <f>LEFT(Table1[[#This Row],[Time]],10)</f>
        <v>04.01.2026</v>
      </c>
      <c r="E19" s="53" t="str">
        <f>VLOOKUP(Table1[[#This Row],[TRUCK NO  ]],[1]Sheet2!$B:$E,4,0)</f>
        <v>BOAZ GILIAD FYITI</v>
      </c>
      <c r="F19" s="54">
        <v>91</v>
      </c>
      <c r="G19" s="55" t="s">
        <v>622</v>
      </c>
      <c r="H19" s="56">
        <v>81</v>
      </c>
      <c r="I19" s="57">
        <v>2</v>
      </c>
    </row>
    <row r="20" spans="1:9" x14ac:dyDescent="0.35">
      <c r="A20" s="69">
        <v>19</v>
      </c>
      <c r="B20" s="59" t="s">
        <v>142</v>
      </c>
      <c r="C20" s="60" t="s">
        <v>1439</v>
      </c>
      <c r="D20" s="60" t="str">
        <f>LEFT(Table1[[#This Row],[Time]],10)</f>
        <v>04.01.2026</v>
      </c>
      <c r="E20" s="61" t="str">
        <f>VLOOKUP(Table1[[#This Row],[TRUCK NO  ]],[1]Sheet2!$B:$E,4,0)</f>
        <v>LUSEKELO JEREMIA MWAMBETE</v>
      </c>
      <c r="F20" s="54">
        <v>100</v>
      </c>
      <c r="G20" s="62" t="s">
        <v>1440</v>
      </c>
      <c r="H20" s="63">
        <v>81</v>
      </c>
      <c r="I20" s="64">
        <v>10</v>
      </c>
    </row>
    <row r="21" spans="1:9" x14ac:dyDescent="0.35">
      <c r="A21" s="69">
        <v>20</v>
      </c>
      <c r="B21" s="51" t="s">
        <v>175</v>
      </c>
      <c r="C21" s="52" t="s">
        <v>1578</v>
      </c>
      <c r="D21" s="52" t="s">
        <v>1577</v>
      </c>
      <c r="E21" s="53" t="str">
        <f>VLOOKUP(Table1[[#This Row],[TRUCK NO  ]],[1]Sheet2!$B:$E,4,0)</f>
        <v>JOSEPHAT MARO KEBURE</v>
      </c>
      <c r="F21" s="52" t="s">
        <v>1563</v>
      </c>
      <c r="G21" s="55" t="s">
        <v>1564</v>
      </c>
      <c r="H21" s="56" t="s">
        <v>1565</v>
      </c>
      <c r="I21" s="57">
        <v>2</v>
      </c>
    </row>
    <row r="22" spans="1:9" x14ac:dyDescent="0.35">
      <c r="A22" s="69">
        <v>21</v>
      </c>
      <c r="B22" s="51" t="s">
        <v>61</v>
      </c>
      <c r="C22" s="52" t="s">
        <v>1579</v>
      </c>
      <c r="D22" s="52" t="s">
        <v>1577</v>
      </c>
      <c r="E22" s="53" t="str">
        <f>VLOOKUP(Table1[[#This Row],[TRUCK NO  ]],[1]Sheet2!$B:$E,4,0)</f>
        <v>MWALIMU OMARY KIANGA</v>
      </c>
      <c r="F22" s="52" t="s">
        <v>1566</v>
      </c>
      <c r="G22" s="55" t="s">
        <v>1567</v>
      </c>
      <c r="H22" s="56" t="s">
        <v>1565</v>
      </c>
      <c r="I22" s="57">
        <v>3</v>
      </c>
    </row>
    <row r="23" spans="1:9" x14ac:dyDescent="0.35">
      <c r="A23" s="69">
        <v>22</v>
      </c>
      <c r="B23" s="51" t="s">
        <v>80</v>
      </c>
      <c r="C23" s="52" t="s">
        <v>1580</v>
      </c>
      <c r="D23" s="52" t="s">
        <v>1577</v>
      </c>
      <c r="E23" s="53" t="str">
        <f>VLOOKUP(Table1[[#This Row],[TRUCK NO  ]],[1]Sheet2!$B:$E,4,0)</f>
        <v>ALLY RAMADHANI ZANDA</v>
      </c>
      <c r="F23" s="52" t="s">
        <v>1568</v>
      </c>
      <c r="G23" s="55" t="s">
        <v>1569</v>
      </c>
      <c r="H23" s="56" t="s">
        <v>1565</v>
      </c>
      <c r="I23" s="57">
        <v>1</v>
      </c>
    </row>
    <row r="24" spans="1:9" x14ac:dyDescent="0.35">
      <c r="A24" s="69">
        <v>23</v>
      </c>
      <c r="B24" s="51" t="s">
        <v>204</v>
      </c>
      <c r="C24" s="52" t="s">
        <v>1581</v>
      </c>
      <c r="D24" s="52" t="s">
        <v>1577</v>
      </c>
      <c r="E24" s="53" t="str">
        <f>VLOOKUP(Table1[[#This Row],[TRUCK NO  ]],[1]Sheet2!$B:$E,4,0)</f>
        <v>ALLY ADAM SAMSIMBAZI</v>
      </c>
      <c r="F24" s="52" t="s">
        <v>1570</v>
      </c>
      <c r="G24" s="55" t="s">
        <v>1571</v>
      </c>
      <c r="H24" s="56" t="s">
        <v>1565</v>
      </c>
      <c r="I24" s="57">
        <v>1</v>
      </c>
    </row>
    <row r="25" spans="1:9" x14ac:dyDescent="0.35">
      <c r="A25" s="69">
        <v>24</v>
      </c>
      <c r="B25" s="51" t="s">
        <v>436</v>
      </c>
      <c r="C25" s="52" t="s">
        <v>1582</v>
      </c>
      <c r="D25" s="52" t="s">
        <v>1577</v>
      </c>
      <c r="E25" s="53" t="str">
        <f>VLOOKUP(Table1[[#This Row],[TRUCK NO  ]],[1]Sheet2!$B:$E,4,0)</f>
        <v>BOAZ GILIAD FYITI</v>
      </c>
      <c r="F25" s="52" t="s">
        <v>1572</v>
      </c>
      <c r="G25" s="55" t="s">
        <v>1573</v>
      </c>
      <c r="H25" s="56" t="s">
        <v>1565</v>
      </c>
      <c r="I25" s="57">
        <v>1</v>
      </c>
    </row>
    <row r="26" spans="1:9" x14ac:dyDescent="0.35">
      <c r="A26" s="69">
        <v>25</v>
      </c>
      <c r="B26" s="51" t="s">
        <v>271</v>
      </c>
      <c r="C26" s="52" t="s">
        <v>1583</v>
      </c>
      <c r="D26" s="52" t="s">
        <v>1577</v>
      </c>
      <c r="E26" s="53" t="str">
        <f>VLOOKUP(Table1[[#This Row],[TRUCK NO  ]],[1]Sheet2!$B:$E,4,0)</f>
        <v>MUMBA YASSINI KHAMISI</v>
      </c>
      <c r="F26" s="52" t="s">
        <v>1563</v>
      </c>
      <c r="G26" s="55" t="s">
        <v>1574</v>
      </c>
      <c r="H26" s="56" t="s">
        <v>1565</v>
      </c>
      <c r="I26" s="57">
        <v>1</v>
      </c>
    </row>
    <row r="27" spans="1:9" x14ac:dyDescent="0.35">
      <c r="A27" s="69">
        <v>26</v>
      </c>
      <c r="B27" s="51" t="s">
        <v>70</v>
      </c>
      <c r="C27" s="52" t="s">
        <v>1584</v>
      </c>
      <c r="D27" s="52" t="s">
        <v>1577</v>
      </c>
      <c r="E27" s="53" t="str">
        <f>VLOOKUP(Table1[[#This Row],[TRUCK NO  ]],[1]Sheet2!$B:$E,4,0)</f>
        <v>MOHAMUD ALLY MWABUDA</v>
      </c>
      <c r="F27" s="52" t="s">
        <v>1563</v>
      </c>
      <c r="G27" s="55" t="s">
        <v>1575</v>
      </c>
      <c r="H27" s="56" t="s">
        <v>1565</v>
      </c>
      <c r="I27" s="57">
        <v>1</v>
      </c>
    </row>
    <row r="28" spans="1:9" x14ac:dyDescent="0.35">
      <c r="A28" s="69">
        <v>27</v>
      </c>
      <c r="B28" s="59" t="s">
        <v>423</v>
      </c>
      <c r="C28" s="60" t="s">
        <v>1585</v>
      </c>
      <c r="D28" s="52" t="s">
        <v>1577</v>
      </c>
      <c r="E28" s="61" t="str">
        <f>VLOOKUP(Table1[[#This Row],[TRUCK NO  ]],[1]Sheet2!$B:$E,4,0)</f>
        <v>SAIDI OMARI MTEA</v>
      </c>
      <c r="F28" s="60" t="s">
        <v>1572</v>
      </c>
      <c r="G28" s="62" t="s">
        <v>1576</v>
      </c>
      <c r="H28" s="63" t="s">
        <v>1565</v>
      </c>
      <c r="I28" s="64">
        <v>2</v>
      </c>
    </row>
    <row r="29" spans="1:9" x14ac:dyDescent="0.35">
      <c r="A29" s="69">
        <v>28</v>
      </c>
      <c r="B29" s="51" t="s">
        <v>143</v>
      </c>
      <c r="C29" s="52" t="s">
        <v>1589</v>
      </c>
      <c r="D29" s="52" t="str">
        <f>LEFT(Table1[[#This Row],[Time]],10)</f>
        <v>06.01.2026</v>
      </c>
      <c r="E29" s="53" t="str">
        <f>VLOOKUP(Table1[[#This Row],[TRUCK NO  ]],[1]Sheet2!$B:$E,4,0)</f>
        <v>IDDY RAJAB IDDY</v>
      </c>
      <c r="F29" s="52" t="s">
        <v>1570</v>
      </c>
      <c r="G29" s="55" t="s">
        <v>1590</v>
      </c>
      <c r="H29" s="56" t="s">
        <v>1565</v>
      </c>
      <c r="I29" s="57">
        <v>1</v>
      </c>
    </row>
    <row r="30" spans="1:9" x14ac:dyDescent="0.35">
      <c r="A30" s="69">
        <v>29</v>
      </c>
      <c r="B30" s="51" t="s">
        <v>161</v>
      </c>
      <c r="C30" s="52" t="s">
        <v>1591</v>
      </c>
      <c r="D30" s="52" t="str">
        <f>LEFT(Table1[[#This Row],[Time]],10)</f>
        <v>06.01.2026</v>
      </c>
      <c r="E30" s="53" t="str">
        <f>VLOOKUP(Table1[[#This Row],[TRUCK NO  ]],[1]Sheet2!$B:$E,4,0)</f>
        <v>MUSIN KAOZY MTEBE</v>
      </c>
      <c r="F30" s="52" t="s">
        <v>1592</v>
      </c>
      <c r="G30" s="55" t="s">
        <v>1593</v>
      </c>
      <c r="H30" s="56" t="s">
        <v>1565</v>
      </c>
      <c r="I30" s="57">
        <v>6</v>
      </c>
    </row>
    <row r="31" spans="1:9" x14ac:dyDescent="0.35">
      <c r="A31" s="69">
        <v>30</v>
      </c>
      <c r="B31" s="51" t="s">
        <v>436</v>
      </c>
      <c r="C31" s="52" t="s">
        <v>1601</v>
      </c>
      <c r="D31" s="52" t="str">
        <f>LEFT(Table1[[#This Row],[Time]],10)</f>
        <v>06.01.2026</v>
      </c>
      <c r="E31" s="53" t="str">
        <f>VLOOKUP(Table1[[#This Row],[TRUCK NO  ]],[1]Sheet2!$B:$E,4,0)</f>
        <v>BOAZ GILIAD FYITI</v>
      </c>
      <c r="F31" s="52" t="s">
        <v>1594</v>
      </c>
      <c r="G31" s="55" t="s">
        <v>1595</v>
      </c>
      <c r="H31" s="56" t="s">
        <v>1565</v>
      </c>
      <c r="I31" s="57">
        <v>1</v>
      </c>
    </row>
    <row r="32" spans="1:9" x14ac:dyDescent="0.35">
      <c r="A32" s="69">
        <v>31</v>
      </c>
      <c r="B32" s="51" t="s">
        <v>64</v>
      </c>
      <c r="C32" s="52" t="s">
        <v>1596</v>
      </c>
      <c r="D32" s="52" t="str">
        <f>LEFT(Table1[[#This Row],[Time]],10)</f>
        <v>06.01.2026</v>
      </c>
      <c r="E32" s="53" t="str">
        <f>VLOOKUP(Table1[[#This Row],[TRUCK NO  ]],[1]Sheet2!$B:$E,4,0)</f>
        <v>RAJABU RASHIDI MALUPU</v>
      </c>
      <c r="F32" s="52" t="s">
        <v>1566</v>
      </c>
      <c r="G32" s="55" t="s">
        <v>71</v>
      </c>
      <c r="H32" s="56" t="s">
        <v>1565</v>
      </c>
      <c r="I32" s="57">
        <v>1</v>
      </c>
    </row>
    <row r="33" spans="1:9" x14ac:dyDescent="0.35">
      <c r="A33" s="69">
        <v>32</v>
      </c>
      <c r="B33" s="51" t="s">
        <v>65</v>
      </c>
      <c r="C33" s="52" t="s">
        <v>1597</v>
      </c>
      <c r="D33" s="52" t="str">
        <f>LEFT(Table1[[#This Row],[Time]],10)</f>
        <v>06.01.2026</v>
      </c>
      <c r="E33" s="53" t="str">
        <f>VLOOKUP(Table1[[#This Row],[TRUCK NO  ]],[1]Sheet2!$B:$E,4,0)</f>
        <v>CHRISTIAN NKWELA MAPUNDA</v>
      </c>
      <c r="F33" s="52" t="s">
        <v>1594</v>
      </c>
      <c r="G33" s="55" t="s">
        <v>173</v>
      </c>
      <c r="H33" s="56" t="s">
        <v>1565</v>
      </c>
      <c r="I33" s="57">
        <v>14</v>
      </c>
    </row>
    <row r="34" spans="1:9" x14ac:dyDescent="0.35">
      <c r="A34" s="69">
        <v>33</v>
      </c>
      <c r="B34" s="59" t="s">
        <v>284</v>
      </c>
      <c r="C34" s="60" t="s">
        <v>1598</v>
      </c>
      <c r="D34" s="60" t="str">
        <f>LEFT(Table1[[#This Row],[Time]],10)</f>
        <v>06.01.2026</v>
      </c>
      <c r="E34" s="61" t="str">
        <f>VLOOKUP(Table1[[#This Row],[TRUCK NO  ]],[1]Sheet2!$B:$E,4,0)</f>
        <v>STEPHANO ABINELI ULOMI</v>
      </c>
      <c r="F34" s="60" t="s">
        <v>1599</v>
      </c>
      <c r="G34" s="62" t="s">
        <v>1600</v>
      </c>
      <c r="H34" s="63" t="s">
        <v>1565</v>
      </c>
      <c r="I34" s="64">
        <v>3</v>
      </c>
    </row>
    <row r="35" spans="1:9" x14ac:dyDescent="0.35">
      <c r="A35" s="69">
        <v>34</v>
      </c>
      <c r="B35" s="51" t="s">
        <v>251</v>
      </c>
      <c r="C35" s="52" t="s">
        <v>1872</v>
      </c>
      <c r="D35" s="52" t="str">
        <f>LEFT(Table1[[#This Row],[Time]],10)</f>
        <v>07.01.2026</v>
      </c>
      <c r="E35" s="53" t="str">
        <f>VLOOKUP(Table1[[#This Row],[TRUCK NO  ]],[1]Sheet2!$B:$E,4,0)</f>
        <v>MWAITA ALLY ISIHAKA</v>
      </c>
      <c r="F35" s="52" t="s">
        <v>1889</v>
      </c>
      <c r="G35" s="55" t="s">
        <v>1873</v>
      </c>
      <c r="H35" s="56">
        <v>81</v>
      </c>
      <c r="I35" s="57">
        <v>63</v>
      </c>
    </row>
    <row r="36" spans="1:9" x14ac:dyDescent="0.35">
      <c r="A36" s="69">
        <v>35</v>
      </c>
      <c r="B36" s="51" t="s">
        <v>176</v>
      </c>
      <c r="C36" s="52" t="s">
        <v>1874</v>
      </c>
      <c r="D36" s="52" t="str">
        <f>LEFT(Table1[[#This Row],[Time]],10)</f>
        <v>07.01.2026</v>
      </c>
      <c r="E36" s="53" t="str">
        <f>VLOOKUP(Table1[[#This Row],[TRUCK NO  ]],[1]Sheet2!$B:$E,4,0)</f>
        <v>SAIMON GEORGE KAAYA</v>
      </c>
      <c r="F36" s="52" t="s">
        <v>1890</v>
      </c>
      <c r="G36" s="55" t="s">
        <v>1875</v>
      </c>
      <c r="H36" s="56">
        <v>81</v>
      </c>
      <c r="I36" s="57">
        <v>1</v>
      </c>
    </row>
    <row r="37" spans="1:9" x14ac:dyDescent="0.35">
      <c r="A37" s="69">
        <v>36</v>
      </c>
      <c r="B37" s="51" t="s">
        <v>73</v>
      </c>
      <c r="C37" s="52" t="s">
        <v>1876</v>
      </c>
      <c r="D37" s="52" t="str">
        <f>LEFT(Table1[[#This Row],[Time]],10)</f>
        <v>07.01.2026</v>
      </c>
      <c r="E37" s="53" t="str">
        <f>VLOOKUP(Table1[[#This Row],[TRUCK NO  ]],[1]Sheet2!$B:$E,4,0)</f>
        <v>YAHYA HASSANI ADAM</v>
      </c>
      <c r="F37" s="52" t="s">
        <v>1599</v>
      </c>
      <c r="G37" s="55" t="s">
        <v>1877</v>
      </c>
      <c r="H37" s="56">
        <v>81</v>
      </c>
      <c r="I37" s="57">
        <v>1</v>
      </c>
    </row>
    <row r="38" spans="1:9" x14ac:dyDescent="0.35">
      <c r="A38" s="69">
        <v>37</v>
      </c>
      <c r="B38" s="51" t="s">
        <v>161</v>
      </c>
      <c r="C38" s="52" t="s">
        <v>1878</v>
      </c>
      <c r="D38" s="52" t="str">
        <f>LEFT(Table1[[#This Row],[Time]],10)</f>
        <v>07.01.2026</v>
      </c>
      <c r="E38" s="53" t="str">
        <f>VLOOKUP(Table1[[#This Row],[TRUCK NO  ]],[1]Sheet2!$B:$E,4,0)</f>
        <v>MUSIN KAOZY MTEBE</v>
      </c>
      <c r="F38" s="52" t="s">
        <v>1599</v>
      </c>
      <c r="G38" s="55" t="s">
        <v>1879</v>
      </c>
      <c r="H38" s="56">
        <v>81</v>
      </c>
      <c r="I38" s="57">
        <v>8</v>
      </c>
    </row>
    <row r="39" spans="1:9" x14ac:dyDescent="0.35">
      <c r="A39" s="69">
        <v>38</v>
      </c>
      <c r="B39" s="51" t="s">
        <v>866</v>
      </c>
      <c r="C39" s="52" t="s">
        <v>1880</v>
      </c>
      <c r="D39" s="52" t="str">
        <f>LEFT(Table1[[#This Row],[Time]],10)</f>
        <v>07.01.2026</v>
      </c>
      <c r="E39" s="53">
        <f>VLOOKUP(Table1[[#This Row],[TRUCK NO  ]],[1]Sheet2!$B:$E,4,0)</f>
        <v>0</v>
      </c>
      <c r="F39" s="52" t="s">
        <v>1599</v>
      </c>
      <c r="G39" s="55" t="s">
        <v>1881</v>
      </c>
      <c r="H39" s="56">
        <v>81</v>
      </c>
      <c r="I39" s="57">
        <v>1</v>
      </c>
    </row>
    <row r="40" spans="1:9" x14ac:dyDescent="0.35">
      <c r="A40" s="69">
        <v>39</v>
      </c>
      <c r="B40" s="51" t="s">
        <v>64</v>
      </c>
      <c r="C40" s="52" t="s">
        <v>1882</v>
      </c>
      <c r="D40" s="52" t="str">
        <f>LEFT(Table1[[#This Row],[Time]],10)</f>
        <v>07.01.2026</v>
      </c>
      <c r="E40" s="53" t="str">
        <f>VLOOKUP(Table1[[#This Row],[TRUCK NO  ]],[1]Sheet2!$B:$E,4,0)</f>
        <v>RAJABU RASHIDI MALUPU</v>
      </c>
      <c r="F40" s="52" t="s">
        <v>1566</v>
      </c>
      <c r="G40" s="55" t="s">
        <v>1883</v>
      </c>
      <c r="H40" s="56">
        <v>81</v>
      </c>
      <c r="I40" s="57">
        <v>1</v>
      </c>
    </row>
    <row r="41" spans="1:9" x14ac:dyDescent="0.35">
      <c r="A41" s="69">
        <v>40</v>
      </c>
      <c r="B41" s="51" t="s">
        <v>65</v>
      </c>
      <c r="C41" s="52" t="s">
        <v>1884</v>
      </c>
      <c r="D41" s="52" t="str">
        <f>LEFT(Table1[[#This Row],[Time]],10)</f>
        <v>07.01.2026</v>
      </c>
      <c r="E41" s="53" t="str">
        <f>VLOOKUP(Table1[[#This Row],[TRUCK NO  ]],[1]Sheet2!$B:$E,4,0)</f>
        <v>CHRISTIAN NKWELA MAPUNDA</v>
      </c>
      <c r="F41" s="52" t="s">
        <v>1891</v>
      </c>
      <c r="G41" s="55" t="s">
        <v>1885</v>
      </c>
      <c r="H41" s="56">
        <v>81</v>
      </c>
      <c r="I41" s="57">
        <v>28</v>
      </c>
    </row>
    <row r="42" spans="1:9" x14ac:dyDescent="0.35">
      <c r="A42" s="69">
        <v>41</v>
      </c>
      <c r="B42" s="51" t="s">
        <v>620</v>
      </c>
      <c r="C42" s="52" t="s">
        <v>1886</v>
      </c>
      <c r="D42" s="52" t="str">
        <f>LEFT(Table1[[#This Row],[Time]],10)</f>
        <v>07.01.2026</v>
      </c>
      <c r="E42" s="53" t="str">
        <f>VLOOKUP(Table1[[#This Row],[TRUCK NO  ]],[1]Sheet2!$B:$E,4,0)</f>
        <v>JANUARY LAMECK AUGUSTINO</v>
      </c>
      <c r="F42" s="52" t="s">
        <v>1892</v>
      </c>
      <c r="G42" s="55" t="s">
        <v>75</v>
      </c>
      <c r="H42" s="56">
        <v>81</v>
      </c>
      <c r="I42" s="57">
        <v>1</v>
      </c>
    </row>
    <row r="43" spans="1:9" x14ac:dyDescent="0.35">
      <c r="A43" s="69">
        <v>42</v>
      </c>
      <c r="B43" s="59" t="s">
        <v>247</v>
      </c>
      <c r="C43" s="60" t="s">
        <v>1887</v>
      </c>
      <c r="D43" s="60" t="str">
        <f>LEFT(Table1[[#This Row],[Time]],10)</f>
        <v>07.01.2026</v>
      </c>
      <c r="E43" s="61" t="str">
        <f>VLOOKUP(Table1[[#This Row],[TRUCK NO  ]],[1]Sheet2!$B:$E,4,0)</f>
        <v>SWEDI SALEHE MAJORO</v>
      </c>
      <c r="F43" s="60" t="s">
        <v>1566</v>
      </c>
      <c r="G43" s="62" t="s">
        <v>1888</v>
      </c>
      <c r="H43" s="63">
        <v>81</v>
      </c>
      <c r="I43" s="64">
        <v>1</v>
      </c>
    </row>
    <row r="44" spans="1:9" x14ac:dyDescent="0.35">
      <c r="A44" s="69">
        <v>43</v>
      </c>
      <c r="B44" s="51" t="s">
        <v>176</v>
      </c>
      <c r="C44" s="52" t="s">
        <v>2017</v>
      </c>
      <c r="D44" s="52" t="str">
        <f>LEFT(Table1[[#This Row],[Time]],10)</f>
        <v>08.01.2026</v>
      </c>
      <c r="E44" s="53" t="str">
        <f>VLOOKUP(Table1[[#This Row],[TRUCK NO  ]],[1]Sheet2!$B:$E,4,0)</f>
        <v>SAIMON GEORGE KAAYA</v>
      </c>
      <c r="F44" s="66">
        <v>86</v>
      </c>
      <c r="G44" s="55" t="s">
        <v>2018</v>
      </c>
      <c r="H44" s="56">
        <v>81</v>
      </c>
      <c r="I44" s="57">
        <v>2</v>
      </c>
    </row>
    <row r="45" spans="1:9" x14ac:dyDescent="0.35">
      <c r="A45" s="69">
        <v>44</v>
      </c>
      <c r="B45" s="51" t="s">
        <v>73</v>
      </c>
      <c r="C45" s="52" t="s">
        <v>2019</v>
      </c>
      <c r="D45" s="52" t="str">
        <f>LEFT(Table1[[#This Row],[Time]],10)</f>
        <v>08.01.2026</v>
      </c>
      <c r="E45" s="53" t="str">
        <f>VLOOKUP(Table1[[#This Row],[TRUCK NO  ]],[1]Sheet2!$B:$E,4,0)</f>
        <v>YAHYA HASSANI ADAM</v>
      </c>
      <c r="F45" s="66">
        <v>85</v>
      </c>
      <c r="G45" s="55" t="s">
        <v>2020</v>
      </c>
      <c r="H45" s="56">
        <v>81</v>
      </c>
      <c r="I45" s="57">
        <v>2</v>
      </c>
    </row>
    <row r="46" spans="1:9" x14ac:dyDescent="0.35">
      <c r="A46" s="69">
        <v>45</v>
      </c>
      <c r="B46" s="51" t="s">
        <v>66</v>
      </c>
      <c r="C46" s="52" t="s">
        <v>2021</v>
      </c>
      <c r="D46" s="52" t="str">
        <f>LEFT(Table1[[#This Row],[Time]],10)</f>
        <v>08.01.2026</v>
      </c>
      <c r="E46" s="53" t="str">
        <f>VLOOKUP(Table1[[#This Row],[TRUCK NO  ]],[1]Sheet2!$B:$E,4,0)</f>
        <v>NASIBU SAIDY GUBWE</v>
      </c>
      <c r="F46" s="66">
        <v>98</v>
      </c>
      <c r="G46" s="55" t="s">
        <v>592</v>
      </c>
      <c r="H46" s="56">
        <v>81</v>
      </c>
      <c r="I46" s="57">
        <v>5</v>
      </c>
    </row>
    <row r="47" spans="1:9" x14ac:dyDescent="0.35">
      <c r="A47" s="69">
        <v>46</v>
      </c>
      <c r="B47" s="51" t="s">
        <v>866</v>
      </c>
      <c r="C47" s="52" t="s">
        <v>2022</v>
      </c>
      <c r="D47" s="52" t="str">
        <f>LEFT(Table1[[#This Row],[Time]],10)</f>
        <v>08.01.2026</v>
      </c>
      <c r="E47" s="53">
        <f>VLOOKUP(Table1[[#This Row],[TRUCK NO  ]],[1]Sheet2!$B:$E,4,0)</f>
        <v>0</v>
      </c>
      <c r="F47" s="66">
        <v>87</v>
      </c>
      <c r="G47" s="55" t="s">
        <v>2023</v>
      </c>
      <c r="H47" s="56">
        <v>81</v>
      </c>
      <c r="I47" s="57">
        <v>1</v>
      </c>
    </row>
    <row r="48" spans="1:9" x14ac:dyDescent="0.35">
      <c r="A48" s="69">
        <v>47</v>
      </c>
      <c r="B48" s="51" t="s">
        <v>164</v>
      </c>
      <c r="C48" s="52" t="s">
        <v>2024</v>
      </c>
      <c r="D48" s="52" t="str">
        <f>LEFT(Table1[[#This Row],[Time]],10)</f>
        <v>08.01.2026</v>
      </c>
      <c r="E48" s="53" t="str">
        <f>VLOOKUP(Table1[[#This Row],[TRUCK NO  ]],[1]Sheet2!$B:$E,4,0)</f>
        <v>HAMIS MASOUD MWANKWALLE</v>
      </c>
      <c r="F48" s="66">
        <v>88</v>
      </c>
      <c r="G48" s="55" t="s">
        <v>2025</v>
      </c>
      <c r="H48" s="56">
        <v>81</v>
      </c>
      <c r="I48" s="57">
        <v>1</v>
      </c>
    </row>
    <row r="49" spans="1:9" x14ac:dyDescent="0.35">
      <c r="A49" s="69">
        <v>48</v>
      </c>
      <c r="B49" s="51" t="s">
        <v>436</v>
      </c>
      <c r="C49" s="52" t="s">
        <v>2026</v>
      </c>
      <c r="D49" s="52" t="str">
        <f>LEFT(Table1[[#This Row],[Time]],10)</f>
        <v>08.01.2026</v>
      </c>
      <c r="E49" s="53" t="str">
        <f>VLOOKUP(Table1[[#This Row],[TRUCK NO  ]],[1]Sheet2!$B:$E,4,0)</f>
        <v>BOAZ GILIAD FYITI</v>
      </c>
      <c r="F49" s="66">
        <v>88</v>
      </c>
      <c r="G49" s="55" t="s">
        <v>2027</v>
      </c>
      <c r="H49" s="56">
        <v>81</v>
      </c>
      <c r="I49" s="57">
        <v>1</v>
      </c>
    </row>
    <row r="50" spans="1:9" x14ac:dyDescent="0.35">
      <c r="A50" s="69">
        <v>49</v>
      </c>
      <c r="B50" s="51" t="s">
        <v>69</v>
      </c>
      <c r="C50" s="52" t="s">
        <v>2028</v>
      </c>
      <c r="D50" s="52" t="str">
        <f>LEFT(Table1[[#This Row],[Time]],10)</f>
        <v>08.01.2026</v>
      </c>
      <c r="E50" s="53" t="str">
        <f>VLOOKUP(Table1[[#This Row],[TRUCK NO  ]],[1]Sheet2!$B:$E,4,0)</f>
        <v>ELIA JUMA NZOWA</v>
      </c>
      <c r="F50" s="66">
        <v>102</v>
      </c>
      <c r="G50" s="55" t="s">
        <v>60</v>
      </c>
      <c r="H50" s="56">
        <v>81</v>
      </c>
      <c r="I50" s="57">
        <v>2</v>
      </c>
    </row>
    <row r="51" spans="1:9" x14ac:dyDescent="0.35">
      <c r="A51" s="69">
        <v>50</v>
      </c>
      <c r="B51" s="51" t="s">
        <v>65</v>
      </c>
      <c r="C51" s="52" t="s">
        <v>2029</v>
      </c>
      <c r="D51" s="52" t="str">
        <f>LEFT(Table1[[#This Row],[Time]],10)</f>
        <v>08.01.2026</v>
      </c>
      <c r="E51" s="53" t="str">
        <f>VLOOKUP(Table1[[#This Row],[TRUCK NO  ]],[1]Sheet2!$B:$E,4,0)</f>
        <v>CHRISTIAN NKWELA MAPUNDA</v>
      </c>
      <c r="F51" s="66">
        <v>98</v>
      </c>
      <c r="G51" s="55" t="s">
        <v>2030</v>
      </c>
      <c r="H51" s="56">
        <v>81</v>
      </c>
      <c r="I51" s="57">
        <v>5</v>
      </c>
    </row>
    <row r="52" spans="1:9" x14ac:dyDescent="0.35">
      <c r="A52" s="69">
        <v>51</v>
      </c>
      <c r="B52" s="51" t="s">
        <v>134</v>
      </c>
      <c r="C52" s="52" t="s">
        <v>2031</v>
      </c>
      <c r="D52" s="52" t="str">
        <f>LEFT(Table1[[#This Row],[Time]],10)</f>
        <v>08.01.2026</v>
      </c>
      <c r="E52" s="53" t="str">
        <f>VLOOKUP(Table1[[#This Row],[TRUCK NO  ]],[1]Sheet2!$B:$E,4,0)</f>
        <v>AFFIF ISMAIL KIZENGA</v>
      </c>
      <c r="F52" s="66">
        <v>88</v>
      </c>
      <c r="G52" s="55" t="s">
        <v>2032</v>
      </c>
      <c r="H52" s="56">
        <v>81</v>
      </c>
      <c r="I52" s="57">
        <v>1</v>
      </c>
    </row>
    <row r="53" spans="1:9" x14ac:dyDescent="0.35">
      <c r="A53" s="69">
        <v>52</v>
      </c>
      <c r="B53" s="59" t="s">
        <v>77</v>
      </c>
      <c r="C53" s="60" t="s">
        <v>2033</v>
      </c>
      <c r="D53" s="60" t="str">
        <f>LEFT(Table1[[#This Row],[Time]],10)</f>
        <v>08.01.2026</v>
      </c>
      <c r="E53" s="61" t="str">
        <f>VLOOKUP(Table1[[#This Row],[TRUCK NO  ]],[1]Sheet2!$B:$E,4,0)</f>
        <v>ALLY RASHID SAID</v>
      </c>
      <c r="F53" s="66">
        <v>88</v>
      </c>
      <c r="G53" s="62" t="s">
        <v>2034</v>
      </c>
      <c r="H53" s="63">
        <v>81</v>
      </c>
      <c r="I53" s="64">
        <v>2</v>
      </c>
    </row>
    <row r="54" spans="1:9" x14ac:dyDescent="0.35">
      <c r="A54" s="69"/>
      <c r="B54" s="51" t="s">
        <v>72</v>
      </c>
      <c r="C54" s="52" t="s">
        <v>2228</v>
      </c>
      <c r="D54" s="52" t="str">
        <f>LEFT(Table1[[#This Row],[Time]],10)</f>
        <v>09.01.2026</v>
      </c>
      <c r="E54" s="53" t="str">
        <f>VLOOKUP(Table1[[#This Row],[TRUCK NO  ]],[1]Sheet2!$B:$E,4,0)</f>
        <v>POTPHA PASCAL MTAKIMWA</v>
      </c>
      <c r="F54" s="52" t="s">
        <v>1890</v>
      </c>
      <c r="G54" s="55" t="s">
        <v>42</v>
      </c>
      <c r="H54" s="56" t="s">
        <v>1565</v>
      </c>
      <c r="I54" s="57" t="s">
        <v>2229</v>
      </c>
    </row>
    <row r="55" spans="1:9" x14ac:dyDescent="0.35">
      <c r="A55" s="69"/>
      <c r="B55" s="51" t="s">
        <v>44</v>
      </c>
      <c r="C55" s="52" t="s">
        <v>2230</v>
      </c>
      <c r="D55" s="52" t="str">
        <f>LEFT(Table1[[#This Row],[Time]],10)</f>
        <v>09.01.2026</v>
      </c>
      <c r="E55" s="53" t="str">
        <f>VLOOKUP(Table1[[#This Row],[TRUCK NO  ]],[1]Sheet2!$B:$E,4,0)</f>
        <v>AMIRI AMANI MAWAKA</v>
      </c>
      <c r="F55" s="52" t="s">
        <v>1563</v>
      </c>
      <c r="G55" s="55" t="s">
        <v>2231</v>
      </c>
      <c r="H55" s="56" t="s">
        <v>1565</v>
      </c>
      <c r="I55" s="57" t="s">
        <v>2232</v>
      </c>
    </row>
    <row r="56" spans="1:9" x14ac:dyDescent="0.35">
      <c r="A56" s="69"/>
      <c r="B56" s="51" t="s">
        <v>65</v>
      </c>
      <c r="C56" s="52" t="s">
        <v>2233</v>
      </c>
      <c r="D56" s="52" t="str">
        <f>LEFT(Table1[[#This Row],[Time]],10)</f>
        <v>09.01.2026</v>
      </c>
      <c r="E56" s="53" t="str">
        <f>VLOOKUP(Table1[[#This Row],[TRUCK NO  ]],[1]Sheet2!$B:$E,4,0)</f>
        <v>CHRISTIAN NKWELA MAPUNDA</v>
      </c>
      <c r="F56" s="52" t="s">
        <v>2234</v>
      </c>
      <c r="G56" s="55" t="s">
        <v>514</v>
      </c>
      <c r="H56" s="56" t="s">
        <v>1565</v>
      </c>
      <c r="I56" s="57" t="s">
        <v>2235</v>
      </c>
    </row>
    <row r="57" spans="1:9" x14ac:dyDescent="0.35">
      <c r="A57" s="69"/>
      <c r="B57" s="51" t="s">
        <v>2236</v>
      </c>
      <c r="C57" s="52" t="s">
        <v>2237</v>
      </c>
      <c r="D57" s="52" t="str">
        <f>LEFT(Table1[[#This Row],[Time]],10)</f>
        <v>09.01.2026</v>
      </c>
      <c r="E57" s="53" t="str">
        <f>VLOOKUP(Table1[[#This Row],[TRUCK NO  ]],[1]Sheet2!$B:$E,4,0)</f>
        <v>GERALD RAPHAEL SALAMALA</v>
      </c>
      <c r="F57" s="52" t="s">
        <v>1563</v>
      </c>
      <c r="G57" s="55" t="s">
        <v>42</v>
      </c>
      <c r="H57" s="56" t="s">
        <v>1565</v>
      </c>
      <c r="I57" s="57" t="s">
        <v>2232</v>
      </c>
    </row>
    <row r="58" spans="1:9" x14ac:dyDescent="0.35">
      <c r="A58" s="69"/>
      <c r="B58" s="51" t="s">
        <v>2238</v>
      </c>
      <c r="C58" s="52" t="s">
        <v>2239</v>
      </c>
      <c r="D58" s="52" t="str">
        <f>LEFT(Table1[[#This Row],[Time]],10)</f>
        <v>09.01.2026</v>
      </c>
      <c r="E58" s="53" t="str">
        <f>VLOOKUP(Table1[[#This Row],[TRUCK NO  ]],[1]Sheet2!$B:$E,4,0)</f>
        <v xml:space="preserve">ABDALLH SADI RAMADHANI </v>
      </c>
      <c r="F58" s="52" t="s">
        <v>1890</v>
      </c>
      <c r="G58" s="55" t="s">
        <v>2240</v>
      </c>
      <c r="H58" s="56" t="s">
        <v>1565</v>
      </c>
      <c r="I58" s="57" t="s">
        <v>2232</v>
      </c>
    </row>
    <row r="59" spans="1:9" x14ac:dyDescent="0.35">
      <c r="A59" s="69"/>
      <c r="B59" s="51" t="s">
        <v>2241</v>
      </c>
      <c r="C59" s="52" t="s">
        <v>2242</v>
      </c>
      <c r="D59" s="52" t="str">
        <f>LEFT(Table1[[#This Row],[Time]],10)</f>
        <v>09.01.2026</v>
      </c>
      <c r="E59" s="53" t="str">
        <f>VLOOKUP(Table1[[#This Row],[TRUCK NO  ]],[1]Sheet2!$B:$E,4,0)</f>
        <v>GABRIEL PIUS BUKENE</v>
      </c>
      <c r="F59" s="52" t="s">
        <v>1592</v>
      </c>
      <c r="G59" s="55" t="s">
        <v>42</v>
      </c>
      <c r="H59" s="56" t="s">
        <v>1565</v>
      </c>
      <c r="I59" s="57" t="s">
        <v>2235</v>
      </c>
    </row>
    <row r="60" spans="1:9" x14ac:dyDescent="0.35">
      <c r="A60" s="69"/>
      <c r="B60" s="51" t="s">
        <v>77</v>
      </c>
      <c r="C60" s="52" t="s">
        <v>2243</v>
      </c>
      <c r="D60" s="52" t="str">
        <f>LEFT(Table1[[#This Row],[Time]],10)</f>
        <v>09.01.2026</v>
      </c>
      <c r="E60" s="53" t="str">
        <f>VLOOKUP(Table1[[#This Row],[TRUCK NO  ]],[1]Sheet2!$B:$E,4,0)</f>
        <v>ALLY RASHID SAID</v>
      </c>
      <c r="F60" s="52" t="s">
        <v>1563</v>
      </c>
      <c r="G60" s="55" t="s">
        <v>2244</v>
      </c>
      <c r="H60" s="56" t="s">
        <v>1565</v>
      </c>
      <c r="I60" s="57" t="s">
        <v>2245</v>
      </c>
    </row>
    <row r="61" spans="1:9" x14ac:dyDescent="0.35">
      <c r="A61" s="89"/>
      <c r="B61" s="59" t="s">
        <v>2246</v>
      </c>
      <c r="C61" s="60" t="s">
        <v>2247</v>
      </c>
      <c r="D61" s="60" t="str">
        <f>LEFT(Table1[[#This Row],[Time]],10)</f>
        <v>09.01.2026</v>
      </c>
      <c r="E61" s="61" t="str">
        <f>VLOOKUP(Table1[[#This Row],[TRUCK NO  ]],[1]Sheet2!$B:$E,4,0)</f>
        <v>METHODY LEO GOBANYA</v>
      </c>
      <c r="F61" s="60" t="s">
        <v>1568</v>
      </c>
      <c r="G61" s="62" t="s">
        <v>2248</v>
      </c>
      <c r="H61" s="63" t="s">
        <v>1565</v>
      </c>
      <c r="I61" s="64" t="s">
        <v>2235</v>
      </c>
    </row>
  </sheetData>
  <phoneticPr fontId="2" type="noConversion"/>
  <hyperlinks>
    <hyperlink ref="G10" r:id="rId1" xr:uid="{2B8F9CBE-323A-4D45-BB9C-6843F7D9E24D}"/>
    <hyperlink ref="C3" r:id="rId2" xr:uid="{327F1FC7-998E-4BEB-9B3C-5D91132FC82C}"/>
    <hyperlink ref="C2" r:id="rId3" xr:uid="{7C0F38E9-470C-434A-9119-D44DA0AC4B1C}"/>
    <hyperlink ref="C8" r:id="rId4" xr:uid="{B0CEA263-2CF0-437F-AC8F-32FC80B1CD7A}"/>
    <hyperlink ref="C6" r:id="rId5" xr:uid="{01FB90CB-DF63-42EC-A329-68BDA601765F}"/>
    <hyperlink ref="C4" r:id="rId6" xr:uid="{300C8EAB-014B-4324-89F5-F0201C5B9789}"/>
    <hyperlink ref="G2" r:id="rId7" xr:uid="{709E065B-2CD5-4C8B-AA8B-4C94F55B8770}"/>
    <hyperlink ref="G5" r:id="rId8" xr:uid="{E5DDCC0E-3652-49D6-BE1C-57BFCB3E3D76}"/>
    <hyperlink ref="C10" r:id="rId9" xr:uid="{E2A0D845-54F6-4096-8661-805838991DFA}"/>
    <hyperlink ref="C5" r:id="rId10" xr:uid="{61793333-D606-4307-9BB7-03F5E8BB77D5}"/>
    <hyperlink ref="G9" r:id="rId11" xr:uid="{13B83C38-2F52-453D-9083-8B9B2A29045A}"/>
    <hyperlink ref="G3" r:id="rId12" xr:uid="{84D933FA-1332-4A5F-B39A-AC678E351B40}"/>
    <hyperlink ref="G8" r:id="rId13" xr:uid="{4DC69A32-D103-4BA9-90BB-E49F5500E9F2}"/>
    <hyperlink ref="G4" r:id="rId14" xr:uid="{675F08A8-33BD-47C9-8198-CF9FC48760BF}"/>
    <hyperlink ref="C7" r:id="rId15" xr:uid="{27A35F50-7AEE-4EAB-9740-F83E1F410CD5}"/>
    <hyperlink ref="G6" r:id="rId16" xr:uid="{02B31843-A639-4F2A-BD20-7BCECFA0C7BA}"/>
    <hyperlink ref="G7" r:id="rId17" xr:uid="{66EF5E67-C303-4FC3-A8F9-09AB97C27EAF}"/>
    <hyperlink ref="C9" r:id="rId18" xr:uid="{CBEB902F-367E-4600-9750-2CEDB6FF1114}"/>
    <hyperlink ref="C11" r:id="rId19" xr:uid="{EF5DA2DD-50C8-472A-BDA8-1E9A44F5C846}"/>
    <hyperlink ref="G12" r:id="rId20" xr:uid="{7887CBA4-9CEA-4C68-992A-59A1D1F85DDF}"/>
    <hyperlink ref="G11" r:id="rId21" xr:uid="{35181260-E66D-41FD-8C74-D36DF4C30A24}"/>
    <hyperlink ref="C12" r:id="rId22" xr:uid="{70F53FFE-77DB-4C76-B5A5-22C8BB7CBB4E}"/>
    <hyperlink ref="C13" r:id="rId23" xr:uid="{28AFAB15-802F-4C3C-8D6A-A4BD9E529050}"/>
    <hyperlink ref="G13" r:id="rId24" xr:uid="{3993C70F-8F9A-48EA-9427-9BD703B21731}"/>
    <hyperlink ref="G14" r:id="rId25" xr:uid="{DA45FFC4-5FF8-42AE-8985-B0397842FA4A}"/>
    <hyperlink ref="C14" r:id="rId26" xr:uid="{10F27821-CE90-4487-8EED-CDCCACBE9DAC}"/>
    <hyperlink ref="C16" r:id="rId27" xr:uid="{FAC25D4F-BDCD-4B9B-BBCF-E057C9EE61EC}"/>
    <hyperlink ref="G16" r:id="rId28" xr:uid="{165BDB19-95B7-467B-8B7E-575BAC5BCC1F}"/>
    <hyperlink ref="C15" r:id="rId29" xr:uid="{89F2B73B-CF10-47AE-B77E-F131AA01D95D}"/>
    <hyperlink ref="G15" r:id="rId30" xr:uid="{2EBAEE5A-137B-40B4-BFC3-D2F7F7BF2776}"/>
    <hyperlink ref="F9" r:id="rId31" display="95 km/h" xr:uid="{36F02ED6-6399-4321-BFBE-1366DCE46EBD}"/>
    <hyperlink ref="F7" r:id="rId32" display="86 km/h" xr:uid="{284BFA16-4CC3-48E2-AD3C-906FF2BC55B2}"/>
    <hyperlink ref="F2" r:id="rId33" display="88 km/h" xr:uid="{2E9CF5C3-A997-4959-902D-0325822F8ED4}"/>
    <hyperlink ref="F3" r:id="rId34" display="87 km/h" xr:uid="{C59EA2CF-8802-4CBA-9617-4F6E0B278D1F}"/>
    <hyperlink ref="F4" r:id="rId35" display="92 km/h" xr:uid="{64BD6322-DF44-4274-8AFD-E093E144A7B1}"/>
    <hyperlink ref="F5" r:id="rId36" display="89 km/h" xr:uid="{2678A7CE-153B-45E9-8822-9C52C7753B6F}"/>
    <hyperlink ref="F8" r:id="rId37" display="99 km/h" xr:uid="{CF1951DC-4DD2-413C-BE9B-DAB1B9D870F5}"/>
    <hyperlink ref="F10" r:id="rId38" display="86 km/h" xr:uid="{C896D889-71F4-4A01-A789-69948E7F9D60}"/>
    <hyperlink ref="F6" r:id="rId39" display="92 km/h" xr:uid="{2A4B5416-D947-46CC-A129-DD5A943CB9D7}"/>
    <hyperlink ref="F11" r:id="rId40" display="92 km/h" xr:uid="{FA8EFF2A-8E65-40E5-A53B-33DBEDF96052}"/>
    <hyperlink ref="F12" r:id="rId41" display="99 km/h" xr:uid="{47C514E9-7598-45C7-B35D-B2B288C98040}"/>
    <hyperlink ref="F13" r:id="rId42" display="90 km/h" xr:uid="{C4D92D4B-F808-4A2F-B756-739D6456ACF7}"/>
    <hyperlink ref="F14" r:id="rId43" display="96 km/h" xr:uid="{1281901E-813E-48EF-AC0B-F2651D667D65}"/>
    <hyperlink ref="F15" r:id="rId44" display="97 km/h" xr:uid="{72146DDF-2A5A-4B2C-834A-F548FCE03C82}"/>
    <hyperlink ref="F16" r:id="rId45" display="88 km/h" xr:uid="{66CC0C42-1C54-44C2-BBAA-8FF0EDEE5057}"/>
    <hyperlink ref="G18" r:id="rId46" xr:uid="{A9687D86-A11D-47C4-9669-B14458D82D5E}"/>
    <hyperlink ref="C18" r:id="rId47" xr:uid="{FAA590F2-5726-4682-95E5-2820F6CB730E}"/>
    <hyperlink ref="G17" r:id="rId48" xr:uid="{CA840DB6-409E-4A24-8022-61C54E659918}"/>
    <hyperlink ref="G19" r:id="rId49" xr:uid="{1CEB4B8C-FDC2-4C7E-82B7-8C8C9516137D}"/>
    <hyperlink ref="C19" r:id="rId50" xr:uid="{F09C9117-45A0-4A08-A077-1BFC5A3AEBC0}"/>
    <hyperlink ref="G20" r:id="rId51" xr:uid="{F40007E2-2E13-4F2D-92D1-AF5305ECE44D}"/>
    <hyperlink ref="C17" r:id="rId52" xr:uid="{3313AC67-8612-4D15-8763-565B085768E7}"/>
    <hyperlink ref="C20" r:id="rId53" xr:uid="{372FFF1A-ACD4-4A62-8DFB-1A12161167E0}"/>
    <hyperlink ref="F20" r:id="rId54" display="100 km/h" xr:uid="{59B4A26E-8A76-4D8B-B045-3270C2930E31}"/>
    <hyperlink ref="F18" r:id="rId55" display="91 km/h" xr:uid="{B42FC1A1-3017-424C-AEEB-D3D5B4F706DA}"/>
    <hyperlink ref="F19" r:id="rId56" display="91 km/h" xr:uid="{AFB932F1-1A26-4E02-9927-5B0A573C9F47}"/>
    <hyperlink ref="F17" r:id="rId57" display="114 km/h" xr:uid="{4EDD6DE6-A861-41FB-A452-B33EEEFB7101}"/>
    <hyperlink ref="G35" r:id="rId58" xr:uid="{4F80CFDC-D613-4842-980E-09A3FB0220D5}"/>
    <hyperlink ref="G36" r:id="rId59" xr:uid="{C509FA76-03B8-420A-A4DB-56165D2BD519}"/>
    <hyperlink ref="G41" r:id="rId60" xr:uid="{0D3C9730-CBB9-4544-A767-66F11FB638FF}"/>
    <hyperlink ref="C43" r:id="rId61" xr:uid="{7DCF526B-C873-4745-8E5A-77832EEDE1EA}"/>
    <hyperlink ref="C36" r:id="rId62" xr:uid="{6E67B595-D1D3-4403-922B-1DCDE1C935AA}"/>
    <hyperlink ref="C42" r:id="rId63" xr:uid="{38170023-5C1D-44EC-A7E4-E3C24ECFCF1A}"/>
    <hyperlink ref="C37" r:id="rId64" xr:uid="{9B2387B2-2A15-4BD1-BE19-CE1B33BDF9A1}"/>
    <hyperlink ref="G39" r:id="rId65" xr:uid="{C3DFF3EE-902B-480D-9421-5AE1921BCEA2}"/>
    <hyperlink ref="C35" r:id="rId66" xr:uid="{6BD456F4-3F60-46D0-9737-6B440370CE9F}"/>
    <hyperlink ref="C38" r:id="rId67" xr:uid="{ECA06417-D0C8-4BCC-B18B-8531CB546974}"/>
    <hyperlink ref="C39" r:id="rId68" xr:uid="{55C8D62D-07B2-4D77-B534-06900E85B75B}"/>
    <hyperlink ref="C40" r:id="rId69" xr:uid="{6C146D05-9D2B-43F4-A013-705146E053D0}"/>
    <hyperlink ref="G40" r:id="rId70" xr:uid="{1004B4F2-AE75-43F8-B838-01F3C5A74F2D}"/>
    <hyperlink ref="C41" r:id="rId71" xr:uid="{2F2D41D4-F845-4A38-9C74-773C552691E0}"/>
    <hyperlink ref="G38" r:id="rId72" xr:uid="{FD9716D8-0A44-4C21-B8E7-EF8246AE02EC}"/>
    <hyperlink ref="G37" r:id="rId73" xr:uid="{7BD198F2-3257-46BB-98E0-743CC54BBD22}"/>
    <hyperlink ref="G42" r:id="rId74" xr:uid="{05679C1C-CC90-4E17-94C2-C00B33E1A870}"/>
    <hyperlink ref="G43" r:id="rId75" xr:uid="{EB6E4D7B-37AC-4574-805D-1413F6BB3CEF}"/>
    <hyperlink ref="F38" r:id="rId76" xr:uid="{1188569A-9D28-47CC-AC77-31168305635C}"/>
    <hyperlink ref="F40" r:id="rId77" xr:uid="{079A9E82-772A-473D-9AA2-149E15F5087A}"/>
    <hyperlink ref="F37" r:id="rId78" xr:uid="{77EC9413-80EB-41CA-9159-CEFB59123453}"/>
    <hyperlink ref="F41" r:id="rId79" xr:uid="{86DA9388-3B07-4EC9-B59A-0935FFB4AA69}"/>
    <hyperlink ref="F36" r:id="rId80" xr:uid="{405B2A5B-BEB1-4EFD-9CD5-6F86C019A061}"/>
    <hyperlink ref="F35" r:id="rId81" xr:uid="{3EAC1255-580E-4BCF-8867-168842DA97D9}"/>
    <hyperlink ref="F42" r:id="rId82" xr:uid="{29FDC6AE-2B28-4304-A793-A895F30FE576}"/>
    <hyperlink ref="F39" r:id="rId83" xr:uid="{B9006944-EFA7-4989-96BE-3666332C7978}"/>
    <hyperlink ref="F43" r:id="rId84" xr:uid="{1EBD67EF-9A98-49D6-A773-0B88FD628C9D}"/>
    <hyperlink ref="F46" r:id="rId85" display="98 km/h" xr:uid="{465591D0-0813-4158-97F2-AE7A302156D9}"/>
    <hyperlink ref="F51" r:id="rId86" display="98 km/h" xr:uid="{25116DBB-A3D5-411E-B55D-ABFAA2FCD9D4}"/>
    <hyperlink ref="F53" r:id="rId87" display="88 km/h" xr:uid="{1FB9B51D-2155-43AB-AEF9-42B97411D7BB}"/>
    <hyperlink ref="F52" r:id="rId88" display="88 km/h" xr:uid="{4A53B6C7-6685-4F6F-AEA2-E332F2B09740}"/>
    <hyperlink ref="F47" r:id="rId89" display="87 km/h" xr:uid="{4CB8D34F-1008-4655-B7E7-90276C998FA2}"/>
    <hyperlink ref="F48" r:id="rId90" display="88 km/h" xr:uid="{59731BBF-E1DD-4E1D-8AAB-1467F62EFB79}"/>
    <hyperlink ref="F45" r:id="rId91" display="85 km/h" xr:uid="{8405A51B-1DA5-4883-9052-14A09E5B7BEF}"/>
    <hyperlink ref="F44" r:id="rId92" display="86 km/h" xr:uid="{E070EE59-1C46-46B3-A84D-D53CB1E65E0A}"/>
    <hyperlink ref="F49" r:id="rId93" display="88 km/h" xr:uid="{C308FAB9-37C5-42B5-BA08-7AC17D8FC81A}"/>
    <hyperlink ref="F50" r:id="rId94" display="102 km/h" xr:uid="{428AEC40-2510-4F0E-8C04-66486972169A}"/>
  </hyperlinks>
  <pageMargins left="0.7" right="0.7" top="0.75" bottom="0.75" header="0.3" footer="0.3"/>
  <pageSetup orientation="portrait" verticalDpi="0" r:id="rId95"/>
  <tableParts count="1">
    <tablePart r:id="rId9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4C3-4E74-43E0-82DC-2BF756EC4288}">
  <dimension ref="A1:L144"/>
  <sheetViews>
    <sheetView workbookViewId="0">
      <pane ySplit="1" topLeftCell="A128" activePane="bottomLeft" state="frozen"/>
      <selection pane="bottomLeft" activeCell="E130" sqref="E130"/>
    </sheetView>
  </sheetViews>
  <sheetFormatPr defaultRowHeight="14.5" x14ac:dyDescent="0.35"/>
  <cols>
    <col min="1" max="1" width="10.6328125" style="3" bestFit="1" customWidth="1"/>
    <col min="2" max="2" width="23.6328125" bestFit="1" customWidth="1"/>
    <col min="3" max="3" width="17.90625" bestFit="1" customWidth="1"/>
    <col min="4" max="4" width="9.54296875" bestFit="1" customWidth="1"/>
    <col min="5" max="5" width="14" style="4" bestFit="1" customWidth="1"/>
    <col min="6" max="6" width="8.81640625" style="4" customWidth="1"/>
    <col min="7" max="7" width="38.08984375" bestFit="1" customWidth="1"/>
    <col min="8" max="8" width="14" bestFit="1" customWidth="1"/>
    <col min="9" max="9" width="38.08984375" bestFit="1" customWidth="1"/>
    <col min="10" max="10" width="10.36328125" bestFit="1" customWidth="1"/>
    <col min="11" max="11" width="9.81640625" style="13" bestFit="1" customWidth="1"/>
    <col min="12" max="12" width="10.453125" bestFit="1" customWidth="1"/>
  </cols>
  <sheetData>
    <row r="1" spans="1:12" s="22" customFormat="1" ht="25.75" customHeight="1" x14ac:dyDescent="0.3">
      <c r="A1" s="35" t="s">
        <v>3</v>
      </c>
      <c r="B1" s="31" t="s">
        <v>4</v>
      </c>
      <c r="C1" s="31" t="s">
        <v>5</v>
      </c>
      <c r="D1" s="31" t="s">
        <v>6</v>
      </c>
      <c r="E1" s="31" t="s">
        <v>7</v>
      </c>
      <c r="F1" s="31" t="s">
        <v>33</v>
      </c>
      <c r="G1" s="31" t="s">
        <v>8</v>
      </c>
      <c r="H1" s="31" t="s">
        <v>9</v>
      </c>
      <c r="I1" s="31" t="s">
        <v>10</v>
      </c>
      <c r="J1" s="32" t="s">
        <v>11</v>
      </c>
      <c r="K1" s="33" t="s">
        <v>12</v>
      </c>
      <c r="L1" s="34" t="s">
        <v>0</v>
      </c>
    </row>
    <row r="2" spans="1:12" s="5" customFormat="1" x14ac:dyDescent="0.35">
      <c r="A2" s="36" t="s">
        <v>63</v>
      </c>
      <c r="B2" s="24" t="str">
        <f>VLOOKUP(Table4[[#This Row],[Vehicle no]],[1]Sheet2!$B:$J,4,0)</f>
        <v>ELIAH YUSUPH MPANGO</v>
      </c>
      <c r="C2" s="24" t="str">
        <f>VLOOKUP(Table4[[#This Row],[Vehicle no]],[1]Sheet2!$B:$J,9,0)</f>
        <v>IRENE SHIJA</v>
      </c>
      <c r="D2" s="24"/>
      <c r="E2" s="26" t="s">
        <v>168</v>
      </c>
      <c r="F2" s="26" t="str">
        <f t="shared" ref="F2:F33" si="0">LEFT(E:E,10)</f>
        <v>2025-11-05</v>
      </c>
      <c r="G2" s="24" t="s">
        <v>112</v>
      </c>
      <c r="H2" s="26" t="s">
        <v>169</v>
      </c>
      <c r="I2" s="24" t="s">
        <v>116</v>
      </c>
      <c r="J2" s="27" t="s">
        <v>170</v>
      </c>
      <c r="K2" s="28">
        <v>310.623628</v>
      </c>
      <c r="L2" s="37" t="s">
        <v>32</v>
      </c>
    </row>
    <row r="3" spans="1:12" s="5" customFormat="1" x14ac:dyDescent="0.35">
      <c r="A3" s="36" t="s">
        <v>108</v>
      </c>
      <c r="B3" s="24" t="str">
        <f>VLOOKUP(Table4[[#This Row],[Vehicle no]],[1]Sheet2!$B:$J,4,0)</f>
        <v>YUSUF ALLY MAWIMBI</v>
      </c>
      <c r="C3" s="24" t="str">
        <f>VLOOKUP(Table4[[#This Row],[Vehicle no]],[1]Sheet2!$B:$J,9,0)</f>
        <v>IRENE SHIJA</v>
      </c>
      <c r="D3" s="24"/>
      <c r="E3" s="26" t="s">
        <v>294</v>
      </c>
      <c r="F3" s="26" t="str">
        <f t="shared" si="0"/>
        <v>2025-12-08</v>
      </c>
      <c r="G3" s="24" t="s">
        <v>118</v>
      </c>
      <c r="H3" s="26" t="s">
        <v>295</v>
      </c>
      <c r="I3" s="24" t="s">
        <v>296</v>
      </c>
      <c r="J3" s="27" t="s">
        <v>297</v>
      </c>
      <c r="K3" s="28">
        <v>160.33632299999999</v>
      </c>
      <c r="L3" s="37" t="s">
        <v>32</v>
      </c>
    </row>
    <row r="4" spans="1:12" s="5" customFormat="1" x14ac:dyDescent="0.35">
      <c r="A4" s="36" t="s">
        <v>200</v>
      </c>
      <c r="B4" s="24" t="str">
        <f>VLOOKUP(Table4[[#This Row],[Vehicle no]],[1]Sheet2!$B:$J,4,0)</f>
        <v>ABDALLAH SAIDI RAMADHANI</v>
      </c>
      <c r="C4" s="24" t="str">
        <f>VLOOKUP(Table4[[#This Row],[Vehicle no]],[1]Sheet2!$B:$J,9,0)</f>
        <v>LUSAJO KASUNGA</v>
      </c>
      <c r="D4" s="24"/>
      <c r="E4" s="26" t="s">
        <v>298</v>
      </c>
      <c r="F4" s="26" t="str">
        <f t="shared" si="0"/>
        <v>2025-12-08</v>
      </c>
      <c r="G4" s="24" t="s">
        <v>299</v>
      </c>
      <c r="H4" s="26" t="s">
        <v>300</v>
      </c>
      <c r="I4" s="24" t="s">
        <v>301</v>
      </c>
      <c r="J4" s="27" t="s">
        <v>302</v>
      </c>
      <c r="K4" s="28">
        <v>212.578058</v>
      </c>
      <c r="L4" s="37" t="s">
        <v>32</v>
      </c>
    </row>
    <row r="5" spans="1:12" s="5" customFormat="1" x14ac:dyDescent="0.35">
      <c r="A5" s="36" t="s">
        <v>194</v>
      </c>
      <c r="B5" s="24">
        <f>VLOOKUP(Table4[[#This Row],[Vehicle no]],[1]Sheet2!$B:$J,4,0)</f>
        <v>0</v>
      </c>
      <c r="C5" s="24" t="str">
        <f>VLOOKUP(Table4[[#This Row],[Vehicle no]],[1]Sheet2!$B:$J,9,0)</f>
        <v>Martha GOLODI</v>
      </c>
      <c r="D5" s="24">
        <f>VLOOKUP(Table4[[#This Row],[Vehicle no]],[1]Sheet2!$B:$J,8,0)</f>
        <v>0</v>
      </c>
      <c r="E5" s="26" t="s">
        <v>303</v>
      </c>
      <c r="F5" s="26" t="str">
        <f t="shared" si="0"/>
        <v>2025-12-08</v>
      </c>
      <c r="G5" s="24" t="s">
        <v>299</v>
      </c>
      <c r="H5" s="26" t="s">
        <v>304</v>
      </c>
      <c r="I5" s="24" t="s">
        <v>305</v>
      </c>
      <c r="J5" s="27" t="s">
        <v>306</v>
      </c>
      <c r="K5" s="28">
        <v>447.02779399999997</v>
      </c>
      <c r="L5" s="37" t="s">
        <v>32</v>
      </c>
    </row>
    <row r="6" spans="1:12" s="5" customFormat="1" x14ac:dyDescent="0.35">
      <c r="A6" s="36" t="s">
        <v>185</v>
      </c>
      <c r="B6" s="24" t="str">
        <f>VLOOKUP(Table4[[#This Row],[Vehicle no]],[1]Sheet2!$B:$J,4,0)</f>
        <v>LOCAL</v>
      </c>
      <c r="C6" s="24" t="str">
        <f>VLOOKUP(Table4[[#This Row],[Vehicle no]],[1]Sheet2!$B:$J,9,0)</f>
        <v>PLASDUS MAHUMBA</v>
      </c>
      <c r="D6" s="24"/>
      <c r="E6" s="26" t="s">
        <v>307</v>
      </c>
      <c r="F6" s="26" t="str">
        <f t="shared" si="0"/>
        <v>2025-12-08</v>
      </c>
      <c r="G6" s="24" t="s">
        <v>131</v>
      </c>
      <c r="H6" s="26" t="s">
        <v>308</v>
      </c>
      <c r="I6" s="24" t="s">
        <v>112</v>
      </c>
      <c r="J6" s="27" t="s">
        <v>309</v>
      </c>
      <c r="K6" s="28">
        <v>44.336284999999997</v>
      </c>
      <c r="L6" s="37" t="s">
        <v>32</v>
      </c>
    </row>
    <row r="7" spans="1:12" s="5" customFormat="1" x14ac:dyDescent="0.35">
      <c r="A7" s="36" t="s">
        <v>195</v>
      </c>
      <c r="B7" s="24" t="str">
        <f>VLOOKUP(Table4[[#This Row],[Vehicle no]],[1]Sheet2!$B:$J,4,0)</f>
        <v>ALLY MBARAKA ALLY</v>
      </c>
      <c r="C7" s="24" t="str">
        <f>VLOOKUP(Table4[[#This Row],[Vehicle no]],[1]Sheet2!$B:$J,9,0)</f>
        <v>Martha GOLODI</v>
      </c>
      <c r="D7" s="24">
        <f>VLOOKUP(Table4[[#This Row],[Vehicle no]],[1]Sheet2!$B:$J,8,0)</f>
        <v>112705767</v>
      </c>
      <c r="E7" s="26" t="s">
        <v>310</v>
      </c>
      <c r="F7" s="26" t="str">
        <f t="shared" si="0"/>
        <v>2025-12-08</v>
      </c>
      <c r="G7" s="24" t="s">
        <v>118</v>
      </c>
      <c r="H7" s="26" t="s">
        <v>311</v>
      </c>
      <c r="I7" s="24" t="s">
        <v>112</v>
      </c>
      <c r="J7" s="27" t="s">
        <v>312</v>
      </c>
      <c r="K7" s="28">
        <v>240.744933</v>
      </c>
      <c r="L7" s="37" t="s">
        <v>32</v>
      </c>
    </row>
    <row r="8" spans="1:12" s="5" customFormat="1" x14ac:dyDescent="0.35">
      <c r="A8" s="36" t="s">
        <v>136</v>
      </c>
      <c r="B8" s="24" t="str">
        <f>VLOOKUP(Table4[[#This Row],[Vehicle no]],[1]Sheet2!$B:$J,4,0)</f>
        <v>JOHN NICHOLAUS MASSAWE</v>
      </c>
      <c r="C8" s="24" t="str">
        <f>VLOOKUP(Table4[[#This Row],[Vehicle no]],[1]Sheet2!$B:$J,9,0)</f>
        <v>IRENE SHIJA</v>
      </c>
      <c r="D8" s="24"/>
      <c r="E8" s="26" t="s">
        <v>313</v>
      </c>
      <c r="F8" s="26" t="str">
        <f t="shared" si="0"/>
        <v>2025-12-11</v>
      </c>
      <c r="G8" s="24" t="s">
        <v>42</v>
      </c>
      <c r="H8" s="26" t="s">
        <v>314</v>
      </c>
      <c r="I8" s="24" t="s">
        <v>42</v>
      </c>
      <c r="J8" s="27" t="s">
        <v>315</v>
      </c>
      <c r="K8" s="28">
        <v>10.448693</v>
      </c>
      <c r="L8" s="37" t="s">
        <v>1</v>
      </c>
    </row>
    <row r="9" spans="1:12" s="5" customFormat="1" x14ac:dyDescent="0.35">
      <c r="A9" s="36" t="s">
        <v>227</v>
      </c>
      <c r="B9" s="24" t="str">
        <f>VLOOKUP(Table4[[#This Row],[Vehicle no]],[1]Sheet2!$B:$J,4,0)</f>
        <v>JUMA ATHUMANI MTENGUKA</v>
      </c>
      <c r="C9" s="24" t="str">
        <f>VLOOKUP(Table4[[#This Row],[Vehicle no]],[1]Sheet2!$B:$J,9,0)</f>
        <v>Ayoub BENESTA</v>
      </c>
      <c r="D9" s="24">
        <f>VLOOKUP(Table4[[#This Row],[Vehicle no]],[1]Sheet2!$B:$J,8,0)</f>
        <v>119402905</v>
      </c>
      <c r="E9" s="26" t="s">
        <v>316</v>
      </c>
      <c r="F9" s="26" t="str">
        <f t="shared" si="0"/>
        <v>2025-12-11</v>
      </c>
      <c r="G9" s="24" t="s">
        <v>42</v>
      </c>
      <c r="H9" s="26" t="s">
        <v>317</v>
      </c>
      <c r="I9" s="24" t="s">
        <v>42</v>
      </c>
      <c r="J9" s="27" t="s">
        <v>318</v>
      </c>
      <c r="K9" s="28">
        <v>10.263168</v>
      </c>
      <c r="L9" s="37" t="s">
        <v>1</v>
      </c>
    </row>
    <row r="10" spans="1:12" s="5" customFormat="1" x14ac:dyDescent="0.35">
      <c r="A10" s="36" t="s">
        <v>51</v>
      </c>
      <c r="B10" s="24" t="str">
        <f>VLOOKUP(Table4[[#This Row],[Vehicle no]],[1]Sheet2!$B:$J,4,0)</f>
        <v>ISMAIL KISANDU RUBASHA</v>
      </c>
      <c r="C10" s="24" t="str">
        <f>VLOOKUP(Table4[[#This Row],[Vehicle no]],[1]Sheet2!$B:$J,9,0)</f>
        <v>SADI KIMWAGA</v>
      </c>
      <c r="D10" s="24"/>
      <c r="E10" s="26" t="s">
        <v>319</v>
      </c>
      <c r="F10" s="26" t="str">
        <f t="shared" si="0"/>
        <v>2025-12-11</v>
      </c>
      <c r="G10" s="24" t="s">
        <v>320</v>
      </c>
      <c r="H10" s="26" t="s">
        <v>321</v>
      </c>
      <c r="I10" s="24" t="s">
        <v>322</v>
      </c>
      <c r="J10" s="27" t="s">
        <v>323</v>
      </c>
      <c r="K10" s="28">
        <v>230.86238399999999</v>
      </c>
      <c r="L10" s="37" t="s">
        <v>32</v>
      </c>
    </row>
    <row r="11" spans="1:12" s="5" customFormat="1" x14ac:dyDescent="0.35">
      <c r="A11" s="36" t="s">
        <v>88</v>
      </c>
      <c r="B11" s="24" t="str">
        <f>VLOOKUP(Table4[[#This Row],[Vehicle no]],[1]Sheet2!$B:$J,4,0)</f>
        <v>OMARY SAID MTAJI</v>
      </c>
      <c r="C11" s="24" t="str">
        <f>VLOOKUP(Table4[[#This Row],[Vehicle no]],[1]Sheet2!$B:$J,9,0)</f>
        <v>SADI KIMWAGA</v>
      </c>
      <c r="D11" s="24"/>
      <c r="E11" s="26" t="s">
        <v>324</v>
      </c>
      <c r="F11" s="26" t="str">
        <f t="shared" si="0"/>
        <v>2025-12-11</v>
      </c>
      <c r="G11" s="24" t="s">
        <v>42</v>
      </c>
      <c r="H11" s="26" t="s">
        <v>325</v>
      </c>
      <c r="I11" s="24" t="s">
        <v>42</v>
      </c>
      <c r="J11" s="27" t="s">
        <v>326</v>
      </c>
      <c r="K11" s="28">
        <v>10.672359</v>
      </c>
      <c r="L11" s="37" t="s">
        <v>1</v>
      </c>
    </row>
    <row r="12" spans="1:12" s="5" customFormat="1" x14ac:dyDescent="0.35">
      <c r="A12" s="36" t="s">
        <v>89</v>
      </c>
      <c r="B12" s="24" t="str">
        <f>VLOOKUP(Table4[[#This Row],[Vehicle no]],[1]Sheet2!$B:$J,4,0)</f>
        <v>ISSA MOHAMED KIMWAGA</v>
      </c>
      <c r="C12" s="24" t="str">
        <f>VLOOKUP(Table4[[#This Row],[Vehicle no]],[1]Sheet2!$B:$J,9,0)</f>
        <v>SADI KIMWAGA</v>
      </c>
      <c r="D12" s="24" t="str">
        <f>VLOOKUP(Table4[[#This Row],[Vehicle no]],[1]Sheet2!$B:$J,8,0)</f>
        <v>117-626-539</v>
      </c>
      <c r="E12" s="26" t="s">
        <v>327</v>
      </c>
      <c r="F12" s="26" t="str">
        <f t="shared" si="0"/>
        <v>2025-12-11</v>
      </c>
      <c r="G12" s="24" t="s">
        <v>42</v>
      </c>
      <c r="H12" s="26" t="s">
        <v>328</v>
      </c>
      <c r="I12" s="24" t="s">
        <v>42</v>
      </c>
      <c r="J12" s="27" t="s">
        <v>329</v>
      </c>
      <c r="K12" s="28">
        <v>10.600410999999999</v>
      </c>
      <c r="L12" s="37" t="s">
        <v>1</v>
      </c>
    </row>
    <row r="13" spans="1:12" s="5" customFormat="1" x14ac:dyDescent="0.35">
      <c r="A13" s="36" t="s">
        <v>78</v>
      </c>
      <c r="B13" s="24" t="str">
        <f>VLOOKUP(Table4[[#This Row],[Vehicle no]],[1]Sheet2!$B:$J,4,0)</f>
        <v>MOHAMED SAID HAKUNGWA</v>
      </c>
      <c r="C13" s="24" t="str">
        <f>VLOOKUP(Table4[[#This Row],[Vehicle no]],[1]Sheet2!$B:$J,9,0)</f>
        <v>IRENE SHIJA</v>
      </c>
      <c r="D13" s="24" t="str">
        <f>VLOOKUP(Table4[[#This Row],[Vehicle no]],[1]Sheet2!$B:$J,8,0)</f>
        <v>113-254-319</v>
      </c>
      <c r="E13" s="26" t="s">
        <v>330</v>
      </c>
      <c r="F13" s="26" t="str">
        <f t="shared" si="0"/>
        <v>2025-12-12</v>
      </c>
      <c r="G13" s="24" t="s">
        <v>331</v>
      </c>
      <c r="H13" s="26" t="s">
        <v>332</v>
      </c>
      <c r="I13" s="24" t="s">
        <v>333</v>
      </c>
      <c r="J13" s="27" t="s">
        <v>334</v>
      </c>
      <c r="K13" s="28">
        <v>59.231285</v>
      </c>
      <c r="L13" s="37" t="s">
        <v>32</v>
      </c>
    </row>
    <row r="14" spans="1:12" s="5" customFormat="1" x14ac:dyDescent="0.35">
      <c r="A14" s="36" t="s">
        <v>215</v>
      </c>
      <c r="B14" s="24" t="str">
        <f>VLOOKUP(Table4[[#This Row],[Vehicle no]],[1]Sheet2!$B:$J,4,0)</f>
        <v>DIMALETI NELSON MWAMBIPILE</v>
      </c>
      <c r="C14" s="24" t="str">
        <f>VLOOKUP(Table4[[#This Row],[Vehicle no]],[1]Sheet2!$B:$J,9,0)</f>
        <v>SADI KIMWAGA</v>
      </c>
      <c r="D14" s="24"/>
      <c r="E14" s="26" t="s">
        <v>335</v>
      </c>
      <c r="F14" s="26" t="str">
        <f t="shared" si="0"/>
        <v>2025-12-12</v>
      </c>
      <c r="G14" s="24" t="s">
        <v>336</v>
      </c>
      <c r="H14" s="26" t="s">
        <v>337</v>
      </c>
      <c r="I14" s="24" t="s">
        <v>226</v>
      </c>
      <c r="J14" s="27" t="s">
        <v>338</v>
      </c>
      <c r="K14" s="28">
        <v>35.146008999999999</v>
      </c>
      <c r="L14" s="37" t="s">
        <v>32</v>
      </c>
    </row>
    <row r="15" spans="1:12" s="5" customFormat="1" x14ac:dyDescent="0.35">
      <c r="A15" s="36" t="s">
        <v>190</v>
      </c>
      <c r="B15" s="24" t="str">
        <f>VLOOKUP(Table4[[#This Row],[Vehicle no]],[1]Sheet2!$B:$J,4,0)</f>
        <v>JAMES JOSEPH NJAU</v>
      </c>
      <c r="C15" s="24" t="str">
        <f>VLOOKUP(Table4[[#This Row],[Vehicle no]],[1]Sheet2!$B:$J,9,0)</f>
        <v>IRENE SHIJA</v>
      </c>
      <c r="D15" s="24" t="str">
        <f>VLOOKUP(Table4[[#This Row],[Vehicle no]],[1]Sheet2!$B:$J,8,0)</f>
        <v>118-477-685</v>
      </c>
      <c r="E15" s="26" t="s">
        <v>339</v>
      </c>
      <c r="F15" s="26" t="str">
        <f t="shared" si="0"/>
        <v>2025-12-12</v>
      </c>
      <c r="G15" s="24" t="s">
        <v>118</v>
      </c>
      <c r="H15" s="26" t="s">
        <v>340</v>
      </c>
      <c r="I15" s="24" t="s">
        <v>115</v>
      </c>
      <c r="J15" s="27" t="s">
        <v>341</v>
      </c>
      <c r="K15" s="28">
        <v>406.02940599999999</v>
      </c>
      <c r="L15" s="37" t="s">
        <v>32</v>
      </c>
    </row>
    <row r="16" spans="1:12" s="5" customFormat="1" x14ac:dyDescent="0.35">
      <c r="A16" s="36" t="s">
        <v>231</v>
      </c>
      <c r="B16" s="24" t="str">
        <f>VLOOKUP(Table4[[#This Row],[Vehicle no]],[1]Sheet2!$B:$J,4,0)</f>
        <v>OMARY SEIF MGUBIRI</v>
      </c>
      <c r="C16" s="24" t="str">
        <f>VLOOKUP(Table4[[#This Row],[Vehicle no]],[1]Sheet2!$B:$J,9,0)</f>
        <v>Ayoub BENESTA</v>
      </c>
      <c r="D16" s="24" t="str">
        <f>VLOOKUP(Table4[[#This Row],[Vehicle no]],[1]Sheet2!$B:$J,8,0)</f>
        <v>118-408-829</v>
      </c>
      <c r="E16" s="26" t="s">
        <v>342</v>
      </c>
      <c r="F16" s="26" t="str">
        <f t="shared" si="0"/>
        <v>2025-12-12</v>
      </c>
      <c r="G16" s="24" t="s">
        <v>111</v>
      </c>
      <c r="H16" s="26" t="s">
        <v>343</v>
      </c>
      <c r="I16" s="24" t="s">
        <v>118</v>
      </c>
      <c r="J16" s="27" t="s">
        <v>344</v>
      </c>
      <c r="K16" s="28">
        <v>75.318943000000004</v>
      </c>
      <c r="L16" s="37" t="s">
        <v>32</v>
      </c>
    </row>
    <row r="17" spans="1:12" s="5" customFormat="1" x14ac:dyDescent="0.35">
      <c r="A17" s="36" t="s">
        <v>270</v>
      </c>
      <c r="B17" s="24" t="str">
        <f>VLOOKUP(Table4[[#This Row],[Vehicle no]],[1]Sheet2!$B:$J,4,0)</f>
        <v>DENIS MUHAGAMA KAPINGA</v>
      </c>
      <c r="C17" s="24" t="str">
        <f>VLOOKUP(Table4[[#This Row],[Vehicle no]],[1]Sheet2!$B:$J,9,0)</f>
        <v>SADI KIMWAGA</v>
      </c>
      <c r="D17" s="24" t="str">
        <f>VLOOKUP(Table4[[#This Row],[Vehicle no]],[1]Sheet2!$B:$J,8,0)</f>
        <v>116-325-268</v>
      </c>
      <c r="E17" s="26" t="s">
        <v>345</v>
      </c>
      <c r="F17" s="26" t="str">
        <f t="shared" si="0"/>
        <v>2025-12-12</v>
      </c>
      <c r="G17" s="24" t="s">
        <v>305</v>
      </c>
      <c r="H17" s="26" t="s">
        <v>346</v>
      </c>
      <c r="I17" s="24" t="s">
        <v>347</v>
      </c>
      <c r="J17" s="27" t="s">
        <v>348</v>
      </c>
      <c r="K17" s="28">
        <v>54.516919000000001</v>
      </c>
      <c r="L17" s="37" t="s">
        <v>32</v>
      </c>
    </row>
    <row r="18" spans="1:12" s="5" customFormat="1" x14ac:dyDescent="0.35">
      <c r="A18" s="36" t="s">
        <v>129</v>
      </c>
      <c r="B18" s="24" t="str">
        <f>VLOOKUP(Table4[[#This Row],[Vehicle no]],[1]Sheet2!$B:$J,4,0)</f>
        <v>GERVAS STEPHEN MWANGOSI</v>
      </c>
      <c r="C18" s="24" t="str">
        <f>VLOOKUP(Table4[[#This Row],[Vehicle no]],[1]Sheet2!$B:$J,9,0)</f>
        <v>LUSAJO KASUNGA</v>
      </c>
      <c r="D18" s="24"/>
      <c r="E18" s="26" t="s">
        <v>349</v>
      </c>
      <c r="F18" s="26" t="str">
        <f t="shared" si="0"/>
        <v>2025-12-12</v>
      </c>
      <c r="G18" s="24" t="s">
        <v>350</v>
      </c>
      <c r="H18" s="26" t="s">
        <v>351</v>
      </c>
      <c r="I18" s="24" t="s">
        <v>118</v>
      </c>
      <c r="J18" s="27" t="s">
        <v>352</v>
      </c>
      <c r="K18" s="28">
        <v>146.889636</v>
      </c>
      <c r="L18" s="37" t="s">
        <v>32</v>
      </c>
    </row>
    <row r="19" spans="1:12" s="5" customFormat="1" x14ac:dyDescent="0.35">
      <c r="A19" s="36" t="s">
        <v>106</v>
      </c>
      <c r="B19" s="24" t="str">
        <f>VLOOKUP(Table4[[#This Row],[Vehicle no]],[1]Sheet2!$B:$J,4,0)</f>
        <v>MAKERE GACHUMA MAKERE</v>
      </c>
      <c r="C19" s="24" t="str">
        <f>VLOOKUP(Table4[[#This Row],[Vehicle no]],[1]Sheet2!$B:$J,9,0)</f>
        <v>Martha GOLODI</v>
      </c>
      <c r="D19" s="24">
        <f>VLOOKUP(Table4[[#This Row],[Vehicle no]],[1]Sheet2!$B:$J,8,0)</f>
        <v>111992398</v>
      </c>
      <c r="E19" s="26" t="s">
        <v>353</v>
      </c>
      <c r="F19" s="26" t="str">
        <f t="shared" si="0"/>
        <v>2025-12-12</v>
      </c>
      <c r="G19" s="24" t="s">
        <v>354</v>
      </c>
      <c r="H19" s="26" t="s">
        <v>355</v>
      </c>
      <c r="I19" s="24" t="s">
        <v>131</v>
      </c>
      <c r="J19" s="27" t="s">
        <v>356</v>
      </c>
      <c r="K19" s="28">
        <v>391.38638700000001</v>
      </c>
      <c r="L19" s="37" t="s">
        <v>32</v>
      </c>
    </row>
    <row r="20" spans="1:12" s="5" customFormat="1" x14ac:dyDescent="0.35">
      <c r="A20" s="36" t="s">
        <v>357</v>
      </c>
      <c r="B20" s="24" t="str">
        <f>VLOOKUP(Table4[[#This Row],[Vehicle no]],[1]Sheet2!$B:$J,4,0)</f>
        <v>BRUNO WILLY MWAJILA</v>
      </c>
      <c r="C20" s="24" t="str">
        <f>VLOOKUP(Table4[[#This Row],[Vehicle no]],[1]Sheet2!$B:$J,9,0)</f>
        <v>Martha GOLODI</v>
      </c>
      <c r="D20" s="24" t="str">
        <f>VLOOKUP(Table4[[#This Row],[Vehicle no]],[1]Sheet2!$B:$J,8,0)</f>
        <v>126-452-225</v>
      </c>
      <c r="E20" s="26" t="s">
        <v>358</v>
      </c>
      <c r="F20" s="26" t="str">
        <f t="shared" si="0"/>
        <v>2025-12-13</v>
      </c>
      <c r="G20" s="24" t="s">
        <v>118</v>
      </c>
      <c r="H20" s="26" t="s">
        <v>359</v>
      </c>
      <c r="I20" s="24" t="s">
        <v>360</v>
      </c>
      <c r="J20" s="27" t="s">
        <v>361</v>
      </c>
      <c r="K20" s="28">
        <v>74.128510000000006</v>
      </c>
      <c r="L20" s="37" t="s">
        <v>32</v>
      </c>
    </row>
    <row r="21" spans="1:12" s="5" customFormat="1" x14ac:dyDescent="0.35">
      <c r="A21" s="36" t="s">
        <v>362</v>
      </c>
      <c r="B21" s="24" t="str">
        <f>VLOOKUP(Table4[[#This Row],[Vehicle no]],[1]Sheet2!$B:$J,4,0)</f>
        <v>MOHAMED MAKANDA MUHOGO</v>
      </c>
      <c r="C21" s="24" t="str">
        <f>VLOOKUP(Table4[[#This Row],[Vehicle no]],[1]Sheet2!$B:$J,9,0)</f>
        <v>Ayoub BENESTA</v>
      </c>
      <c r="D21" s="24">
        <f>VLOOKUP(Table4[[#This Row],[Vehicle no]],[1]Sheet2!$B:$J,8,0)</f>
        <v>122904229</v>
      </c>
      <c r="E21" s="26" t="s">
        <v>363</v>
      </c>
      <c r="F21" s="26" t="str">
        <f t="shared" si="0"/>
        <v>2025-12-13</v>
      </c>
      <c r="G21" s="24" t="s">
        <v>126</v>
      </c>
      <c r="H21" s="26" t="s">
        <v>364</v>
      </c>
      <c r="I21" s="24" t="s">
        <v>131</v>
      </c>
      <c r="J21" s="27" t="s">
        <v>365</v>
      </c>
      <c r="K21" s="28">
        <v>121.42974100000001</v>
      </c>
      <c r="L21" s="37" t="s">
        <v>32</v>
      </c>
    </row>
    <row r="22" spans="1:12" s="5" customFormat="1" x14ac:dyDescent="0.35">
      <c r="A22" s="36" t="s">
        <v>236</v>
      </c>
      <c r="B22" s="24" t="str">
        <f>VLOOKUP(Table4[[#This Row],[Vehicle no]],[1]Sheet2!$B:$J,4,0)</f>
        <v>ISAYA JOHN MSENA</v>
      </c>
      <c r="C22" s="24" t="str">
        <f>VLOOKUP(Table4[[#This Row],[Vehicle no]],[1]Sheet2!$B:$J,9,0)</f>
        <v>IRENE SHIJA</v>
      </c>
      <c r="D22" s="24">
        <f>VLOOKUP(Table4[[#This Row],[Vehicle no]],[1]Sheet2!$B:$J,8,0)</f>
        <v>113485485</v>
      </c>
      <c r="E22" s="26" t="s">
        <v>366</v>
      </c>
      <c r="F22" s="26" t="str">
        <f t="shared" si="0"/>
        <v>2025-12-13</v>
      </c>
      <c r="G22" s="24" t="s">
        <v>112</v>
      </c>
      <c r="H22" s="26" t="s">
        <v>367</v>
      </c>
      <c r="I22" s="24" t="s">
        <v>305</v>
      </c>
      <c r="J22" s="27" t="s">
        <v>368</v>
      </c>
      <c r="K22" s="28">
        <v>63.914397000000001</v>
      </c>
      <c r="L22" s="37" t="s">
        <v>32</v>
      </c>
    </row>
    <row r="23" spans="1:12" s="5" customFormat="1" x14ac:dyDescent="0.35">
      <c r="A23" s="36" t="s">
        <v>286</v>
      </c>
      <c r="B23" s="24" t="str">
        <f>VLOOKUP(Table4[[#This Row],[Vehicle no]],[1]Sheet2!$B:$J,4,0)</f>
        <v>ISAYA MSHUKURU MMBANDO</v>
      </c>
      <c r="C23" s="24" t="str">
        <f>VLOOKUP(Table4[[#This Row],[Vehicle no]],[1]Sheet2!$B:$J,9,0)</f>
        <v>LUSAJO KASUNGA</v>
      </c>
      <c r="D23" s="24">
        <f>VLOOKUP(Table4[[#This Row],[Vehicle no]],[1]Sheet2!$B:$J,8,0)</f>
        <v>124048907</v>
      </c>
      <c r="E23" s="26" t="s">
        <v>369</v>
      </c>
      <c r="F23" s="26" t="str">
        <f t="shared" si="0"/>
        <v>2025-12-13</v>
      </c>
      <c r="G23" s="24" t="s">
        <v>370</v>
      </c>
      <c r="H23" s="26" t="s">
        <v>371</v>
      </c>
      <c r="I23" s="24" t="s">
        <v>305</v>
      </c>
      <c r="J23" s="27" t="s">
        <v>372</v>
      </c>
      <c r="K23" s="28">
        <v>250.11808099999999</v>
      </c>
      <c r="L23" s="37" t="s">
        <v>32</v>
      </c>
    </row>
    <row r="24" spans="1:12" s="5" customFormat="1" x14ac:dyDescent="0.35">
      <c r="A24" s="36" t="s">
        <v>72</v>
      </c>
      <c r="B24" s="24" t="str">
        <f>VLOOKUP(Table4[[#This Row],[Vehicle no]],[1]Sheet2!$B:$J,4,0)</f>
        <v>POTPHA PASCAL MTAKIMWA</v>
      </c>
      <c r="C24" s="24" t="str">
        <f>VLOOKUP(Table4[[#This Row],[Vehicle no]],[1]Sheet2!$B:$J,9,0)</f>
        <v>Ayoub BENESTA</v>
      </c>
      <c r="D24" s="24" t="str">
        <f>VLOOKUP(Table4[[#This Row],[Vehicle no]],[1]Sheet2!$B:$J,8,0)</f>
        <v>120-448-110</v>
      </c>
      <c r="E24" s="26" t="s">
        <v>373</v>
      </c>
      <c r="F24" s="26" t="str">
        <f t="shared" si="0"/>
        <v>2025-12-13</v>
      </c>
      <c r="G24" s="24" t="s">
        <v>374</v>
      </c>
      <c r="H24" s="26" t="s">
        <v>375</v>
      </c>
      <c r="I24" s="24" t="s">
        <v>376</v>
      </c>
      <c r="J24" s="27" t="s">
        <v>377</v>
      </c>
      <c r="K24" s="28">
        <v>122.06547399999999</v>
      </c>
      <c r="L24" s="37" t="s">
        <v>32</v>
      </c>
    </row>
    <row r="25" spans="1:12" s="5" customFormat="1" x14ac:dyDescent="0.35">
      <c r="A25" s="36" t="s">
        <v>281</v>
      </c>
      <c r="B25" s="24" t="str">
        <f>VLOOKUP(Table4[[#This Row],[Vehicle no]],[1]Sheet2!$B:$J,4,0)</f>
        <v>IBRAHIMU SELEMANI SENGAMBA</v>
      </c>
      <c r="C25" s="24" t="str">
        <f>VLOOKUP(Table4[[#This Row],[Vehicle no]],[1]Sheet2!$B:$J,9,0)</f>
        <v>LUSAJO KASUNGA</v>
      </c>
      <c r="D25" s="24"/>
      <c r="E25" s="26" t="s">
        <v>378</v>
      </c>
      <c r="F25" s="26" t="str">
        <f t="shared" si="0"/>
        <v>2025-12-13</v>
      </c>
      <c r="G25" s="24" t="s">
        <v>112</v>
      </c>
      <c r="H25" s="26" t="s">
        <v>379</v>
      </c>
      <c r="I25" s="24" t="s">
        <v>380</v>
      </c>
      <c r="J25" s="27" t="s">
        <v>381</v>
      </c>
      <c r="K25" s="28">
        <v>142.63509400000001</v>
      </c>
      <c r="L25" s="37" t="s">
        <v>32</v>
      </c>
    </row>
    <row r="26" spans="1:12" s="5" customFormat="1" x14ac:dyDescent="0.35">
      <c r="A26" s="36" t="s">
        <v>47</v>
      </c>
      <c r="B26" s="24" t="str">
        <f>VLOOKUP(Table4[[#This Row],[Vehicle no]],[1]Sheet2!$B:$J,4,0)</f>
        <v>JUMA KOBA SAID</v>
      </c>
      <c r="C26" s="24" t="str">
        <f>VLOOKUP(Table4[[#This Row],[Vehicle no]],[1]Sheet2!$B:$J,9,0)</f>
        <v>LUSAJO KASUNGA</v>
      </c>
      <c r="D26" s="24" t="str">
        <f>VLOOKUP(Table4[[#This Row],[Vehicle no]],[1]Sheet2!$B:$J,8,0)</f>
        <v>120-026-526</v>
      </c>
      <c r="E26" s="26" t="s">
        <v>382</v>
      </c>
      <c r="F26" s="26" t="str">
        <f t="shared" si="0"/>
        <v>2025-12-13</v>
      </c>
      <c r="G26" s="24" t="s">
        <v>118</v>
      </c>
      <c r="H26" s="26" t="s">
        <v>383</v>
      </c>
      <c r="I26" s="24" t="s">
        <v>126</v>
      </c>
      <c r="J26" s="27" t="s">
        <v>384</v>
      </c>
      <c r="K26" s="28">
        <v>76.014949000000001</v>
      </c>
      <c r="L26" s="37" t="s">
        <v>32</v>
      </c>
    </row>
    <row r="27" spans="1:12" s="5" customFormat="1" x14ac:dyDescent="0.35">
      <c r="A27" s="36" t="s">
        <v>181</v>
      </c>
      <c r="B27" s="24" t="str">
        <f>VLOOKUP(Table4[[#This Row],[Vehicle no]],[1]Sheet2!$B:$J,4,0)</f>
        <v>EZEKIEL MASANJA LUGANDU</v>
      </c>
      <c r="C27" s="24" t="str">
        <f>VLOOKUP(Table4[[#This Row],[Vehicle no]],[1]Sheet2!$B:$J,9,0)</f>
        <v>PLASDUS MAHUMBA</v>
      </c>
      <c r="D27" s="24"/>
      <c r="E27" s="26" t="s">
        <v>385</v>
      </c>
      <c r="F27" s="26" t="str">
        <f t="shared" si="0"/>
        <v>2025-12-13</v>
      </c>
      <c r="G27" s="24" t="s">
        <v>126</v>
      </c>
      <c r="H27" s="26" t="s">
        <v>386</v>
      </c>
      <c r="I27" s="24" t="s">
        <v>387</v>
      </c>
      <c r="J27" s="27" t="s">
        <v>388</v>
      </c>
      <c r="K27" s="28">
        <v>113.406888</v>
      </c>
      <c r="L27" s="37" t="s">
        <v>32</v>
      </c>
    </row>
    <row r="28" spans="1:12" s="5" customFormat="1" x14ac:dyDescent="0.35">
      <c r="A28" s="36" t="s">
        <v>258</v>
      </c>
      <c r="B28" s="24" t="str">
        <f>VLOOKUP(Table4[[#This Row],[Vehicle no]],[1]Sheet2!$B:$J,4,0)</f>
        <v>RAMADHANI SAID NCHIMBI</v>
      </c>
      <c r="C28" s="24" t="str">
        <f>VLOOKUP(Table4[[#This Row],[Vehicle no]],[1]Sheet2!$B:$J,9,0)</f>
        <v>PLASDUS MAHUMBA</v>
      </c>
      <c r="D28" s="24"/>
      <c r="E28" s="26" t="s">
        <v>389</v>
      </c>
      <c r="F28" s="26" t="str">
        <f t="shared" si="0"/>
        <v>2025-12-13</v>
      </c>
      <c r="G28" s="24" t="s">
        <v>118</v>
      </c>
      <c r="H28" s="26" t="s">
        <v>259</v>
      </c>
      <c r="I28" s="24" t="s">
        <v>260</v>
      </c>
      <c r="J28" s="27" t="s">
        <v>390</v>
      </c>
      <c r="K28" s="28">
        <v>146.65039999999999</v>
      </c>
      <c r="L28" s="37" t="s">
        <v>32</v>
      </c>
    </row>
    <row r="29" spans="1:12" s="5" customFormat="1" x14ac:dyDescent="0.35">
      <c r="A29" s="36" t="s">
        <v>72</v>
      </c>
      <c r="B29" s="24" t="str">
        <f>VLOOKUP(Table4[[#This Row],[Vehicle no]],[1]Sheet2!$B:$J,4,0)</f>
        <v>POTPHA PASCAL MTAKIMWA</v>
      </c>
      <c r="C29" s="24" t="str">
        <f>VLOOKUP(Table4[[#This Row],[Vehicle no]],[1]Sheet2!$B:$J,9,0)</f>
        <v>Ayoub BENESTA</v>
      </c>
      <c r="D29" s="24" t="str">
        <f>VLOOKUP(Table4[[#This Row],[Vehicle no]],[1]Sheet2!$B:$J,8,0)</f>
        <v>120-448-110</v>
      </c>
      <c r="E29" s="26" t="s">
        <v>391</v>
      </c>
      <c r="F29" s="26" t="str">
        <f t="shared" si="0"/>
        <v>2025-12-14</v>
      </c>
      <c r="G29" s="24" t="s">
        <v>392</v>
      </c>
      <c r="H29" s="26" t="s">
        <v>393</v>
      </c>
      <c r="I29" s="24" t="s">
        <v>305</v>
      </c>
      <c r="J29" s="27" t="s">
        <v>394</v>
      </c>
      <c r="K29" s="28">
        <v>203.05127300000001</v>
      </c>
      <c r="L29" s="37" t="s">
        <v>32</v>
      </c>
    </row>
    <row r="30" spans="1:12" s="5" customFormat="1" x14ac:dyDescent="0.35">
      <c r="A30" s="36" t="s">
        <v>267</v>
      </c>
      <c r="B30" s="24" t="str">
        <f>VLOOKUP(Table4[[#This Row],[Vehicle no]],[1]Sheet2!$B:$J,4,0)</f>
        <v>PETER BENJAMIN KINGU</v>
      </c>
      <c r="C30" s="24" t="str">
        <f>VLOOKUP(Table4[[#This Row],[Vehicle no]],[1]Sheet2!$B:$J,9,0)</f>
        <v>Ayoub BENESTA</v>
      </c>
      <c r="D30" s="24">
        <f>VLOOKUP(Table4[[#This Row],[Vehicle no]],[1]Sheet2!$B:$J,8,0)</f>
        <v>113857625</v>
      </c>
      <c r="E30" s="26" t="s">
        <v>395</v>
      </c>
      <c r="F30" s="26" t="str">
        <f t="shared" si="0"/>
        <v>2025-12-14</v>
      </c>
      <c r="G30" s="24" t="s">
        <v>117</v>
      </c>
      <c r="H30" s="26" t="s">
        <v>396</v>
      </c>
      <c r="I30" s="24" t="s">
        <v>397</v>
      </c>
      <c r="J30" s="27" t="s">
        <v>398</v>
      </c>
      <c r="K30" s="28">
        <v>43.931033999999997</v>
      </c>
      <c r="L30" s="37" t="s">
        <v>32</v>
      </c>
    </row>
    <row r="31" spans="1:12" s="5" customFormat="1" x14ac:dyDescent="0.35">
      <c r="A31" s="36" t="s">
        <v>54</v>
      </c>
      <c r="B31" s="24" t="str">
        <f>VLOOKUP(Table4[[#This Row],[Vehicle no]],[1]Sheet2!$B:$J,4,0)</f>
        <v>ALLY SAID MANDINGO</v>
      </c>
      <c r="C31" s="24" t="str">
        <f>VLOOKUP(Table4[[#This Row],[Vehicle no]],[1]Sheet2!$B:$J,9,0)</f>
        <v>LUSAJO KASUNGA</v>
      </c>
      <c r="D31" s="24" t="str">
        <f>VLOOKUP(Table4[[#This Row],[Vehicle no]],[1]Sheet2!$B:$J,8,0)</f>
        <v>115-904-280</v>
      </c>
      <c r="E31" s="26" t="s">
        <v>399</v>
      </c>
      <c r="F31" s="26" t="str">
        <f t="shared" si="0"/>
        <v>2025-12-15</v>
      </c>
      <c r="G31" s="24" t="s">
        <v>350</v>
      </c>
      <c r="H31" s="26" t="s">
        <v>400</v>
      </c>
      <c r="I31" s="24" t="s">
        <v>126</v>
      </c>
      <c r="J31" s="27" t="s">
        <v>401</v>
      </c>
      <c r="K31" s="28">
        <v>222.41073600000001</v>
      </c>
      <c r="L31" s="37" t="s">
        <v>32</v>
      </c>
    </row>
    <row r="32" spans="1:12" s="5" customFormat="1" x14ac:dyDescent="0.35">
      <c r="A32" s="36" t="s">
        <v>66</v>
      </c>
      <c r="B32" s="24" t="str">
        <f>VLOOKUP(Table4[[#This Row],[Vehicle no]],[1]Sheet2!$B:$J,4,0)</f>
        <v>NASIBU SAIDY GUBWE</v>
      </c>
      <c r="C32" s="24" t="str">
        <f>VLOOKUP(Table4[[#This Row],[Vehicle no]],[1]Sheet2!$B:$J,9,0)</f>
        <v>LUSAJO KASUNGA</v>
      </c>
      <c r="D32" s="24" t="str">
        <f>VLOOKUP(Table4[[#This Row],[Vehicle no]],[1]Sheet2!$B:$J,8,0)</f>
        <v>144-695-674</v>
      </c>
      <c r="E32" s="26" t="s">
        <v>402</v>
      </c>
      <c r="F32" s="26" t="str">
        <f t="shared" si="0"/>
        <v>2025-12-15</v>
      </c>
      <c r="G32" s="24" t="s">
        <v>114</v>
      </c>
      <c r="H32" s="26" t="s">
        <v>403</v>
      </c>
      <c r="I32" s="24" t="s">
        <v>132</v>
      </c>
      <c r="J32" s="27" t="s">
        <v>404</v>
      </c>
      <c r="K32" s="28">
        <v>54.517226999999998</v>
      </c>
      <c r="L32" s="37" t="s">
        <v>32</v>
      </c>
    </row>
    <row r="33" spans="1:12" s="5" customFormat="1" x14ac:dyDescent="0.35">
      <c r="A33" s="36" t="s">
        <v>405</v>
      </c>
      <c r="B33" s="24" t="str">
        <f>VLOOKUP(Table4[[#This Row],[Vehicle no]],[1]Sheet2!$B:$J,4,0)</f>
        <v>HAFIDHI ABDALLAH NASSIR</v>
      </c>
      <c r="C33" s="24" t="str">
        <f>VLOOKUP(Table4[[#This Row],[Vehicle no]],[1]Sheet2!$B:$J,9,0)</f>
        <v>PLASDUS MAHUMBA</v>
      </c>
      <c r="D33" s="24"/>
      <c r="E33" s="26" t="s">
        <v>406</v>
      </c>
      <c r="F33" s="26" t="str">
        <f t="shared" si="0"/>
        <v>2025-12-15</v>
      </c>
      <c r="G33" s="24" t="s">
        <v>407</v>
      </c>
      <c r="H33" s="26" t="s">
        <v>408</v>
      </c>
      <c r="I33" s="24" t="s">
        <v>132</v>
      </c>
      <c r="J33" s="27" t="s">
        <v>409</v>
      </c>
      <c r="K33" s="28">
        <v>58.772666999999998</v>
      </c>
      <c r="L33" s="37" t="s">
        <v>32</v>
      </c>
    </row>
    <row r="34" spans="1:12" s="5" customFormat="1" x14ac:dyDescent="0.35">
      <c r="A34" s="36" t="s">
        <v>221</v>
      </c>
      <c r="B34" s="24" t="str">
        <f>VLOOKUP(Table4[[#This Row],[Vehicle no]],[1]Sheet2!$B:$J,4,0)</f>
        <v>SEIF AMARY HAMAD</v>
      </c>
      <c r="C34" s="24" t="str">
        <f>VLOOKUP(Table4[[#This Row],[Vehicle no]],[1]Sheet2!$B:$J,9,0)</f>
        <v>IRENE SHIJA</v>
      </c>
      <c r="D34" s="24" t="str">
        <f>VLOOKUP(Table4[[#This Row],[Vehicle no]],[1]Sheet2!$B:$J,8,0)</f>
        <v>121-656-582</v>
      </c>
      <c r="E34" s="26" t="s">
        <v>410</v>
      </c>
      <c r="F34" s="26" t="str">
        <f t="shared" ref="F34:F65" si="1">LEFT(E:E,10)</f>
        <v>2025-12-15</v>
      </c>
      <c r="G34" s="24" t="s">
        <v>350</v>
      </c>
      <c r="H34" s="26" t="s">
        <v>411</v>
      </c>
      <c r="I34" s="24" t="s">
        <v>117</v>
      </c>
      <c r="J34" s="27" t="s">
        <v>412</v>
      </c>
      <c r="K34" s="28">
        <v>147.39236600000001</v>
      </c>
      <c r="L34" s="37" t="s">
        <v>32</v>
      </c>
    </row>
    <row r="35" spans="1:12" s="5" customFormat="1" x14ac:dyDescent="0.35">
      <c r="A35" s="36" t="s">
        <v>253</v>
      </c>
      <c r="B35" s="24" t="str">
        <f>VLOOKUP(Table4[[#This Row],[Vehicle no]],[1]Sheet2!$B:$J,4,0)</f>
        <v>AHMED SHAMSHU MOHAMED</v>
      </c>
      <c r="C35" s="24" t="str">
        <f>VLOOKUP(Table4[[#This Row],[Vehicle no]],[1]Sheet2!$B:$J,9,0)</f>
        <v>Ayoub BENESTA</v>
      </c>
      <c r="D35" s="24" t="str">
        <f>VLOOKUP(Table4[[#This Row],[Vehicle no]],[1]Sheet2!$B:$J,8,0)</f>
        <v>116-005-034</v>
      </c>
      <c r="E35" s="26" t="s">
        <v>413</v>
      </c>
      <c r="F35" s="26" t="str">
        <f t="shared" si="1"/>
        <v>2025-12-15</v>
      </c>
      <c r="G35" s="24" t="s">
        <v>414</v>
      </c>
      <c r="H35" s="26" t="s">
        <v>415</v>
      </c>
      <c r="I35" s="24" t="s">
        <v>416</v>
      </c>
      <c r="J35" s="27" t="s">
        <v>417</v>
      </c>
      <c r="K35" s="28">
        <v>23.925775999999999</v>
      </c>
      <c r="L35" s="37" t="s">
        <v>1</v>
      </c>
    </row>
    <row r="36" spans="1:12" s="5" customFormat="1" x14ac:dyDescent="0.35">
      <c r="A36" s="36" t="s">
        <v>418</v>
      </c>
      <c r="B36" s="24" t="str">
        <f>VLOOKUP(Table4[[#This Row],[Vehicle no]],[1]Sheet2!$B:$J,4,0)</f>
        <v>SALUM KITENGE ALLY</v>
      </c>
      <c r="C36" s="24" t="str">
        <f>VLOOKUP(Table4[[#This Row],[Vehicle no]],[1]Sheet2!$B:$J,9,0)</f>
        <v>SADI KIMWAGA</v>
      </c>
      <c r="D36" s="24" t="str">
        <f>VLOOKUP(Table4[[#This Row],[Vehicle no]],[1]Sheet2!$B:$J,8,0)</f>
        <v>114-626-732</v>
      </c>
      <c r="E36" s="26" t="s">
        <v>419</v>
      </c>
      <c r="F36" s="26" t="str">
        <f t="shared" si="1"/>
        <v>2025-12-15</v>
      </c>
      <c r="G36" s="24" t="s">
        <v>420</v>
      </c>
      <c r="H36" s="26" t="s">
        <v>421</v>
      </c>
      <c r="I36" s="24" t="s">
        <v>347</v>
      </c>
      <c r="J36" s="27" t="s">
        <v>422</v>
      </c>
      <c r="K36" s="28">
        <v>60.929727</v>
      </c>
      <c r="L36" s="37" t="s">
        <v>1</v>
      </c>
    </row>
    <row r="37" spans="1:12" s="5" customFormat="1" x14ac:dyDescent="0.35">
      <c r="A37" s="36" t="s">
        <v>98</v>
      </c>
      <c r="B37" s="24"/>
      <c r="C37" s="24"/>
      <c r="D37" s="24"/>
      <c r="E37" s="26" t="s">
        <v>437</v>
      </c>
      <c r="F37" s="26" t="str">
        <f t="shared" si="1"/>
        <v>2025-12-16</v>
      </c>
      <c r="G37" s="24" t="s">
        <v>112</v>
      </c>
      <c r="H37" s="26" t="s">
        <v>438</v>
      </c>
      <c r="I37" s="24" t="s">
        <v>439</v>
      </c>
      <c r="J37" s="27" t="s">
        <v>440</v>
      </c>
      <c r="K37" s="28">
        <v>62.275067999999997</v>
      </c>
      <c r="L37" s="37" t="s">
        <v>32</v>
      </c>
    </row>
    <row r="38" spans="1:12" s="5" customFormat="1" x14ac:dyDescent="0.35">
      <c r="A38" s="36" t="s">
        <v>113</v>
      </c>
      <c r="B38" s="24" t="str">
        <f>VLOOKUP(Table4[[#This Row],[Vehicle no]],[1]Sheet2!$B:$J,4,0)</f>
        <v>MUSSA MASASI MRINDOKO</v>
      </c>
      <c r="C38" s="24" t="str">
        <f>VLOOKUP(Table4[[#This Row],[Vehicle no]],[1]Sheet2!$B:$J,9,0)</f>
        <v>IRENE SHIJA</v>
      </c>
      <c r="D38" s="24"/>
      <c r="E38" s="26" t="s">
        <v>441</v>
      </c>
      <c r="F38" s="26" t="str">
        <f t="shared" si="1"/>
        <v>2025-12-16</v>
      </c>
      <c r="G38" s="24" t="s">
        <v>442</v>
      </c>
      <c r="H38" s="26" t="s">
        <v>443</v>
      </c>
      <c r="I38" s="24" t="s">
        <v>444</v>
      </c>
      <c r="J38" s="27" t="s">
        <v>445</v>
      </c>
      <c r="K38" s="28">
        <v>118.03503600000001</v>
      </c>
      <c r="L38" s="37" t="s">
        <v>32</v>
      </c>
    </row>
    <row r="39" spans="1:12" s="5" customFormat="1" x14ac:dyDescent="0.35">
      <c r="A39" s="36" t="s">
        <v>54</v>
      </c>
      <c r="B39" s="24" t="str">
        <f>VLOOKUP(Table4[[#This Row],[Vehicle no]],[1]Sheet2!$B:$J,4,0)</f>
        <v>ALLY SAID MANDINGO</v>
      </c>
      <c r="C39" s="24" t="str">
        <f>VLOOKUP(Table4[[#This Row],[Vehicle no]],[1]Sheet2!$B:$J,9,0)</f>
        <v>LUSAJO KASUNGA</v>
      </c>
      <c r="D39" s="24" t="str">
        <f>VLOOKUP(Table4[[#This Row],[Vehicle no]],[1]Sheet2!$B:$J,8,0)</f>
        <v>115-904-280</v>
      </c>
      <c r="E39" s="26" t="s">
        <v>446</v>
      </c>
      <c r="F39" s="26" t="str">
        <f t="shared" si="1"/>
        <v>2025-12-16</v>
      </c>
      <c r="G39" s="24" t="s">
        <v>112</v>
      </c>
      <c r="H39" s="26" t="s">
        <v>447</v>
      </c>
      <c r="I39" s="24" t="s">
        <v>448</v>
      </c>
      <c r="J39" s="27" t="s">
        <v>449</v>
      </c>
      <c r="K39" s="28">
        <v>93.449494000000001</v>
      </c>
      <c r="L39" s="37" t="s">
        <v>32</v>
      </c>
    </row>
    <row r="40" spans="1:12" s="5" customFormat="1" x14ac:dyDescent="0.35">
      <c r="A40" s="36" t="s">
        <v>215</v>
      </c>
      <c r="B40" s="24" t="str">
        <f>VLOOKUP(Table4[[#This Row],[Vehicle no]],[1]Sheet2!$B:$J,4,0)</f>
        <v>DIMALETI NELSON MWAMBIPILE</v>
      </c>
      <c r="C40" s="24" t="str">
        <f>VLOOKUP(Table4[[#This Row],[Vehicle no]],[1]Sheet2!$B:$J,9,0)</f>
        <v>SADI KIMWAGA</v>
      </c>
      <c r="D40" s="24"/>
      <c r="E40" s="26" t="s">
        <v>450</v>
      </c>
      <c r="F40" s="26" t="str">
        <f t="shared" si="1"/>
        <v>2025-12-16</v>
      </c>
      <c r="G40" s="24" t="s">
        <v>360</v>
      </c>
      <c r="H40" s="26" t="s">
        <v>451</v>
      </c>
      <c r="I40" s="24" t="s">
        <v>305</v>
      </c>
      <c r="J40" s="27" t="s">
        <v>452</v>
      </c>
      <c r="K40" s="28">
        <v>53.338915</v>
      </c>
      <c r="L40" s="37" t="s">
        <v>32</v>
      </c>
    </row>
    <row r="41" spans="1:12" s="5" customFormat="1" x14ac:dyDescent="0.35">
      <c r="A41" s="36" t="s">
        <v>73</v>
      </c>
      <c r="B41" s="24" t="str">
        <f>VLOOKUP(Table4[[#This Row],[Vehicle no]],[1]Sheet2!$B:$J,4,0)</f>
        <v>YAHYA HASSANI ADAM</v>
      </c>
      <c r="C41" s="24" t="str">
        <f>VLOOKUP(Table4[[#This Row],[Vehicle no]],[1]Sheet2!$B:$J,9,0)</f>
        <v>Martha GOLODI</v>
      </c>
      <c r="D41" s="24"/>
      <c r="E41" s="26" t="s">
        <v>453</v>
      </c>
      <c r="F41" s="26" t="str">
        <f t="shared" si="1"/>
        <v>2025-12-16</v>
      </c>
      <c r="G41" s="24" t="s">
        <v>118</v>
      </c>
      <c r="H41" s="26" t="s">
        <v>454</v>
      </c>
      <c r="I41" s="24" t="s">
        <v>305</v>
      </c>
      <c r="J41" s="27" t="s">
        <v>455</v>
      </c>
      <c r="K41" s="28">
        <v>46.443035999999999</v>
      </c>
      <c r="L41" s="37" t="s">
        <v>32</v>
      </c>
    </row>
    <row r="42" spans="1:12" s="5" customFormat="1" x14ac:dyDescent="0.35">
      <c r="A42" s="36" t="s">
        <v>104</v>
      </c>
      <c r="B42" s="24" t="str">
        <f>VLOOKUP(Table4[[#This Row],[Vehicle no]],[1]Sheet2!$B:$J,4,0)</f>
        <v>MANENO MOHAMED KAKIMA</v>
      </c>
      <c r="C42" s="24" t="str">
        <f>VLOOKUP(Table4[[#This Row],[Vehicle no]],[1]Sheet2!$B:$J,9,0)</f>
        <v>PLASDUS MAHUMBA</v>
      </c>
      <c r="D42" s="24" t="str">
        <f>VLOOKUP(Table4[[#This Row],[Vehicle no]],[1]Sheet2!$B:$J,8,0)</f>
        <v>120-607-456</v>
      </c>
      <c r="E42" s="26" t="s">
        <v>456</v>
      </c>
      <c r="F42" s="26" t="str">
        <f t="shared" si="1"/>
        <v>2025-12-16</v>
      </c>
      <c r="G42" s="24" t="s">
        <v>397</v>
      </c>
      <c r="H42" s="26" t="s">
        <v>457</v>
      </c>
      <c r="I42" s="24" t="s">
        <v>118</v>
      </c>
      <c r="J42" s="27" t="s">
        <v>458</v>
      </c>
      <c r="K42" s="28">
        <v>108.91116599999999</v>
      </c>
      <c r="L42" s="37" t="s">
        <v>32</v>
      </c>
    </row>
    <row r="43" spans="1:12" s="5" customFormat="1" x14ac:dyDescent="0.35">
      <c r="A43" s="36" t="s">
        <v>180</v>
      </c>
      <c r="B43" s="24" t="str">
        <f>VLOOKUP(Table4[[#This Row],[Vehicle no]],[1]Sheet2!$B:$J,4,0)</f>
        <v>HAMADI RASHID DOWILE</v>
      </c>
      <c r="C43" s="24" t="str">
        <f>VLOOKUP(Table4[[#This Row],[Vehicle no]],[1]Sheet2!$B:$J,9,0)</f>
        <v>IRENE SHIJA</v>
      </c>
      <c r="D43" s="24"/>
      <c r="E43" s="26" t="s">
        <v>459</v>
      </c>
      <c r="F43" s="26" t="str">
        <f t="shared" si="1"/>
        <v>2025-12-16</v>
      </c>
      <c r="G43" s="24" t="s">
        <v>123</v>
      </c>
      <c r="H43" s="26" t="s">
        <v>460</v>
      </c>
      <c r="I43" s="24" t="s">
        <v>350</v>
      </c>
      <c r="J43" s="27" t="s">
        <v>461</v>
      </c>
      <c r="K43" s="28">
        <v>242.526059</v>
      </c>
      <c r="L43" s="37" t="s">
        <v>32</v>
      </c>
    </row>
    <row r="44" spans="1:12" s="5" customFormat="1" x14ac:dyDescent="0.35">
      <c r="A44" s="36" t="s">
        <v>74</v>
      </c>
      <c r="B44" s="24" t="str">
        <f>VLOOKUP(Table4[[#This Row],[Vehicle no]],[1]Sheet2!$B:$J,4,0)</f>
        <v>MARTIN PAUL MPINGA</v>
      </c>
      <c r="C44" s="24" t="str">
        <f>VLOOKUP(Table4[[#This Row],[Vehicle no]],[1]Sheet2!$B:$J,9,0)</f>
        <v>LUSAJO KASUNGA</v>
      </c>
      <c r="D44" s="24"/>
      <c r="E44" s="26" t="s">
        <v>462</v>
      </c>
      <c r="F44" s="26" t="str">
        <f t="shared" si="1"/>
        <v>2025-12-16</v>
      </c>
      <c r="G44" s="24" t="s">
        <v>112</v>
      </c>
      <c r="H44" s="26" t="s">
        <v>463</v>
      </c>
      <c r="I44" s="24" t="s">
        <v>305</v>
      </c>
      <c r="J44" s="27" t="s">
        <v>464</v>
      </c>
      <c r="K44" s="28">
        <v>53.441285999999998</v>
      </c>
      <c r="L44" s="37" t="s">
        <v>32</v>
      </c>
    </row>
    <row r="45" spans="1:12" s="5" customFormat="1" x14ac:dyDescent="0.35">
      <c r="A45" s="36" t="s">
        <v>465</v>
      </c>
      <c r="B45" s="24" t="str">
        <f>VLOOKUP(Table4[[#This Row],[Vehicle no]],[1]Sheet2!$B:$J,4,0)</f>
        <v>HAMUDU MAJID MARUZUKU</v>
      </c>
      <c r="C45" s="24" t="str">
        <f>VLOOKUP(Table4[[#This Row],[Vehicle no]],[1]Sheet2!$B:$J,9,0)</f>
        <v>PLASDUS MAHUMBA</v>
      </c>
      <c r="D45" s="24"/>
      <c r="E45" s="26" t="s">
        <v>466</v>
      </c>
      <c r="F45" s="26" t="str">
        <f t="shared" si="1"/>
        <v>2025-12-16</v>
      </c>
      <c r="G45" s="24" t="s">
        <v>320</v>
      </c>
      <c r="H45" s="26" t="s">
        <v>467</v>
      </c>
      <c r="I45" s="24" t="s">
        <v>397</v>
      </c>
      <c r="J45" s="27" t="s">
        <v>468</v>
      </c>
      <c r="K45" s="28">
        <v>155.27661699999999</v>
      </c>
      <c r="L45" s="37" t="s">
        <v>32</v>
      </c>
    </row>
    <row r="46" spans="1:12" s="5" customFormat="1" x14ac:dyDescent="0.35">
      <c r="A46" s="36" t="s">
        <v>429</v>
      </c>
      <c r="B46" s="24" t="str">
        <f>VLOOKUP(Table4[[#This Row],[Vehicle no]],[1]Sheet2!$B:$J,4,0)</f>
        <v>JOSEPH SEBASTIAN FULGENCE</v>
      </c>
      <c r="C46" s="24" t="str">
        <f>VLOOKUP(Table4[[#This Row],[Vehicle no]],[1]Sheet2!$B:$J,9,0)</f>
        <v>PLASDUS MAHUMBA</v>
      </c>
      <c r="D46" s="24">
        <f>VLOOKUP(Table4[[#This Row],[Vehicle no]],[1]Sheet2!$B:$J,8,0)</f>
        <v>119289718</v>
      </c>
      <c r="E46" s="26" t="s">
        <v>469</v>
      </c>
      <c r="F46" s="26" t="str">
        <f t="shared" si="1"/>
        <v>2025-12-16</v>
      </c>
      <c r="G46" s="24" t="s">
        <v>442</v>
      </c>
      <c r="H46" s="26" t="s">
        <v>470</v>
      </c>
      <c r="I46" s="24" t="s">
        <v>471</v>
      </c>
      <c r="J46" s="27" t="s">
        <v>472</v>
      </c>
      <c r="K46" s="28">
        <v>63.252614000000001</v>
      </c>
      <c r="L46" s="37" t="s">
        <v>32</v>
      </c>
    </row>
    <row r="47" spans="1:12" s="5" customFormat="1" x14ac:dyDescent="0.35">
      <c r="A47" s="36" t="s">
        <v>151</v>
      </c>
      <c r="B47" s="24" t="str">
        <f>VLOOKUP(Table4[[#This Row],[Vehicle no]],[1]Sheet2!$B:$J,4,0)</f>
        <v>NASIBU HOSENI MWAHEMBA</v>
      </c>
      <c r="C47" s="24" t="str">
        <f>VLOOKUP(Table4[[#This Row],[Vehicle no]],[1]Sheet2!$B:$J,9,0)</f>
        <v>Ayoub BENESTA</v>
      </c>
      <c r="D47" s="24" t="str">
        <f>VLOOKUP(Table4[[#This Row],[Vehicle no]],[1]Sheet2!$B:$J,8,0)</f>
        <v>127-601-623</v>
      </c>
      <c r="E47" s="26" t="s">
        <v>473</v>
      </c>
      <c r="F47" s="26" t="str">
        <f t="shared" si="1"/>
        <v>2025-12-16</v>
      </c>
      <c r="G47" s="24" t="s">
        <v>111</v>
      </c>
      <c r="H47" s="26" t="s">
        <v>474</v>
      </c>
      <c r="I47" s="24" t="s">
        <v>159</v>
      </c>
      <c r="J47" s="27" t="s">
        <v>475</v>
      </c>
      <c r="K47" s="28">
        <v>117.14623</v>
      </c>
      <c r="L47" s="37" t="s">
        <v>32</v>
      </c>
    </row>
    <row r="48" spans="1:12" s="5" customFormat="1" x14ac:dyDescent="0.35">
      <c r="A48" s="36" t="s">
        <v>220</v>
      </c>
      <c r="B48" s="24" t="str">
        <f>VLOOKUP(Table4[[#This Row],[Vehicle no]],[1]Sheet2!$B:$J,4,0)</f>
        <v>ISSACK KONRADI KASIANO</v>
      </c>
      <c r="C48" s="24" t="str">
        <f>VLOOKUP(Table4[[#This Row],[Vehicle no]],[1]Sheet2!$B:$J,9,0)</f>
        <v>SADI KIMWAGA</v>
      </c>
      <c r="D48" s="24" t="str">
        <f>VLOOKUP(Table4[[#This Row],[Vehicle no]],[1]Sheet2!$B:$J,8,0)</f>
        <v>115-570-633</v>
      </c>
      <c r="E48" s="26" t="s">
        <v>476</v>
      </c>
      <c r="F48" s="26" t="str">
        <f t="shared" si="1"/>
        <v>2025-12-16</v>
      </c>
      <c r="G48" s="24" t="s">
        <v>397</v>
      </c>
      <c r="H48" s="26" t="s">
        <v>477</v>
      </c>
      <c r="I48" s="24" t="s">
        <v>118</v>
      </c>
      <c r="J48" s="27" t="s">
        <v>478</v>
      </c>
      <c r="K48" s="28">
        <v>108.942999</v>
      </c>
      <c r="L48" s="37" t="s">
        <v>32</v>
      </c>
    </row>
    <row r="49" spans="1:12" s="5" customFormat="1" x14ac:dyDescent="0.35">
      <c r="A49" s="36" t="s">
        <v>221</v>
      </c>
      <c r="B49" s="24" t="str">
        <f>VLOOKUP(Table4[[#This Row],[Vehicle no]],[1]Sheet2!$B:$J,4,0)</f>
        <v>SEIF AMARY HAMAD</v>
      </c>
      <c r="C49" s="24" t="str">
        <f>VLOOKUP(Table4[[#This Row],[Vehicle no]],[1]Sheet2!$B:$J,9,0)</f>
        <v>IRENE SHIJA</v>
      </c>
      <c r="D49" s="24" t="str">
        <f>VLOOKUP(Table4[[#This Row],[Vehicle no]],[1]Sheet2!$B:$J,8,0)</f>
        <v>121-656-582</v>
      </c>
      <c r="E49" s="26" t="s">
        <v>479</v>
      </c>
      <c r="F49" s="26" t="str">
        <f t="shared" si="1"/>
        <v>2025-12-16</v>
      </c>
      <c r="G49" s="24" t="s">
        <v>117</v>
      </c>
      <c r="H49" s="26" t="s">
        <v>480</v>
      </c>
      <c r="I49" s="24" t="s">
        <v>117</v>
      </c>
      <c r="J49" s="27" t="s">
        <v>481</v>
      </c>
      <c r="K49" s="28">
        <v>0.107756</v>
      </c>
      <c r="L49" s="37" t="s">
        <v>32</v>
      </c>
    </row>
    <row r="50" spans="1:12" s="5" customFormat="1" x14ac:dyDescent="0.35">
      <c r="A50" s="36" t="s">
        <v>92</v>
      </c>
      <c r="B50" s="24" t="str">
        <f>VLOOKUP(Table4[[#This Row],[Vehicle no]],[1]Sheet2!$B:$J,4,0)</f>
        <v>SHABANI HARUNA SEMENTA</v>
      </c>
      <c r="C50" s="24" t="str">
        <f>VLOOKUP(Table4[[#This Row],[Vehicle no]],[1]Sheet2!$B:$J,9,0)</f>
        <v>IRENE SHIJA</v>
      </c>
      <c r="D50" s="24"/>
      <c r="E50" s="26" t="s">
        <v>482</v>
      </c>
      <c r="F50" s="26" t="str">
        <f t="shared" si="1"/>
        <v>2025-12-16</v>
      </c>
      <c r="G50" s="24" t="s">
        <v>483</v>
      </c>
      <c r="H50" s="26" t="s">
        <v>484</v>
      </c>
      <c r="I50" s="24" t="s">
        <v>305</v>
      </c>
      <c r="J50" s="27" t="s">
        <v>485</v>
      </c>
      <c r="K50" s="28">
        <v>332.70789200000002</v>
      </c>
      <c r="L50" s="37" t="s">
        <v>32</v>
      </c>
    </row>
    <row r="51" spans="1:12" s="5" customFormat="1" x14ac:dyDescent="0.35">
      <c r="A51" s="36" t="s">
        <v>104</v>
      </c>
      <c r="B51" s="24" t="str">
        <f>VLOOKUP(Table4[[#This Row],[Vehicle no]],[1]Sheet2!$B:$J,4,0)</f>
        <v>MANENO MOHAMED KAKIMA</v>
      </c>
      <c r="C51" s="24" t="str">
        <f>VLOOKUP(Table4[[#This Row],[Vehicle no]],[1]Sheet2!$B:$J,9,0)</f>
        <v>PLASDUS MAHUMBA</v>
      </c>
      <c r="D51" s="24" t="str">
        <f>VLOOKUP(Table4[[#This Row],[Vehicle no]],[1]Sheet2!$B:$J,8,0)</f>
        <v>120-607-456</v>
      </c>
      <c r="E51" s="26" t="s">
        <v>515</v>
      </c>
      <c r="F51" s="26" t="str">
        <f t="shared" si="1"/>
        <v>2025-12-17</v>
      </c>
      <c r="G51" s="24" t="s">
        <v>516</v>
      </c>
      <c r="H51" s="26" t="s">
        <v>517</v>
      </c>
      <c r="I51" s="24" t="s">
        <v>305</v>
      </c>
      <c r="J51" s="27" t="s">
        <v>518</v>
      </c>
      <c r="K51" s="28">
        <v>34.915393999999999</v>
      </c>
      <c r="L51" s="37" t="s">
        <v>32</v>
      </c>
    </row>
    <row r="52" spans="1:12" s="5" customFormat="1" x14ac:dyDescent="0.35">
      <c r="A52" s="36" t="s">
        <v>432</v>
      </c>
      <c r="B52" s="24" t="str">
        <f>VLOOKUP(Table4[[#This Row],[Vehicle no]],[1]Sheet2!$B:$J,4,0)</f>
        <v>FADHILI SAIDI MTULILA</v>
      </c>
      <c r="C52" s="24" t="str">
        <f>VLOOKUP(Table4[[#This Row],[Vehicle no]],[1]Sheet2!$B:$J,9,0)</f>
        <v>IRENE SHIJA</v>
      </c>
      <c r="D52" s="24"/>
      <c r="E52" s="26" t="s">
        <v>519</v>
      </c>
      <c r="F52" s="26" t="str">
        <f t="shared" si="1"/>
        <v>2025-12-17</v>
      </c>
      <c r="G52" s="24" t="s">
        <v>131</v>
      </c>
      <c r="H52" s="26" t="s">
        <v>520</v>
      </c>
      <c r="I52" s="24" t="s">
        <v>112</v>
      </c>
      <c r="J52" s="27" t="s">
        <v>521</v>
      </c>
      <c r="K52" s="28">
        <v>44.282147999999999</v>
      </c>
      <c r="L52" s="37" t="s">
        <v>32</v>
      </c>
    </row>
    <row r="53" spans="1:12" s="5" customFormat="1" x14ac:dyDescent="0.35">
      <c r="A53" s="36" t="s">
        <v>522</v>
      </c>
      <c r="B53" s="24" t="str">
        <f>VLOOKUP(Table4[[#This Row],[Vehicle no]],[1]Sheet2!$B:$J,4,0)</f>
        <v>HAMISI ABDALLAH HAMISI</v>
      </c>
      <c r="C53" s="24" t="str">
        <f>VLOOKUP(Table4[[#This Row],[Vehicle no]],[1]Sheet2!$B:$J,9,0)</f>
        <v>Martha GOLODI</v>
      </c>
      <c r="D53" s="24"/>
      <c r="E53" s="26" t="s">
        <v>523</v>
      </c>
      <c r="F53" s="26" t="str">
        <f t="shared" si="1"/>
        <v>2025-12-17</v>
      </c>
      <c r="G53" s="24" t="s">
        <v>524</v>
      </c>
      <c r="H53" s="26" t="s">
        <v>525</v>
      </c>
      <c r="I53" s="24" t="s">
        <v>188</v>
      </c>
      <c r="J53" s="27" t="s">
        <v>526</v>
      </c>
      <c r="K53" s="28">
        <v>12.807361</v>
      </c>
      <c r="L53" s="37" t="s">
        <v>32</v>
      </c>
    </row>
    <row r="54" spans="1:12" s="5" customFormat="1" x14ac:dyDescent="0.35">
      <c r="A54" s="36" t="s">
        <v>465</v>
      </c>
      <c r="B54" s="24" t="str">
        <f>VLOOKUP(Table4[[#This Row],[Vehicle no]],[1]Sheet2!$B:$J,4,0)</f>
        <v>HAMUDU MAJID MARUZUKU</v>
      </c>
      <c r="C54" s="24" t="str">
        <f>VLOOKUP(Table4[[#This Row],[Vehicle no]],[1]Sheet2!$B:$J,9,0)</f>
        <v>PLASDUS MAHUMBA</v>
      </c>
      <c r="D54" s="24"/>
      <c r="E54" s="26" t="s">
        <v>527</v>
      </c>
      <c r="F54" s="26" t="str">
        <f t="shared" si="1"/>
        <v>2025-12-17</v>
      </c>
      <c r="G54" s="24" t="s">
        <v>131</v>
      </c>
      <c r="H54" s="26" t="s">
        <v>528</v>
      </c>
      <c r="I54" s="24" t="s">
        <v>112</v>
      </c>
      <c r="J54" s="27" t="s">
        <v>529</v>
      </c>
      <c r="K54" s="28">
        <v>44.274293999999998</v>
      </c>
      <c r="L54" s="37" t="s">
        <v>32</v>
      </c>
    </row>
    <row r="55" spans="1:12" s="5" customFormat="1" x14ac:dyDescent="0.35">
      <c r="A55" s="36" t="s">
        <v>530</v>
      </c>
      <c r="B55" s="24" t="str">
        <f>VLOOKUP(Table4[[#This Row],[Vehicle no]],[1]Sheet2!$B:$J,4,0)</f>
        <v>MTAVYA BAKARI MTAVYA</v>
      </c>
      <c r="C55" s="24" t="str">
        <f>VLOOKUP(Table4[[#This Row],[Vehicle no]],[1]Sheet2!$B:$J,9,0)</f>
        <v>IRENE SHIJA</v>
      </c>
      <c r="D55" s="24">
        <f>VLOOKUP(Table4[[#This Row],[Vehicle no]],[1]Sheet2!$B:$J,8,0)</f>
        <v>116290170</v>
      </c>
      <c r="E55" s="26" t="s">
        <v>531</v>
      </c>
      <c r="F55" s="26" t="str">
        <f t="shared" si="1"/>
        <v>2025-12-17</v>
      </c>
      <c r="G55" s="24" t="s">
        <v>524</v>
      </c>
      <c r="H55" s="26" t="s">
        <v>532</v>
      </c>
      <c r="I55" s="24" t="s">
        <v>119</v>
      </c>
      <c r="J55" s="27" t="s">
        <v>533</v>
      </c>
      <c r="K55" s="28">
        <v>12.827775000000001</v>
      </c>
      <c r="L55" s="37" t="s">
        <v>32</v>
      </c>
    </row>
    <row r="56" spans="1:12" s="5" customFormat="1" x14ac:dyDescent="0.35">
      <c r="A56" s="36" t="s">
        <v>220</v>
      </c>
      <c r="B56" s="24" t="str">
        <f>VLOOKUP(Table4[[#This Row],[Vehicle no]],[1]Sheet2!$B:$J,4,0)</f>
        <v>ISSACK KONRADI KASIANO</v>
      </c>
      <c r="C56" s="24" t="str">
        <f>VLOOKUP(Table4[[#This Row],[Vehicle no]],[1]Sheet2!$B:$J,9,0)</f>
        <v>SADI KIMWAGA</v>
      </c>
      <c r="D56" s="24" t="str">
        <f>VLOOKUP(Table4[[#This Row],[Vehicle no]],[1]Sheet2!$B:$J,8,0)</f>
        <v>115-570-633</v>
      </c>
      <c r="E56" s="26" t="s">
        <v>534</v>
      </c>
      <c r="F56" s="26" t="str">
        <f t="shared" si="1"/>
        <v>2025-12-17</v>
      </c>
      <c r="G56" s="24" t="s">
        <v>535</v>
      </c>
      <c r="H56" s="26" t="s">
        <v>536</v>
      </c>
      <c r="I56" s="24" t="s">
        <v>305</v>
      </c>
      <c r="J56" s="27" t="s">
        <v>537</v>
      </c>
      <c r="K56" s="28">
        <v>51.867216999999997</v>
      </c>
      <c r="L56" s="37" t="s">
        <v>32</v>
      </c>
    </row>
    <row r="57" spans="1:12" s="5" customFormat="1" x14ac:dyDescent="0.35">
      <c r="A57" s="36" t="s">
        <v>486</v>
      </c>
      <c r="B57" s="24" t="str">
        <f>VLOOKUP(Table4[[#This Row],[Vehicle no]],[1]Sheet2!$B:$J,4,0)</f>
        <v>MOHAMED SAID BAKILI</v>
      </c>
      <c r="C57" s="24" t="str">
        <f>VLOOKUP(Table4[[#This Row],[Vehicle no]],[1]Sheet2!$B:$J,9,0)</f>
        <v>Ayoub BENESTA</v>
      </c>
      <c r="D57" s="24" t="str">
        <f>VLOOKUP(Table4[[#This Row],[Vehicle no]],[1]Sheet2!$B:$J,8,0)</f>
        <v>134-626-356</v>
      </c>
      <c r="E57" s="26" t="s">
        <v>538</v>
      </c>
      <c r="F57" s="26" t="str">
        <f t="shared" si="1"/>
        <v>2025-12-17</v>
      </c>
      <c r="G57" s="24" t="s">
        <v>159</v>
      </c>
      <c r="H57" s="26" t="s">
        <v>539</v>
      </c>
      <c r="I57" s="24" t="s">
        <v>118</v>
      </c>
      <c r="J57" s="27" t="s">
        <v>540</v>
      </c>
      <c r="K57" s="28">
        <v>192.08577</v>
      </c>
      <c r="L57" s="37" t="s">
        <v>32</v>
      </c>
    </row>
    <row r="58" spans="1:12" s="5" customFormat="1" x14ac:dyDescent="0.35">
      <c r="A58" s="36" t="s">
        <v>489</v>
      </c>
      <c r="B58" s="24" t="str">
        <f>VLOOKUP(Table4[[#This Row],[Vehicle no]],[1]Sheet2!$B:$J,4,0)</f>
        <v>AHMED SAID LUWANDA</v>
      </c>
      <c r="C58" s="24" t="str">
        <f>VLOOKUP(Table4[[#This Row],[Vehicle no]],[1]Sheet2!$B:$J,9,0)</f>
        <v>IRENE SHIJA</v>
      </c>
      <c r="D58" s="24" t="str">
        <f>VLOOKUP(Table4[[#This Row],[Vehicle no]],[1]Sheet2!$B:$J,8,0)</f>
        <v>114-131-687</v>
      </c>
      <c r="E58" s="26" t="s">
        <v>541</v>
      </c>
      <c r="F58" s="26" t="str">
        <f t="shared" si="1"/>
        <v>2025-12-18</v>
      </c>
      <c r="G58" s="24" t="s">
        <v>542</v>
      </c>
      <c r="H58" s="26" t="s">
        <v>543</v>
      </c>
      <c r="I58" s="24" t="s">
        <v>397</v>
      </c>
      <c r="J58" s="27" t="s">
        <v>544</v>
      </c>
      <c r="K58" s="28">
        <v>96.904903000000004</v>
      </c>
      <c r="L58" s="37" t="s">
        <v>32</v>
      </c>
    </row>
    <row r="59" spans="1:12" s="5" customFormat="1" x14ac:dyDescent="0.35">
      <c r="A59" s="36" t="s">
        <v>545</v>
      </c>
      <c r="B59" s="24" t="str">
        <f>VLOOKUP(Table4[[#This Row],[Vehicle no]],[1]Sheet2!$B:$J,4,0)</f>
        <v>MUHSIN JUMA ATHUMAN</v>
      </c>
      <c r="C59" s="24" t="str">
        <f>VLOOKUP(Table4[[#This Row],[Vehicle no]],[1]Sheet2!$B:$J,9,0)</f>
        <v>PLASDUS MAHUMBA</v>
      </c>
      <c r="D59" s="24" t="str">
        <f>VLOOKUP(Table4[[#This Row],[Vehicle no]],[1]Sheet2!$B:$J,8,0)</f>
        <v>123-367-227</v>
      </c>
      <c r="E59" s="26" t="s">
        <v>546</v>
      </c>
      <c r="F59" s="26" t="str">
        <f t="shared" si="1"/>
        <v>2025-12-18</v>
      </c>
      <c r="G59" s="24" t="s">
        <v>350</v>
      </c>
      <c r="H59" s="26" t="s">
        <v>547</v>
      </c>
      <c r="I59" s="24" t="s">
        <v>305</v>
      </c>
      <c r="J59" s="27" t="s">
        <v>548</v>
      </c>
      <c r="K59" s="28">
        <v>68.340610999999996</v>
      </c>
      <c r="L59" s="37" t="s">
        <v>32</v>
      </c>
    </row>
    <row r="60" spans="1:12" s="5" customFormat="1" x14ac:dyDescent="0.35">
      <c r="A60" s="36" t="s">
        <v>241</v>
      </c>
      <c r="B60" s="24" t="str">
        <f>VLOOKUP(Table4[[#This Row],[Vehicle no]],[1]Sheet2!$B:$J,4,0)</f>
        <v>STEVEN OCTAVIAN MILANZI</v>
      </c>
      <c r="C60" s="24" t="str">
        <f>VLOOKUP(Table4[[#This Row],[Vehicle no]],[1]Sheet2!$B:$J,9,0)</f>
        <v>SADI KIMWAGA</v>
      </c>
      <c r="D60" s="24">
        <f>VLOOKUP(Table4[[#This Row],[Vehicle no]],[1]Sheet2!$B:$J,8,0)</f>
        <v>0</v>
      </c>
      <c r="E60" s="26" t="s">
        <v>549</v>
      </c>
      <c r="F60" s="26" t="str">
        <f t="shared" si="1"/>
        <v>2025-12-19</v>
      </c>
      <c r="G60" s="24" t="s">
        <v>550</v>
      </c>
      <c r="H60" s="26" t="s">
        <v>551</v>
      </c>
      <c r="I60" s="24" t="s">
        <v>552</v>
      </c>
      <c r="J60" s="27" t="s">
        <v>553</v>
      </c>
      <c r="K60" s="28">
        <v>26.537927</v>
      </c>
      <c r="L60" s="37" t="s">
        <v>32</v>
      </c>
    </row>
    <row r="61" spans="1:12" s="5" customFormat="1" x14ac:dyDescent="0.35">
      <c r="A61" s="36" t="s">
        <v>489</v>
      </c>
      <c r="B61" s="24" t="str">
        <f>VLOOKUP(Table4[[#This Row],[Vehicle no]],[1]Sheet2!$B:$J,4,0)</f>
        <v>AHMED SAID LUWANDA</v>
      </c>
      <c r="C61" s="24" t="str">
        <f>VLOOKUP(Table4[[#This Row],[Vehicle no]],[1]Sheet2!$B:$J,9,0)</f>
        <v>IRENE SHIJA</v>
      </c>
      <c r="D61" s="24" t="str">
        <f>VLOOKUP(Table4[[#This Row],[Vehicle no]],[1]Sheet2!$B:$J,8,0)</f>
        <v>114-131-687</v>
      </c>
      <c r="E61" s="26" t="s">
        <v>554</v>
      </c>
      <c r="F61" s="26" t="str">
        <f t="shared" si="1"/>
        <v>2025-12-19</v>
      </c>
      <c r="G61" s="24" t="s">
        <v>397</v>
      </c>
      <c r="H61" s="26" t="s">
        <v>555</v>
      </c>
      <c r="I61" s="24" t="s">
        <v>556</v>
      </c>
      <c r="J61" s="27" t="s">
        <v>557</v>
      </c>
      <c r="K61" s="28">
        <v>60.588228000000001</v>
      </c>
      <c r="L61" s="37" t="s">
        <v>32</v>
      </c>
    </row>
    <row r="62" spans="1:12" s="5" customFormat="1" x14ac:dyDescent="0.35">
      <c r="A62" s="36" t="s">
        <v>497</v>
      </c>
      <c r="B62" s="24" t="str">
        <f>VLOOKUP(Table4[[#This Row],[Vehicle no]],[1]Sheet2!$B:$J,4,0)</f>
        <v xml:space="preserve">HUSSEIN MALIKI MTALY </v>
      </c>
      <c r="C62" s="24" t="str">
        <f>VLOOKUP(Table4[[#This Row],[Vehicle no]],[1]Sheet2!$B:$J,9,0)</f>
        <v>LUSAJO KASUNGA</v>
      </c>
      <c r="D62" s="24"/>
      <c r="E62" s="26" t="s">
        <v>558</v>
      </c>
      <c r="F62" s="26" t="str">
        <f t="shared" si="1"/>
        <v>2025-12-19</v>
      </c>
      <c r="G62" s="24" t="s">
        <v>559</v>
      </c>
      <c r="H62" s="26" t="s">
        <v>503</v>
      </c>
      <c r="I62" s="24" t="s">
        <v>504</v>
      </c>
      <c r="J62" s="27" t="s">
        <v>560</v>
      </c>
      <c r="K62" s="28">
        <v>9.0811489999999999</v>
      </c>
      <c r="L62" s="37" t="s">
        <v>32</v>
      </c>
    </row>
    <row r="63" spans="1:12" s="5" customFormat="1" x14ac:dyDescent="0.35">
      <c r="A63" s="36" t="s">
        <v>150</v>
      </c>
      <c r="B63" s="24" t="e">
        <f>VLOOKUP(Table4[[#This Row],[Vehicle no]],[1]Sheet2!$B:$J,4,0)</f>
        <v>#N/A</v>
      </c>
      <c r="C63" s="24" t="e">
        <f>VLOOKUP(Table4[[#This Row],[Vehicle no]],[1]Sheet2!$B:$J,9,0)</f>
        <v>#N/A</v>
      </c>
      <c r="D63" s="24" t="e">
        <f>VLOOKUP(Table4[[#This Row],[Vehicle no]],[1]Sheet2!$B:$J,8,0)</f>
        <v>#N/A</v>
      </c>
      <c r="E63" s="26" t="s">
        <v>561</v>
      </c>
      <c r="F63" s="26" t="str">
        <f t="shared" si="1"/>
        <v>2025-12-21</v>
      </c>
      <c r="G63" s="24" t="s">
        <v>126</v>
      </c>
      <c r="H63" s="26" t="s">
        <v>562</v>
      </c>
      <c r="I63" s="24" t="s">
        <v>360</v>
      </c>
      <c r="J63" s="27" t="s">
        <v>563</v>
      </c>
      <c r="K63" s="28">
        <v>2.4499909999999998</v>
      </c>
      <c r="L63" s="37" t="s">
        <v>32</v>
      </c>
    </row>
    <row r="64" spans="1:12" s="5" customFormat="1" x14ac:dyDescent="0.35">
      <c r="A64" s="36" t="s">
        <v>129</v>
      </c>
      <c r="B64" s="24" t="str">
        <f>VLOOKUP(Table4[[#This Row],[Vehicle no]],[1]Sheet2!$B:$J,4,0)</f>
        <v>GERVAS STEPHEN MWANGOSI</v>
      </c>
      <c r="C64" s="24" t="str">
        <f>VLOOKUP(Table4[[#This Row],[Vehicle no]],[1]Sheet2!$B:$J,9,0)</f>
        <v>LUSAJO KASUNGA</v>
      </c>
      <c r="D64" s="24"/>
      <c r="E64" s="26" t="s">
        <v>564</v>
      </c>
      <c r="F64" s="26" t="str">
        <f t="shared" si="1"/>
        <v>2025-12-21</v>
      </c>
      <c r="G64" s="24" t="s">
        <v>565</v>
      </c>
      <c r="H64" s="26" t="s">
        <v>566</v>
      </c>
      <c r="I64" s="24" t="s">
        <v>320</v>
      </c>
      <c r="J64" s="27" t="s">
        <v>567</v>
      </c>
      <c r="K64" s="28">
        <v>108.85830799999999</v>
      </c>
      <c r="L64" s="37" t="s">
        <v>32</v>
      </c>
    </row>
    <row r="65" spans="1:12" s="5" customFormat="1" x14ac:dyDescent="0.35">
      <c r="A65" s="36" t="s">
        <v>274</v>
      </c>
      <c r="B65" s="24" t="str">
        <f>VLOOKUP(Table4[[#This Row],[Vehicle no]],[1]Sheet2!$B:$J,4,0)</f>
        <v>EZEKIEL AIZACK KIHANZA</v>
      </c>
      <c r="C65" s="24" t="str">
        <f>VLOOKUP(Table4[[#This Row],[Vehicle no]],[1]Sheet2!$B:$J,9,0)</f>
        <v>PLASDUS MAHUMBA</v>
      </c>
      <c r="D65" s="24">
        <f>VLOOKUP(Table4[[#This Row],[Vehicle no]],[1]Sheet2!$B:$J,8,0)</f>
        <v>115168665</v>
      </c>
      <c r="E65" s="26" t="s">
        <v>568</v>
      </c>
      <c r="F65" s="26" t="str">
        <f t="shared" si="1"/>
        <v>2025-12-21</v>
      </c>
      <c r="G65" s="24" t="s">
        <v>569</v>
      </c>
      <c r="H65" s="26" t="s">
        <v>570</v>
      </c>
      <c r="I65" s="24" t="s">
        <v>571</v>
      </c>
      <c r="J65" s="27" t="s">
        <v>572</v>
      </c>
      <c r="K65" s="28">
        <v>21.635770999999998</v>
      </c>
      <c r="L65" s="37" t="s">
        <v>32</v>
      </c>
    </row>
    <row r="66" spans="1:12" s="5" customFormat="1" x14ac:dyDescent="0.35">
      <c r="A66" s="36" t="s">
        <v>245</v>
      </c>
      <c r="B66" s="24" t="str">
        <f>VLOOKUP(Table4[[#This Row],[Vehicle no]],[1]Sheet2!$B:$J,4,0)</f>
        <v>GWAMAKA PETER MWASAGA</v>
      </c>
      <c r="C66" s="24" t="str">
        <f>VLOOKUP(Table4[[#This Row],[Vehicle no]],[1]Sheet2!$B:$J,9,0)</f>
        <v>PLASDUS MAHUMBA</v>
      </c>
      <c r="D66" s="24">
        <f>VLOOKUP(Table4[[#This Row],[Vehicle no]],[1]Sheet2!$B:$J,8,0)</f>
        <v>113511931</v>
      </c>
      <c r="E66" s="26" t="s">
        <v>573</v>
      </c>
      <c r="F66" s="26" t="str">
        <f t="shared" ref="F66:F97" si="2">LEFT(E:E,10)</f>
        <v>2025-12-21</v>
      </c>
      <c r="G66" s="24" t="s">
        <v>565</v>
      </c>
      <c r="H66" s="26" t="s">
        <v>574</v>
      </c>
      <c r="I66" s="24" t="s">
        <v>320</v>
      </c>
      <c r="J66" s="27" t="s">
        <v>575</v>
      </c>
      <c r="K66" s="28">
        <v>109.454043</v>
      </c>
      <c r="L66" s="37" t="s">
        <v>32</v>
      </c>
    </row>
    <row r="67" spans="1:12" s="5" customFormat="1" x14ac:dyDescent="0.35">
      <c r="A67" s="36" t="s">
        <v>425</v>
      </c>
      <c r="B67" s="24" t="str">
        <f>VLOOKUP(Table4[[#This Row],[Vehicle no]],[1]Sheet2!$B:$J,4,0)</f>
        <v>HAMIS BUNDALA IZINA</v>
      </c>
      <c r="C67" s="24" t="str">
        <f>VLOOKUP(Table4[[#This Row],[Vehicle no]],[1]Sheet2!$B:$J,9,0)</f>
        <v>PLASDUS MAHUMBA</v>
      </c>
      <c r="D67" s="24" t="str">
        <f>VLOOKUP(Table4[[#This Row],[Vehicle no]],[1]Sheet2!$B:$J,8,0)</f>
        <v>115-917-447</v>
      </c>
      <c r="E67" s="26" t="s">
        <v>576</v>
      </c>
      <c r="F67" s="26" t="str">
        <f t="shared" si="2"/>
        <v>2025-12-21</v>
      </c>
      <c r="G67" s="24" t="s">
        <v>577</v>
      </c>
      <c r="H67" s="26" t="s">
        <v>578</v>
      </c>
      <c r="I67" s="24" t="s">
        <v>350</v>
      </c>
      <c r="J67" s="27" t="s">
        <v>579</v>
      </c>
      <c r="K67" s="28">
        <v>34.106003000000001</v>
      </c>
      <c r="L67" s="37" t="s">
        <v>32</v>
      </c>
    </row>
    <row r="68" spans="1:12" s="5" customFormat="1" x14ac:dyDescent="0.35">
      <c r="A68" s="36" t="s">
        <v>177</v>
      </c>
      <c r="B68" s="24" t="str">
        <f>VLOOKUP(Table4[[#This Row],[Vehicle no]],[1]Sheet2!$B:$J,4,0)</f>
        <v>JAPHARY NASSORO JAPHARY</v>
      </c>
      <c r="C68" s="24" t="str">
        <f>VLOOKUP(Table4[[#This Row],[Vehicle no]],[1]Sheet2!$B:$J,9,0)</f>
        <v>Martha GOLODI</v>
      </c>
      <c r="D68" s="24"/>
      <c r="E68" s="26" t="s">
        <v>580</v>
      </c>
      <c r="F68" s="26" t="str">
        <f t="shared" si="2"/>
        <v>2025-12-21</v>
      </c>
      <c r="G68" s="24" t="s">
        <v>581</v>
      </c>
      <c r="H68" s="26" t="s">
        <v>582</v>
      </c>
      <c r="I68" s="24" t="s">
        <v>583</v>
      </c>
      <c r="J68" s="27" t="s">
        <v>584</v>
      </c>
      <c r="K68" s="28">
        <v>86.581147000000001</v>
      </c>
      <c r="L68" s="37" t="s">
        <v>32</v>
      </c>
    </row>
    <row r="69" spans="1:12" s="5" customFormat="1" x14ac:dyDescent="0.35">
      <c r="A69" s="36" t="s">
        <v>508</v>
      </c>
      <c r="B69" s="24" t="str">
        <f>VLOOKUP(Table4[[#This Row],[Vehicle no]],[1]Sheet2!$B:$J,4,0)</f>
        <v>ZAIDI HUSSEIN ATHUMANI</v>
      </c>
      <c r="C69" s="24" t="str">
        <f>VLOOKUP(Table4[[#This Row],[Vehicle no]],[1]Sheet2!$B:$J,9,0)</f>
        <v>Ayoub BENESTA</v>
      </c>
      <c r="D69" s="24">
        <f>VLOOKUP(Table4[[#This Row],[Vehicle no]],[1]Sheet2!$B:$J,8,0)</f>
        <v>114135704</v>
      </c>
      <c r="E69" s="26" t="s">
        <v>624</v>
      </c>
      <c r="F69" s="26" t="str">
        <f t="shared" si="2"/>
        <v>2025-12-22</v>
      </c>
      <c r="G69" s="24" t="s">
        <v>625</v>
      </c>
      <c r="H69" s="26" t="s">
        <v>626</v>
      </c>
      <c r="I69" s="24" t="s">
        <v>138</v>
      </c>
      <c r="J69" s="27" t="s">
        <v>627</v>
      </c>
      <c r="K69" s="28">
        <v>28.766401999999999</v>
      </c>
      <c r="L69" s="37" t="s">
        <v>32</v>
      </c>
    </row>
    <row r="70" spans="1:12" s="5" customFormat="1" x14ac:dyDescent="0.35">
      <c r="A70" s="36" t="s">
        <v>586</v>
      </c>
      <c r="B70" s="24" t="str">
        <f>VLOOKUP(Table4[[#This Row],[Vehicle no]],[1]Sheet2!$B:$J,4,0)</f>
        <v>FARAJA COSMAS THOMAS</v>
      </c>
      <c r="C70" s="24" t="str">
        <f>VLOOKUP(Table4[[#This Row],[Vehicle no]],[1]Sheet2!$B:$J,9,0)</f>
        <v>LUSAJO KASUNGA</v>
      </c>
      <c r="D70" s="24">
        <f>VLOOKUP(Table4[[#This Row],[Vehicle no]],[1]Sheet2!$B:$J,8,0)</f>
        <v>132843198</v>
      </c>
      <c r="E70" s="26" t="s">
        <v>628</v>
      </c>
      <c r="F70" s="26" t="str">
        <f t="shared" si="2"/>
        <v>2025-12-22</v>
      </c>
      <c r="G70" s="24" t="s">
        <v>629</v>
      </c>
      <c r="H70" s="26" t="s">
        <v>630</v>
      </c>
      <c r="I70" s="24" t="s">
        <v>631</v>
      </c>
      <c r="J70" s="27" t="s">
        <v>632</v>
      </c>
      <c r="K70" s="28">
        <v>2.1904530000000002</v>
      </c>
      <c r="L70" s="37" t="s">
        <v>1</v>
      </c>
    </row>
    <row r="71" spans="1:12" s="5" customFormat="1" x14ac:dyDescent="0.35">
      <c r="A71" s="36" t="s">
        <v>216</v>
      </c>
      <c r="B71" s="24" t="str">
        <f>VLOOKUP(Table4[[#This Row],[Vehicle no]],[1]Sheet2!$B:$J,4,0)</f>
        <v>AZIZI AMIRY SIMBAMBILI</v>
      </c>
      <c r="C71" s="24" t="str">
        <f>VLOOKUP(Table4[[#This Row],[Vehicle no]],[1]Sheet2!$B:$J,9,0)</f>
        <v>Ayoub BENESTA</v>
      </c>
      <c r="D71" s="24">
        <f>VLOOKUP(Table4[[#This Row],[Vehicle no]],[1]Sheet2!$B:$J,8,0)</f>
        <v>114465623</v>
      </c>
      <c r="E71" s="26" t="s">
        <v>633</v>
      </c>
      <c r="F71" s="26" t="str">
        <f t="shared" si="2"/>
        <v>2025-12-22</v>
      </c>
      <c r="G71" s="24" t="s">
        <v>634</v>
      </c>
      <c r="H71" s="26" t="s">
        <v>635</v>
      </c>
      <c r="I71" s="24" t="s">
        <v>636</v>
      </c>
      <c r="J71" s="27" t="s">
        <v>637</v>
      </c>
      <c r="K71" s="28">
        <v>2.4639199999999999</v>
      </c>
      <c r="L71" s="37" t="s">
        <v>1</v>
      </c>
    </row>
    <row r="72" spans="1:12" s="5" customFormat="1" x14ac:dyDescent="0.35">
      <c r="A72" s="36" t="s">
        <v>594</v>
      </c>
      <c r="B72" s="24" t="str">
        <f>VLOOKUP(Table4[[#This Row],[Vehicle no]],[1]Sheet2!$B:$J,4,0)</f>
        <v>ENOCK ADRIANO MUSHI</v>
      </c>
      <c r="C72" s="24" t="str">
        <f>VLOOKUP(Table4[[#This Row],[Vehicle no]],[1]Sheet2!$B:$J,9,0)</f>
        <v>IRENE SHIJA</v>
      </c>
      <c r="D72" s="24" t="str">
        <f>VLOOKUP(Table4[[#This Row],[Vehicle no]],[1]Sheet2!$B:$J,8,0)</f>
        <v>125-578-209</v>
      </c>
      <c r="E72" s="26" t="s">
        <v>638</v>
      </c>
      <c r="F72" s="26" t="str">
        <f t="shared" si="2"/>
        <v>2025-12-22</v>
      </c>
      <c r="G72" s="24" t="s">
        <v>639</v>
      </c>
      <c r="H72" s="26" t="s">
        <v>640</v>
      </c>
      <c r="I72" s="24" t="s">
        <v>641</v>
      </c>
      <c r="J72" s="27" t="s">
        <v>642</v>
      </c>
      <c r="K72" s="28">
        <v>64.147908999999999</v>
      </c>
      <c r="L72" s="37" t="s">
        <v>32</v>
      </c>
    </row>
    <row r="73" spans="1:12" s="5" customFormat="1" x14ac:dyDescent="0.35">
      <c r="A73" s="36" t="s">
        <v>165</v>
      </c>
      <c r="B73" s="24" t="str">
        <f>VLOOKUP(Table4[[#This Row],[Vehicle no]],[1]Sheet2!$B:$J,4,0)</f>
        <v>STANLEY EVANS MABWETE</v>
      </c>
      <c r="C73" s="24" t="str">
        <f>VLOOKUP(Table4[[#This Row],[Vehicle no]],[1]Sheet2!$B:$J,9,0)</f>
        <v>Martha GOLODI</v>
      </c>
      <c r="D73" s="24"/>
      <c r="E73" s="26" t="s">
        <v>643</v>
      </c>
      <c r="F73" s="26" t="str">
        <f t="shared" si="2"/>
        <v>2025-12-22</v>
      </c>
      <c r="G73" s="24" t="s">
        <v>644</v>
      </c>
      <c r="H73" s="26" t="s">
        <v>645</v>
      </c>
      <c r="I73" s="24" t="s">
        <v>646</v>
      </c>
      <c r="J73" s="27" t="s">
        <v>647</v>
      </c>
      <c r="K73" s="28">
        <v>2.447673</v>
      </c>
      <c r="L73" s="37" t="s">
        <v>1</v>
      </c>
    </row>
    <row r="74" spans="1:12" s="5" customFormat="1" x14ac:dyDescent="0.35">
      <c r="A74" s="36" t="s">
        <v>612</v>
      </c>
      <c r="B74" s="24" t="str">
        <f>VLOOKUP(Table4[[#This Row],[Vehicle no]],[1]Sheet2!$B:$J,4,0)</f>
        <v>MISTWAHI AMRI SAID</v>
      </c>
      <c r="C74" s="24" t="str">
        <f>VLOOKUP(Table4[[#This Row],[Vehicle no]],[1]Sheet2!$B:$J,9,0)</f>
        <v>Martha GOLODI</v>
      </c>
      <c r="D74" s="24" t="str">
        <f>VLOOKUP(Table4[[#This Row],[Vehicle no]],[1]Sheet2!$B:$J,8,0)</f>
        <v>111-211-329</v>
      </c>
      <c r="E74" s="26" t="s">
        <v>648</v>
      </c>
      <c r="F74" s="26" t="str">
        <f t="shared" si="2"/>
        <v>2025-12-22</v>
      </c>
      <c r="G74" s="24" t="s">
        <v>649</v>
      </c>
      <c r="H74" s="26" t="s">
        <v>650</v>
      </c>
      <c r="I74" s="24" t="s">
        <v>592</v>
      </c>
      <c r="J74" s="27" t="s">
        <v>651</v>
      </c>
      <c r="K74" s="28">
        <v>28.464822999999999</v>
      </c>
      <c r="L74" s="37" t="s">
        <v>1</v>
      </c>
    </row>
    <row r="75" spans="1:12" s="5" customFormat="1" x14ac:dyDescent="0.35">
      <c r="A75" s="36" t="s">
        <v>495</v>
      </c>
      <c r="B75" s="24" t="str">
        <f>VLOOKUP(Table4[[#This Row],[Vehicle no]],[1]Sheet2!$B:$J,4,0)</f>
        <v>SAID ATHUMANI NONGWA</v>
      </c>
      <c r="C75" s="24" t="str">
        <f>VLOOKUP(Table4[[#This Row],[Vehicle no]],[1]Sheet2!$B:$J,9,0)</f>
        <v>LUSAJO KASUNGA</v>
      </c>
      <c r="D75" s="24" t="str">
        <f>VLOOKUP(Table4[[#This Row],[Vehicle no]],[1]Sheet2!$B:$J,8,0)</f>
        <v>112-943-811</v>
      </c>
      <c r="E75" s="26" t="s">
        <v>652</v>
      </c>
      <c r="F75" s="26" t="str">
        <f t="shared" si="2"/>
        <v>2025-12-22</v>
      </c>
      <c r="G75" s="24" t="s">
        <v>653</v>
      </c>
      <c r="H75" s="26" t="s">
        <v>654</v>
      </c>
      <c r="I75" s="24" t="s">
        <v>592</v>
      </c>
      <c r="J75" s="27" t="s">
        <v>655</v>
      </c>
      <c r="K75" s="28">
        <v>28.331242</v>
      </c>
      <c r="L75" s="37" t="s">
        <v>1</v>
      </c>
    </row>
    <row r="76" spans="1:12" s="5" customFormat="1" x14ac:dyDescent="0.35">
      <c r="A76" s="36" t="s">
        <v>137</v>
      </c>
      <c r="B76" s="24" t="str">
        <f>VLOOKUP(Table4[[#This Row],[Vehicle no]],[1]Sheet2!$B:$J,4,0)</f>
        <v>REGNALD BEATUS TEMU</v>
      </c>
      <c r="C76" s="24" t="str">
        <f>VLOOKUP(Table4[[#This Row],[Vehicle no]],[1]Sheet2!$B:$J,9,0)</f>
        <v>PLASDUS MAHUMBA</v>
      </c>
      <c r="D76" s="24">
        <f>VLOOKUP(Table4[[#This Row],[Vehicle no]],[1]Sheet2!$B:$J,8,0)</f>
        <v>112037462</v>
      </c>
      <c r="E76" s="26" t="s">
        <v>656</v>
      </c>
      <c r="F76" s="26" t="str">
        <f t="shared" si="2"/>
        <v>2025-12-22</v>
      </c>
      <c r="G76" s="24" t="s">
        <v>110</v>
      </c>
      <c r="H76" s="26" t="s">
        <v>657</v>
      </c>
      <c r="I76" s="24" t="s">
        <v>658</v>
      </c>
      <c r="J76" s="27" t="s">
        <v>659</v>
      </c>
      <c r="K76" s="28">
        <v>104.240729</v>
      </c>
      <c r="L76" s="37" t="s">
        <v>32</v>
      </c>
    </row>
    <row r="77" spans="1:12" s="5" customFormat="1" x14ac:dyDescent="0.35">
      <c r="A77" s="36" t="s">
        <v>591</v>
      </c>
      <c r="B77" s="24" t="str">
        <f>VLOOKUP(Table4[[#This Row],[Vehicle no]],[1]Sheet2!$B:$J,4,0)</f>
        <v>ABDUL HASSAN SADICK</v>
      </c>
      <c r="C77" s="24" t="str">
        <f>VLOOKUP(Table4[[#This Row],[Vehicle no]],[1]Sheet2!$B:$J,9,0)</f>
        <v>PLASDUS MAHUMBA</v>
      </c>
      <c r="D77" s="24">
        <f>VLOOKUP(Table4[[#This Row],[Vehicle no]],[1]Sheet2!$B:$K,8,0)</f>
        <v>128340084</v>
      </c>
      <c r="E77" s="26" t="s">
        <v>660</v>
      </c>
      <c r="F77" s="26" t="str">
        <f t="shared" si="2"/>
        <v>2025-12-22</v>
      </c>
      <c r="G77" s="24" t="s">
        <v>609</v>
      </c>
      <c r="H77" s="26" t="s">
        <v>661</v>
      </c>
      <c r="I77" s="24" t="s">
        <v>662</v>
      </c>
      <c r="J77" s="27" t="s">
        <v>663</v>
      </c>
      <c r="K77" s="28">
        <v>2.5259900000000002</v>
      </c>
      <c r="L77" s="37" t="s">
        <v>1</v>
      </c>
    </row>
    <row r="78" spans="1:12" s="5" customFormat="1" x14ac:dyDescent="0.35">
      <c r="A78" s="36" t="s">
        <v>289</v>
      </c>
      <c r="B78" s="24" t="str">
        <f>VLOOKUP(Table4[[#This Row],[Vehicle no]],[1]Sheet2!$B:$J,4,0)</f>
        <v>GERVAS ANDREA GERVAS</v>
      </c>
      <c r="C78" s="24" t="str">
        <f>VLOOKUP(Table4[[#This Row],[Vehicle no]],[1]Sheet2!$B:$J,9,0)</f>
        <v>LUSAJO KASUNGA</v>
      </c>
      <c r="D78" s="24"/>
      <c r="E78" s="26" t="s">
        <v>664</v>
      </c>
      <c r="F78" s="26" t="str">
        <f t="shared" si="2"/>
        <v>2025-12-22</v>
      </c>
      <c r="G78" s="24" t="s">
        <v>587</v>
      </c>
      <c r="H78" s="26" t="s">
        <v>665</v>
      </c>
      <c r="I78" s="24" t="s">
        <v>666</v>
      </c>
      <c r="J78" s="27" t="s">
        <v>667</v>
      </c>
      <c r="K78" s="28">
        <v>2.0639910000000001</v>
      </c>
      <c r="L78" s="37" t="s">
        <v>1</v>
      </c>
    </row>
    <row r="79" spans="1:12" s="5" customFormat="1" x14ac:dyDescent="0.35">
      <c r="A79" s="36" t="s">
        <v>249</v>
      </c>
      <c r="B79" s="24" t="str">
        <f>VLOOKUP(Table4[[#This Row],[Vehicle no]],[1]Sheet2!$B:$J,4,0)</f>
        <v>THADEUS CHARLES HONGOLI</v>
      </c>
      <c r="C79" s="24" t="str">
        <f>VLOOKUP(Table4[[#This Row],[Vehicle no]],[1]Sheet2!$B:$J,9,0)</f>
        <v>IRENE SHIJA</v>
      </c>
      <c r="D79" s="24"/>
      <c r="E79" s="26" t="s">
        <v>668</v>
      </c>
      <c r="F79" s="26" t="str">
        <f t="shared" si="2"/>
        <v>2025-12-22</v>
      </c>
      <c r="G79" s="24" t="s">
        <v>669</v>
      </c>
      <c r="H79" s="26" t="s">
        <v>670</v>
      </c>
      <c r="I79" s="24" t="s">
        <v>592</v>
      </c>
      <c r="J79" s="27" t="s">
        <v>671</v>
      </c>
      <c r="K79" s="28">
        <v>28.708667999999999</v>
      </c>
      <c r="L79" s="37" t="s">
        <v>1</v>
      </c>
    </row>
    <row r="80" spans="1:12" s="5" customFormat="1" x14ac:dyDescent="0.35">
      <c r="A80" s="36" t="s">
        <v>81</v>
      </c>
      <c r="B80" s="24" t="str">
        <f>VLOOKUP(Table4[[#This Row],[Vehicle no]],[1]Sheet2!$B:$J,4,0)</f>
        <v>FRANCIS ERNEST KIBULA</v>
      </c>
      <c r="C80" s="24" t="str">
        <f>VLOOKUP(Table4[[#This Row],[Vehicle no]],[1]Sheet2!$B:$J,9,0)</f>
        <v>IRENE SHIJA</v>
      </c>
      <c r="D80" s="24"/>
      <c r="E80" s="26" t="s">
        <v>672</v>
      </c>
      <c r="F80" s="26" t="str">
        <f t="shared" si="2"/>
        <v>2025-12-23</v>
      </c>
      <c r="G80" s="24" t="s">
        <v>159</v>
      </c>
      <c r="H80" s="26" t="s">
        <v>673</v>
      </c>
      <c r="I80" s="24" t="s">
        <v>159</v>
      </c>
      <c r="J80" s="27" t="s">
        <v>674</v>
      </c>
      <c r="K80" s="28">
        <v>0.138013</v>
      </c>
      <c r="L80" s="37" t="s">
        <v>1</v>
      </c>
    </row>
    <row r="81" spans="1:12" s="5" customFormat="1" x14ac:dyDescent="0.35">
      <c r="A81" s="38" t="s">
        <v>228</v>
      </c>
      <c r="B81" s="39" t="str">
        <f>VLOOKUP(Table4[[#This Row],[Vehicle no]],[1]Sheet2!$B:$J,4,0)</f>
        <v>WILLIAM MATHIAS NJAMA</v>
      </c>
      <c r="C81" s="39" t="str">
        <f>VLOOKUP(Table4[[#This Row],[Vehicle no]],[1]Sheet2!$B:$J,9,0)</f>
        <v>LUSAJO KASUNGA</v>
      </c>
      <c r="D81" s="39">
        <f>VLOOKUP(Table4[[#This Row],[Vehicle no]],[1]Sheet2!$B:$J,8,0)</f>
        <v>0</v>
      </c>
      <c r="E81" s="40" t="s">
        <v>675</v>
      </c>
      <c r="F81" s="40" t="str">
        <f t="shared" si="2"/>
        <v>2025-12-23</v>
      </c>
      <c r="G81" s="39" t="s">
        <v>676</v>
      </c>
      <c r="H81" s="40" t="s">
        <v>677</v>
      </c>
      <c r="I81" s="39" t="s">
        <v>678</v>
      </c>
      <c r="J81" s="41" t="s">
        <v>679</v>
      </c>
      <c r="K81" s="42">
        <v>32.532786000000002</v>
      </c>
      <c r="L81" s="37" t="s">
        <v>32</v>
      </c>
    </row>
    <row r="82" spans="1:12" s="5" customFormat="1" x14ac:dyDescent="0.35">
      <c r="A82" s="38" t="s">
        <v>505</v>
      </c>
      <c r="B82" s="39" t="str">
        <f>VLOOKUP(Table4[[#This Row],[Vehicle no]],[1]Sheet2!$B:$J,4,0)</f>
        <v>METHOD JAMES LWENA</v>
      </c>
      <c r="C82" s="39" t="str">
        <f>VLOOKUP(Table4[[#This Row],[Vehicle no]],[1]Sheet2!$B:$J,9,0)</f>
        <v>IRENE SHIJA</v>
      </c>
      <c r="D82" s="39"/>
      <c r="E82" s="40" t="s">
        <v>680</v>
      </c>
      <c r="F82" s="40" t="str">
        <f t="shared" si="2"/>
        <v>2025-12-23</v>
      </c>
      <c r="G82" s="39" t="s">
        <v>110</v>
      </c>
      <c r="H82" s="40" t="s">
        <v>681</v>
      </c>
      <c r="I82" s="39" t="s">
        <v>320</v>
      </c>
      <c r="J82" s="41" t="s">
        <v>682</v>
      </c>
      <c r="K82" s="42">
        <v>0.35700700000000002</v>
      </c>
      <c r="L82" s="37" t="s">
        <v>32</v>
      </c>
    </row>
    <row r="83" spans="1:12" s="5" customFormat="1" x14ac:dyDescent="0.35">
      <c r="A83" s="38" t="s">
        <v>150</v>
      </c>
      <c r="B83" s="39" t="e">
        <f>VLOOKUP(Table4[[#This Row],[Vehicle no]],[1]Sheet2!$B:$J,4,0)</f>
        <v>#N/A</v>
      </c>
      <c r="C83" s="39" t="e">
        <f>VLOOKUP(Table4[[#This Row],[Vehicle no]],[1]Sheet2!$B:$J,9,0)</f>
        <v>#N/A</v>
      </c>
      <c r="D83" s="39" t="e">
        <f>VLOOKUP(Table4[[#This Row],[Vehicle no]],[1]Sheet2!$B:$J,8,0)</f>
        <v>#N/A</v>
      </c>
      <c r="E83" s="40" t="s">
        <v>683</v>
      </c>
      <c r="F83" s="40" t="str">
        <f t="shared" si="2"/>
        <v>2025-12-23</v>
      </c>
      <c r="G83" s="39" t="s">
        <v>501</v>
      </c>
      <c r="H83" s="40" t="s">
        <v>684</v>
      </c>
      <c r="I83" s="39" t="s">
        <v>685</v>
      </c>
      <c r="J83" s="41" t="s">
        <v>686</v>
      </c>
      <c r="K83" s="42">
        <v>91.245497999999998</v>
      </c>
      <c r="L83" s="37" t="s">
        <v>32</v>
      </c>
    </row>
    <row r="84" spans="1:12" s="5" customFormat="1" x14ac:dyDescent="0.35">
      <c r="A84" s="36" t="s">
        <v>596</v>
      </c>
      <c r="B84" s="24" t="str">
        <f>VLOOKUP(Table4[[#This Row],[Vehicle no]],[1]Sheet2!$B:$J,4,0)</f>
        <v>EDWARD LEONARD MANGASTAR</v>
      </c>
      <c r="C84" s="24" t="str">
        <f>VLOOKUP(Table4[[#This Row],[Vehicle no]],[1]Sheet2!$B:$J,9,0)</f>
        <v>Martha GOLODI</v>
      </c>
      <c r="D84" s="24"/>
      <c r="E84" s="26" t="s">
        <v>687</v>
      </c>
      <c r="F84" s="26" t="str">
        <f t="shared" si="2"/>
        <v>2025-12-23</v>
      </c>
      <c r="G84" s="24" t="s">
        <v>688</v>
      </c>
      <c r="H84" s="26" t="s">
        <v>689</v>
      </c>
      <c r="I84" s="24" t="s">
        <v>690</v>
      </c>
      <c r="J84" s="27" t="s">
        <v>691</v>
      </c>
      <c r="K84" s="28">
        <v>0.77136800000000005</v>
      </c>
      <c r="L84" s="37" t="s">
        <v>1</v>
      </c>
    </row>
    <row r="85" spans="1:12" s="5" customFormat="1" x14ac:dyDescent="0.35">
      <c r="A85" s="36" t="s">
        <v>494</v>
      </c>
      <c r="B85" s="24" t="str">
        <f>VLOOKUP(Table4[[#This Row],[Vehicle no]],[1]Sheet2!$B:$J,4,0)</f>
        <v>WILLIAM JIBABA KADUMA</v>
      </c>
      <c r="C85" s="24" t="str">
        <f>VLOOKUP(Table4[[#This Row],[Vehicle no]],[1]Sheet2!$B:$J,9,0)</f>
        <v>LUSAJO KASUNGA</v>
      </c>
      <c r="D85" s="24">
        <f>VLOOKUP(Table4[[#This Row],[Vehicle no]],[1]Sheet2!$B:$J,8,0)</f>
        <v>115839578</v>
      </c>
      <c r="E85" s="26" t="s">
        <v>692</v>
      </c>
      <c r="F85" s="26" t="str">
        <f t="shared" si="2"/>
        <v>2025-12-23</v>
      </c>
      <c r="G85" s="24" t="s">
        <v>676</v>
      </c>
      <c r="H85" s="26" t="s">
        <v>693</v>
      </c>
      <c r="I85" s="24" t="s">
        <v>157</v>
      </c>
      <c r="J85" s="27" t="s">
        <v>694</v>
      </c>
      <c r="K85" s="28">
        <v>0.26555299999999998</v>
      </c>
      <c r="L85" s="37" t="s">
        <v>1</v>
      </c>
    </row>
    <row r="86" spans="1:12" s="5" customFormat="1" x14ac:dyDescent="0.35">
      <c r="A86" s="36" t="s">
        <v>280</v>
      </c>
      <c r="B86" s="24" t="str">
        <f>VLOOKUP(Table4[[#This Row],[Vehicle no]],[1]Sheet2!$B:$J,4,0)</f>
        <v>ABDALLAH SALUM MGALILWA</v>
      </c>
      <c r="C86" s="24" t="str">
        <f>VLOOKUP(Table4[[#This Row],[Vehicle no]],[1]Sheet2!$B:$J,9,0)</f>
        <v>SADI KIMWAGA</v>
      </c>
      <c r="D86" s="24">
        <f>VLOOKUP(Table4[[#This Row],[Vehicle no]],[1]Sheet2!$B:$J,8,0)</f>
        <v>115674277</v>
      </c>
      <c r="E86" s="26" t="s">
        <v>695</v>
      </c>
      <c r="F86" s="26" t="str">
        <f t="shared" si="2"/>
        <v>2025-12-23</v>
      </c>
      <c r="G86" s="24" t="s">
        <v>420</v>
      </c>
      <c r="H86" s="26" t="s">
        <v>696</v>
      </c>
      <c r="I86" s="24" t="s">
        <v>305</v>
      </c>
      <c r="J86" s="27" t="s">
        <v>697</v>
      </c>
      <c r="K86" s="28">
        <v>7.6339790000000001</v>
      </c>
      <c r="L86" s="37" t="s">
        <v>1</v>
      </c>
    </row>
    <row r="87" spans="1:12" s="5" customFormat="1" x14ac:dyDescent="0.35">
      <c r="A87" s="38" t="s">
        <v>510</v>
      </c>
      <c r="B87" s="39" t="str">
        <f>VLOOKUP(Table4[[#This Row],[Vehicle no]],[1]Sheet2!$B:$J,4,0)</f>
        <v>MOHAMEDI ATHUMANI MKALI</v>
      </c>
      <c r="C87" s="39" t="str">
        <f>VLOOKUP(Table4[[#This Row],[Vehicle no]],[1]Sheet2!$B:$J,9,0)</f>
        <v>SADI KIMWAGA</v>
      </c>
      <c r="D87" s="39">
        <f>VLOOKUP(Table4[[#This Row],[Vehicle no]],[1]Sheet2!$B:$J,8,0)</f>
        <v>114739251</v>
      </c>
      <c r="E87" s="40" t="s">
        <v>698</v>
      </c>
      <c r="F87" s="40" t="str">
        <f t="shared" si="2"/>
        <v>2025-12-23</v>
      </c>
      <c r="G87" s="39" t="s">
        <v>118</v>
      </c>
      <c r="H87" s="40" t="s">
        <v>699</v>
      </c>
      <c r="I87" s="39" t="s">
        <v>700</v>
      </c>
      <c r="J87" s="41" t="s">
        <v>701</v>
      </c>
      <c r="K87" s="42">
        <v>94.820757999999998</v>
      </c>
      <c r="L87" s="37" t="s">
        <v>32</v>
      </c>
    </row>
    <row r="88" spans="1:12" s="5" customFormat="1" x14ac:dyDescent="0.35">
      <c r="A88" s="36" t="s">
        <v>431</v>
      </c>
      <c r="B88" s="24" t="str">
        <f>VLOOKUP(Table4[[#This Row],[Vehicle no]],[1]Sheet2!$B:$J,4,0)</f>
        <v>ALLY KASSIM MWAYAWALE</v>
      </c>
      <c r="C88" s="24" t="str">
        <f>VLOOKUP(Table4[[#This Row],[Vehicle no]],[1]Sheet2!$B:$J,9,0)</f>
        <v>Martha GOLODI</v>
      </c>
      <c r="D88" s="24"/>
      <c r="E88" s="26" t="s">
        <v>702</v>
      </c>
      <c r="F88" s="26" t="str">
        <f t="shared" si="2"/>
        <v>2025-12-23</v>
      </c>
      <c r="G88" s="24" t="s">
        <v>703</v>
      </c>
      <c r="H88" s="26" t="s">
        <v>704</v>
      </c>
      <c r="I88" s="24" t="s">
        <v>705</v>
      </c>
      <c r="J88" s="27" t="s">
        <v>706</v>
      </c>
      <c r="K88" s="28">
        <v>0.82888200000000001</v>
      </c>
      <c r="L88" s="37" t="s">
        <v>1</v>
      </c>
    </row>
    <row r="89" spans="1:12" s="5" customFormat="1" x14ac:dyDescent="0.35">
      <c r="A89" s="38" t="s">
        <v>63</v>
      </c>
      <c r="B89" s="39" t="str">
        <f>VLOOKUP(Table4[[#This Row],[Vehicle no]],[1]Sheet2!$B:$J,4,0)</f>
        <v>ELIAH YUSUPH MPANGO</v>
      </c>
      <c r="C89" s="39" t="str">
        <f>VLOOKUP(Table4[[#This Row],[Vehicle no]],[1]Sheet2!$B:$J,9,0)</f>
        <v>IRENE SHIJA</v>
      </c>
      <c r="D89" s="39">
        <f>VLOOKUP(Table4[[#This Row],[Vehicle no]],[1]Sheet2!$B:$J,8,0)</f>
        <v>134869925</v>
      </c>
      <c r="E89" s="40" t="s">
        <v>707</v>
      </c>
      <c r="F89" s="40" t="str">
        <f t="shared" si="2"/>
        <v>2025-12-24</v>
      </c>
      <c r="G89" s="39" t="s">
        <v>119</v>
      </c>
      <c r="H89" s="40" t="s">
        <v>708</v>
      </c>
      <c r="I89" s="39" t="s">
        <v>514</v>
      </c>
      <c r="J89" s="41" t="s">
        <v>709</v>
      </c>
      <c r="K89" s="42">
        <v>14.719815000000001</v>
      </c>
      <c r="L89" s="37" t="s">
        <v>32</v>
      </c>
    </row>
    <row r="90" spans="1:12" s="5" customFormat="1" x14ac:dyDescent="0.35">
      <c r="A90" s="38" t="s">
        <v>494</v>
      </c>
      <c r="B90" s="39" t="str">
        <f>VLOOKUP(Table4[[#This Row],[Vehicle no]],[1]Sheet2!$B:$J,4,0)</f>
        <v>WILLIAM JIBABA KADUMA</v>
      </c>
      <c r="C90" s="39" t="str">
        <f>VLOOKUP(Table4[[#This Row],[Vehicle no]],[1]Sheet2!$B:$J,9,0)</f>
        <v>LUSAJO KASUNGA</v>
      </c>
      <c r="D90" s="39">
        <f>VLOOKUP(Table4[[#This Row],[Vehicle no]],[1]Sheet2!$B:$J,8,0)</f>
        <v>115839578</v>
      </c>
      <c r="E90" s="40" t="s">
        <v>710</v>
      </c>
      <c r="F90" s="40" t="str">
        <f t="shared" si="2"/>
        <v>2025-12-24</v>
      </c>
      <c r="G90" s="39" t="s">
        <v>711</v>
      </c>
      <c r="H90" s="40" t="s">
        <v>712</v>
      </c>
      <c r="I90" s="39" t="s">
        <v>713</v>
      </c>
      <c r="J90" s="41" t="s">
        <v>714</v>
      </c>
      <c r="K90" s="42">
        <v>53.162039</v>
      </c>
      <c r="L90" s="37" t="s">
        <v>32</v>
      </c>
    </row>
    <row r="91" spans="1:12" s="5" customFormat="1" x14ac:dyDescent="0.35">
      <c r="A91" s="36" t="s">
        <v>261</v>
      </c>
      <c r="B91" s="24" t="str">
        <f>VLOOKUP(Table4[[#This Row],[Vehicle no]],[1]Sheet2!$B:$J,4,0)</f>
        <v>GODFREY CYPRIAN GAMBA</v>
      </c>
      <c r="C91" s="24" t="str">
        <f>VLOOKUP(Table4[[#This Row],[Vehicle no]],[1]Sheet2!$B:$J,9,0)</f>
        <v>PLASDUS MAHUMBA</v>
      </c>
      <c r="D91" s="24">
        <f>VLOOKUP(Table4[[#This Row],[Vehicle no]],[1]Sheet2!$B:$J,8,0)</f>
        <v>105544707</v>
      </c>
      <c r="E91" s="26" t="s">
        <v>715</v>
      </c>
      <c r="F91" s="26" t="str">
        <f t="shared" si="2"/>
        <v>2025-12-24</v>
      </c>
      <c r="G91" s="24" t="s">
        <v>205</v>
      </c>
      <c r="H91" s="26" t="s">
        <v>716</v>
      </c>
      <c r="I91" s="24" t="s">
        <v>571</v>
      </c>
      <c r="J91" s="27" t="s">
        <v>717</v>
      </c>
      <c r="K91" s="28">
        <v>30.12255</v>
      </c>
      <c r="L91" s="37" t="s">
        <v>1</v>
      </c>
    </row>
    <row r="92" spans="1:12" s="5" customFormat="1" x14ac:dyDescent="0.35">
      <c r="A92" s="38" t="s">
        <v>246</v>
      </c>
      <c r="B92" s="39" t="str">
        <f>VLOOKUP(Table4[[#This Row],[Vehicle no]],[1]Sheet2!$B:$J,4,0)</f>
        <v>ABDUL BAKARI PESA</v>
      </c>
      <c r="C92" s="39" t="str">
        <f>VLOOKUP(Table4[[#This Row],[Vehicle no]],[1]Sheet2!$B:$J,9,0)</f>
        <v>Martha GOLODI</v>
      </c>
      <c r="D92" s="39" t="str">
        <f>VLOOKUP(Table4[[#This Row],[Vehicle no]],[1]Sheet2!$B:$J,8,0)</f>
        <v>113-245-190</v>
      </c>
      <c r="E92" s="40" t="s">
        <v>718</v>
      </c>
      <c r="F92" s="40" t="str">
        <f t="shared" si="2"/>
        <v>2025-12-24</v>
      </c>
      <c r="G92" s="39" t="s">
        <v>719</v>
      </c>
      <c r="H92" s="40" t="s">
        <v>720</v>
      </c>
      <c r="I92" s="39" t="s">
        <v>700</v>
      </c>
      <c r="J92" s="41" t="s">
        <v>721</v>
      </c>
      <c r="K92" s="42">
        <v>136.59847500000001</v>
      </c>
      <c r="L92" s="37" t="s">
        <v>32</v>
      </c>
    </row>
    <row r="93" spans="1:12" s="5" customFormat="1" x14ac:dyDescent="0.35">
      <c r="A93" s="36" t="s">
        <v>235</v>
      </c>
      <c r="B93" s="24" t="str">
        <f>VLOOKUP(Table4[[#This Row],[Vehicle no]],[1]Sheet2!$B:$J,4,0)</f>
        <v>BOAZI GWILA MAKALANGA</v>
      </c>
      <c r="C93" s="24" t="str">
        <f>VLOOKUP(Table4[[#This Row],[Vehicle no]],[1]Sheet2!$B:$J,9,0)</f>
        <v>Ayoub BENESTA</v>
      </c>
      <c r="D93" s="24">
        <f>VLOOKUP(Table4[[#This Row],[Vehicle no]],[1]Sheet2!$B:$J,8,0)</f>
        <v>0</v>
      </c>
      <c r="E93" s="26" t="s">
        <v>722</v>
      </c>
      <c r="F93" s="26" t="str">
        <f t="shared" si="2"/>
        <v>2025-12-25</v>
      </c>
      <c r="G93" s="24" t="s">
        <v>723</v>
      </c>
      <c r="H93" s="26" t="s">
        <v>724</v>
      </c>
      <c r="I93" s="24" t="s">
        <v>641</v>
      </c>
      <c r="J93" s="27" t="s">
        <v>725</v>
      </c>
      <c r="K93" s="28">
        <v>73.803197999999995</v>
      </c>
      <c r="L93" s="37" t="s">
        <v>32</v>
      </c>
    </row>
    <row r="94" spans="1:12" s="5" customFormat="1" x14ac:dyDescent="0.35">
      <c r="A94" s="36" t="s">
        <v>288</v>
      </c>
      <c r="B94" s="24" t="str">
        <f>VLOOKUP(Table4[[#This Row],[Vehicle no]],[1]Sheet2!$B:$J,4,0)</f>
        <v>HAMISI MOHAMEDI MLAWA</v>
      </c>
      <c r="C94" s="24" t="str">
        <f>VLOOKUP(Table4[[#This Row],[Vehicle no]],[1]Sheet2!$B:$J,9,0)</f>
        <v>IRENE SHIJA</v>
      </c>
      <c r="D94" s="24">
        <f>VLOOKUP(Table4[[#This Row],[Vehicle no]],[1]Sheet2!$B:$J,8,0)</f>
        <v>0</v>
      </c>
      <c r="E94" s="26" t="s">
        <v>726</v>
      </c>
      <c r="F94" s="26" t="str">
        <f t="shared" si="2"/>
        <v>2025-12-25</v>
      </c>
      <c r="G94" s="24" t="s">
        <v>727</v>
      </c>
      <c r="H94" s="26" t="s">
        <v>728</v>
      </c>
      <c r="I94" s="24" t="s">
        <v>397</v>
      </c>
      <c r="J94" s="27" t="s">
        <v>729</v>
      </c>
      <c r="K94" s="28">
        <v>180.01298199999999</v>
      </c>
      <c r="L94" s="37" t="s">
        <v>32</v>
      </c>
    </row>
    <row r="95" spans="1:12" s="5" customFormat="1" x14ac:dyDescent="0.35">
      <c r="A95" s="36" t="s">
        <v>125</v>
      </c>
      <c r="B95" s="24" t="str">
        <f>VLOOKUP(Table4[[#This Row],[Vehicle no]],[1]Sheet2!$B:$J,4,0)</f>
        <v>PATRICK CLEMENT COROGO</v>
      </c>
      <c r="C95" s="24" t="str">
        <f>VLOOKUP(Table4[[#This Row],[Vehicle no]],[1]Sheet2!$B:$J,9,0)</f>
        <v>LUSAJO KASUNGA</v>
      </c>
      <c r="D95" s="24"/>
      <c r="E95" s="26" t="s">
        <v>730</v>
      </c>
      <c r="F95" s="26" t="str">
        <f t="shared" si="2"/>
        <v>2025-12-26</v>
      </c>
      <c r="G95" s="24" t="s">
        <v>157</v>
      </c>
      <c r="H95" s="26" t="s">
        <v>731</v>
      </c>
      <c r="I95" s="24" t="s">
        <v>598</v>
      </c>
      <c r="J95" s="27" t="s">
        <v>732</v>
      </c>
      <c r="K95" s="28">
        <v>0.48681000000000002</v>
      </c>
      <c r="L95" s="37" t="s">
        <v>1</v>
      </c>
    </row>
    <row r="96" spans="1:12" s="5" customFormat="1" x14ac:dyDescent="0.35">
      <c r="A96" s="36" t="s">
        <v>293</v>
      </c>
      <c r="B96" s="24" t="str">
        <f>VLOOKUP(Table4[[#This Row],[Vehicle no]],[1]Sheet2!$B:$J,4,0)</f>
        <v>RAMADHANI MBEZI OMARY</v>
      </c>
      <c r="C96" s="24" t="str">
        <f>VLOOKUP(Table4[[#This Row],[Vehicle no]],[1]Sheet2!$B:$J,9,0)</f>
        <v>Martha GOLODI</v>
      </c>
      <c r="D96" s="24" t="str">
        <f>VLOOKUP(Table4[[#This Row],[Vehicle no]],[1]Sheet2!$B:$J,8,0)</f>
        <v>120-025-465</v>
      </c>
      <c r="E96" s="26" t="s">
        <v>733</v>
      </c>
      <c r="F96" s="26" t="str">
        <f t="shared" si="2"/>
        <v>2025-12-26</v>
      </c>
      <c r="G96" s="24" t="s">
        <v>734</v>
      </c>
      <c r="H96" s="26" t="s">
        <v>735</v>
      </c>
      <c r="I96" s="24" t="s">
        <v>604</v>
      </c>
      <c r="J96" s="27" t="s">
        <v>736</v>
      </c>
      <c r="K96" s="28">
        <v>3.883702</v>
      </c>
      <c r="L96" s="37" t="s">
        <v>1</v>
      </c>
    </row>
    <row r="97" spans="1:12" s="5" customFormat="1" x14ac:dyDescent="0.35">
      <c r="A97" s="36" t="s">
        <v>285</v>
      </c>
      <c r="B97" s="24" t="str">
        <f>VLOOKUP(Table4[[#This Row],[Vehicle no]],[1]Sheet2!$B:$J,4,0)</f>
        <v>RAMADHAN RAHIBU SULEIMAN</v>
      </c>
      <c r="C97" s="24" t="str">
        <f>VLOOKUP(Table4[[#This Row],[Vehicle no]],[1]Sheet2!$B:$J,9,0)</f>
        <v>SADI KIMWAGA</v>
      </c>
      <c r="D97" s="24"/>
      <c r="E97" s="26" t="s">
        <v>737</v>
      </c>
      <c r="F97" s="26" t="str">
        <f t="shared" si="2"/>
        <v>2025-12-26</v>
      </c>
      <c r="G97" s="24" t="s">
        <v>738</v>
      </c>
      <c r="H97" s="26" t="s">
        <v>739</v>
      </c>
      <c r="I97" s="24" t="s">
        <v>604</v>
      </c>
      <c r="J97" s="27" t="s">
        <v>740</v>
      </c>
      <c r="K97" s="28">
        <v>3.8294329999999999</v>
      </c>
      <c r="L97" s="37" t="s">
        <v>1</v>
      </c>
    </row>
    <row r="98" spans="1:12" s="5" customFormat="1" x14ac:dyDescent="0.35">
      <c r="A98" s="36" t="s">
        <v>512</v>
      </c>
      <c r="B98" s="24" t="str">
        <f>VLOOKUP(Table4[[#This Row],[Vehicle no]],[1]Sheet2!$B:$J,4,0)</f>
        <v>HASSANI MABROUCK TUNZA</v>
      </c>
      <c r="C98" s="24" t="str">
        <f>VLOOKUP(Table4[[#This Row],[Vehicle no]],[1]Sheet2!$B:$J,9,0)</f>
        <v>SADI KIMWAGA</v>
      </c>
      <c r="D98" s="24"/>
      <c r="E98" s="26" t="s">
        <v>741</v>
      </c>
      <c r="F98" s="26" t="str">
        <f t="shared" ref="F98:F129" si="3">LEFT(E:E,10)</f>
        <v>2025-12-26</v>
      </c>
      <c r="G98" s="24" t="s">
        <v>742</v>
      </c>
      <c r="H98" s="26" t="s">
        <v>743</v>
      </c>
      <c r="I98" s="24" t="s">
        <v>604</v>
      </c>
      <c r="J98" s="27" t="s">
        <v>744</v>
      </c>
      <c r="K98" s="28">
        <v>3.8818260000000002</v>
      </c>
      <c r="L98" s="37" t="s">
        <v>1</v>
      </c>
    </row>
    <row r="99" spans="1:12" s="5" customFormat="1" x14ac:dyDescent="0.35">
      <c r="A99" s="36" t="s">
        <v>235</v>
      </c>
      <c r="B99" s="24" t="str">
        <f>VLOOKUP(Table4[[#This Row],[Vehicle no]],[1]Sheet2!$B:$J,4,0)</f>
        <v>BOAZI GWILA MAKALANGA</v>
      </c>
      <c r="C99" s="24" t="str">
        <f>VLOOKUP(Table4[[#This Row],[Vehicle no]],[1]Sheet2!$B:$J,9,0)</f>
        <v>Ayoub BENESTA</v>
      </c>
      <c r="D99" s="24">
        <f>VLOOKUP(Table4[[#This Row],[Vehicle no]],[1]Sheet2!$B:$J,8,0)</f>
        <v>0</v>
      </c>
      <c r="E99" s="26" t="s">
        <v>745</v>
      </c>
      <c r="F99" s="26" t="str">
        <f t="shared" si="3"/>
        <v>2025-12-27</v>
      </c>
      <c r="G99" s="24" t="s">
        <v>331</v>
      </c>
      <c r="H99" s="26" t="s">
        <v>746</v>
      </c>
      <c r="I99" s="24" t="s">
        <v>747</v>
      </c>
      <c r="J99" s="27" t="s">
        <v>748</v>
      </c>
      <c r="K99" s="28">
        <v>279.78127499999999</v>
      </c>
      <c r="L99" s="37" t="s">
        <v>32</v>
      </c>
    </row>
    <row r="100" spans="1:12" s="5" customFormat="1" x14ac:dyDescent="0.35">
      <c r="A100" s="36" t="s">
        <v>607</v>
      </c>
      <c r="B100" s="24" t="str">
        <f>VLOOKUP(Table4[[#This Row],[Vehicle no]],[1]Sheet2!$B:$J,4,0)</f>
        <v>MAJUTO SHABANI HAMISI</v>
      </c>
      <c r="C100" s="24" t="str">
        <f>VLOOKUP(Table4[[#This Row],[Vehicle no]],[1]Sheet2!$B:$J,9,0)</f>
        <v>PLASDUS MAHUMBA</v>
      </c>
      <c r="D100" s="24">
        <f>VLOOKUP(Table4[[#This Row],[Vehicle no]],[1]Sheet2!$B:$J,8,0)</f>
        <v>112243224</v>
      </c>
      <c r="E100" s="26" t="s">
        <v>749</v>
      </c>
      <c r="F100" s="26" t="str">
        <f t="shared" si="3"/>
        <v>2025-12-27</v>
      </c>
      <c r="G100" s="24" t="s">
        <v>589</v>
      </c>
      <c r="H100" s="26" t="s">
        <v>750</v>
      </c>
      <c r="I100" s="24" t="s">
        <v>212</v>
      </c>
      <c r="J100" s="27" t="s">
        <v>751</v>
      </c>
      <c r="K100" s="28">
        <v>34.88796</v>
      </c>
      <c r="L100" s="37" t="s">
        <v>32</v>
      </c>
    </row>
    <row r="101" spans="1:12" s="5" customFormat="1" x14ac:dyDescent="0.35">
      <c r="A101" s="36" t="s">
        <v>595</v>
      </c>
      <c r="B101" s="24" t="str">
        <f>VLOOKUP(Table4[[#This Row],[Vehicle no]],[1]Sheet2!$B:$J,4,0)</f>
        <v>SAID ASUMAN MUHOGO</v>
      </c>
      <c r="C101" s="24" t="str">
        <f>VLOOKUP(Table4[[#This Row],[Vehicle no]],[1]Sheet2!$B:$J,9,0)</f>
        <v>Martha GOLODI</v>
      </c>
      <c r="D101" s="24"/>
      <c r="E101" s="26" t="s">
        <v>752</v>
      </c>
      <c r="F101" s="26" t="str">
        <f t="shared" si="3"/>
        <v>2025-12-27</v>
      </c>
      <c r="G101" s="24" t="s">
        <v>753</v>
      </c>
      <c r="H101" s="26" t="s">
        <v>754</v>
      </c>
      <c r="I101" s="24" t="s">
        <v>700</v>
      </c>
      <c r="J101" s="27" t="s">
        <v>755</v>
      </c>
      <c r="K101" s="28">
        <v>44.242766000000003</v>
      </c>
      <c r="L101" s="37" t="s">
        <v>32</v>
      </c>
    </row>
    <row r="102" spans="1:12" s="5" customFormat="1" x14ac:dyDescent="0.35">
      <c r="A102" s="36" t="s">
        <v>106</v>
      </c>
      <c r="B102" s="24" t="str">
        <f>VLOOKUP(Table4[[#This Row],[Vehicle no]],[1]Sheet2!$B:$J,4,0)</f>
        <v>MAKERE GACHUMA MAKERE</v>
      </c>
      <c r="C102" s="24" t="str">
        <f>VLOOKUP(Table4[[#This Row],[Vehicle no]],[1]Sheet2!$B:$J,9,0)</f>
        <v>Martha GOLODI</v>
      </c>
      <c r="D102" s="24">
        <f>VLOOKUP(Table4[[#This Row],[Vehicle no]],[1]Sheet2!$B:$J,8,0)</f>
        <v>111992398</v>
      </c>
      <c r="E102" s="26" t="s">
        <v>756</v>
      </c>
      <c r="F102" s="26" t="str">
        <f t="shared" si="3"/>
        <v>2025-12-27</v>
      </c>
      <c r="G102" s="24" t="s">
        <v>542</v>
      </c>
      <c r="H102" s="26" t="s">
        <v>757</v>
      </c>
      <c r="I102" s="24" t="s">
        <v>758</v>
      </c>
      <c r="J102" s="27" t="s">
        <v>759</v>
      </c>
      <c r="K102" s="28">
        <v>8.0610119999999998</v>
      </c>
      <c r="L102" s="37" t="s">
        <v>32</v>
      </c>
    </row>
    <row r="103" spans="1:12" s="5" customFormat="1" x14ac:dyDescent="0.35">
      <c r="A103" s="36" t="s">
        <v>235</v>
      </c>
      <c r="B103" s="24" t="str">
        <f>VLOOKUP(Table4[[#This Row],[Vehicle no]],[1]Sheet2!$B:$J,4,0)</f>
        <v>BOAZI GWILA MAKALANGA</v>
      </c>
      <c r="C103" s="24" t="str">
        <f>VLOOKUP(Table4[[#This Row],[Vehicle no]],[1]Sheet2!$B:$J,9,0)</f>
        <v>Ayoub BENESTA</v>
      </c>
      <c r="D103" s="24">
        <f>VLOOKUP(Table4[[#This Row],[Vehicle no]],[1]Sheet2!$B:$J,8,0)</f>
        <v>0</v>
      </c>
      <c r="E103" s="26" t="s">
        <v>760</v>
      </c>
      <c r="F103" s="26" t="str">
        <f t="shared" si="3"/>
        <v>2025-12-28</v>
      </c>
      <c r="G103" s="24" t="s">
        <v>747</v>
      </c>
      <c r="H103" s="26" t="s">
        <v>761</v>
      </c>
      <c r="I103" s="24" t="s">
        <v>217</v>
      </c>
      <c r="J103" s="27" t="s">
        <v>762</v>
      </c>
      <c r="K103" s="28">
        <v>44.432997</v>
      </c>
      <c r="L103" s="37" t="s">
        <v>32</v>
      </c>
    </row>
    <row r="104" spans="1:12" s="5" customFormat="1" x14ac:dyDescent="0.35">
      <c r="A104" s="36" t="s">
        <v>616</v>
      </c>
      <c r="B104" s="24" t="str">
        <f>VLOOKUP(Table4[[#This Row],[Vehicle no]],[1]Sheet2!$B:$J,4,0)</f>
        <v>BASASI ABDALH BASASI</v>
      </c>
      <c r="C104" s="24" t="str">
        <f>VLOOKUP(Table4[[#This Row],[Vehicle no]],[1]Sheet2!$B:$J,9,0)</f>
        <v>PLASDUS MAHUMBA</v>
      </c>
      <c r="D104" s="24"/>
      <c r="E104" s="26" t="s">
        <v>763</v>
      </c>
      <c r="F104" s="26" t="str">
        <f t="shared" si="3"/>
        <v>2025-12-28</v>
      </c>
      <c r="G104" s="24" t="s">
        <v>320</v>
      </c>
      <c r="H104" s="26" t="s">
        <v>764</v>
      </c>
      <c r="I104" s="24" t="s">
        <v>765</v>
      </c>
      <c r="J104" s="27" t="s">
        <v>766</v>
      </c>
      <c r="K104" s="28">
        <v>112.799755</v>
      </c>
      <c r="L104" s="37" t="s">
        <v>32</v>
      </c>
    </row>
    <row r="105" spans="1:12" s="5" customFormat="1" x14ac:dyDescent="0.35">
      <c r="A105" s="36" t="s">
        <v>250</v>
      </c>
      <c r="B105" s="24" t="str">
        <f>VLOOKUP(Table4[[#This Row],[Vehicle no]],[1]Sheet2!$B:$J,4,0)</f>
        <v>HASSAN ABDALLAH JUMA</v>
      </c>
      <c r="C105" s="24" t="str">
        <f>VLOOKUP(Table4[[#This Row],[Vehicle no]],[1]Sheet2!$B:$J,9,0)</f>
        <v>Ayoub BENESTA</v>
      </c>
      <c r="D105" s="24" t="str">
        <f>VLOOKUP(Table4[[#This Row],[Vehicle no]],[1]Sheet2!$B:$J,8,0)</f>
        <v>115-774-107</v>
      </c>
      <c r="E105" s="26" t="s">
        <v>767</v>
      </c>
      <c r="F105" s="26" t="str">
        <f t="shared" si="3"/>
        <v>2025-12-29</v>
      </c>
      <c r="G105" s="24" t="s">
        <v>173</v>
      </c>
      <c r="H105" s="26" t="s">
        <v>768</v>
      </c>
      <c r="I105" s="24" t="s">
        <v>173</v>
      </c>
      <c r="J105" s="27" t="s">
        <v>769</v>
      </c>
      <c r="K105" s="28">
        <v>2.1928390000000002</v>
      </c>
      <c r="L105" s="37" t="s">
        <v>1</v>
      </c>
    </row>
    <row r="106" spans="1:12" s="5" customFormat="1" x14ac:dyDescent="0.35">
      <c r="A106" s="36" t="s">
        <v>240</v>
      </c>
      <c r="B106" s="24" t="str">
        <f>VLOOKUP(Table4[[#This Row],[Vehicle no]],[1]Sheet2!$B:$J,4,0)</f>
        <v>SAID ALLY MVUGALO</v>
      </c>
      <c r="C106" s="24" t="str">
        <f>VLOOKUP(Table4[[#This Row],[Vehicle no]],[1]Sheet2!$B:$J,9,0)</f>
        <v>IRENE SHIJA</v>
      </c>
      <c r="D106" s="24" t="str">
        <f>VLOOKUP(Table4[[#This Row],[Vehicle no]],[1]Sheet2!$B:$J,8,0)</f>
        <v>137-308-407</v>
      </c>
      <c r="E106" s="26" t="s">
        <v>770</v>
      </c>
      <c r="F106" s="26" t="str">
        <f t="shared" si="3"/>
        <v>2025-12-29</v>
      </c>
      <c r="G106" s="24" t="s">
        <v>771</v>
      </c>
      <c r="H106" s="26" t="s">
        <v>772</v>
      </c>
      <c r="I106" s="24" t="s">
        <v>773</v>
      </c>
      <c r="J106" s="27" t="s">
        <v>774</v>
      </c>
      <c r="K106" s="28">
        <v>1.2627090000000001</v>
      </c>
      <c r="L106" s="37" t="s">
        <v>1</v>
      </c>
    </row>
    <row r="107" spans="1:12" s="5" customFormat="1" x14ac:dyDescent="0.35">
      <c r="A107" s="36" t="s">
        <v>597</v>
      </c>
      <c r="B107" s="24" t="str">
        <f>VLOOKUP(Table4[[#This Row],[Vehicle no]],[1]Sheet2!$B:$J,4,0)</f>
        <v>HASSAN RAMADHANI ALLY</v>
      </c>
      <c r="C107" s="24" t="str">
        <f>VLOOKUP(Table4[[#This Row],[Vehicle no]],[1]Sheet2!$B:$J,9,0)</f>
        <v>PLASDUS MAHUMBA</v>
      </c>
      <c r="D107" s="24"/>
      <c r="E107" s="26" t="s">
        <v>775</v>
      </c>
      <c r="F107" s="26" t="str">
        <f t="shared" si="3"/>
        <v>2025-12-29</v>
      </c>
      <c r="G107" s="24" t="s">
        <v>173</v>
      </c>
      <c r="H107" s="26" t="s">
        <v>776</v>
      </c>
      <c r="I107" s="24" t="s">
        <v>173</v>
      </c>
      <c r="J107" s="27" t="s">
        <v>777</v>
      </c>
      <c r="K107" s="28">
        <v>2.3260209999999999</v>
      </c>
      <c r="L107" s="37" t="s">
        <v>1</v>
      </c>
    </row>
    <row r="108" spans="1:12" s="5" customFormat="1" x14ac:dyDescent="0.35">
      <c r="A108" s="36" t="s">
        <v>249</v>
      </c>
      <c r="B108" s="24" t="str">
        <f>VLOOKUP(Table4[[#This Row],[Vehicle no]],[1]Sheet2!$B:$J,4,0)</f>
        <v>THADEUS CHARLES HONGOLI</v>
      </c>
      <c r="C108" s="24" t="str">
        <f>VLOOKUP(Table4[[#This Row],[Vehicle no]],[1]Sheet2!$B:$J,9,0)</f>
        <v>IRENE SHIJA</v>
      </c>
      <c r="D108" s="24"/>
      <c r="E108" s="26" t="s">
        <v>778</v>
      </c>
      <c r="F108" s="26" t="str">
        <f t="shared" si="3"/>
        <v>2025-12-29</v>
      </c>
      <c r="G108" s="24" t="s">
        <v>159</v>
      </c>
      <c r="H108" s="26" t="s">
        <v>779</v>
      </c>
      <c r="I108" s="24" t="s">
        <v>347</v>
      </c>
      <c r="J108" s="27" t="s">
        <v>780</v>
      </c>
      <c r="K108" s="28">
        <v>49.245170000000002</v>
      </c>
      <c r="L108" s="37" t="s">
        <v>32</v>
      </c>
    </row>
    <row r="109" spans="1:12" s="5" customFormat="1" x14ac:dyDescent="0.35">
      <c r="A109" s="36" t="s">
        <v>240</v>
      </c>
      <c r="B109" s="24" t="str">
        <f>VLOOKUP(Table4[[#This Row],[Vehicle no]],[1]Sheet2!$B:$J,4,0)</f>
        <v>SAID ALLY MVUGALO</v>
      </c>
      <c r="C109" s="24" t="str">
        <f>VLOOKUP(Table4[[#This Row],[Vehicle no]],[1]Sheet2!$B:$J,9,0)</f>
        <v>IRENE SHIJA</v>
      </c>
      <c r="D109" s="24" t="str">
        <f>VLOOKUP(Table4[[#This Row],[Vehicle no]],[1]Sheet2!$B:$J,8,0)</f>
        <v>137-308-407</v>
      </c>
      <c r="E109" s="26" t="str">
        <f>VLOOKUP(A109,[2]TRIPS!A:G,2,)</f>
        <v>2025-12-30 05:26:20</v>
      </c>
      <c r="F109" s="26" t="str">
        <f t="shared" si="3"/>
        <v>2025-12-30</v>
      </c>
      <c r="G109" s="24" t="str">
        <f>VLOOKUP(A109,[2]TRIPS!A:G,3,)</f>
        <v>Rue De La Kamoa Mine, 17.48 km from Kapata</v>
      </c>
      <c r="H109" s="26" t="str">
        <f>VLOOKUP(A109,[2]TRIPS!A:G,4,)</f>
        <v>2025-12-30 06:12:36</v>
      </c>
      <c r="I109" s="24" t="str">
        <f>VLOOKUP(A109,[2]TRIPS!A:G,5,)</f>
        <v>Kansoko Mine Road, 17.04 km from Kapata</v>
      </c>
      <c r="J109" s="27" t="str">
        <f>VLOOKUP(A109,[2]TRIPS!A:G,6,)</f>
        <v>0:40:08</v>
      </c>
      <c r="K109" s="28">
        <f>VLOOKUP(A109,[2]TRIPS!A:G,7,)</f>
        <v>4.2506149999999998</v>
      </c>
      <c r="L109" s="37" t="s">
        <v>32</v>
      </c>
    </row>
    <row r="110" spans="1:12" s="5" customFormat="1" x14ac:dyDescent="0.35">
      <c r="A110" s="36" t="s">
        <v>281</v>
      </c>
      <c r="B110" s="24" t="str">
        <f>VLOOKUP(Table4[[#This Row],[Vehicle no]],[1]Sheet2!$B:$J,4,0)</f>
        <v>IBRAHIMU SELEMANI SENGAMBA</v>
      </c>
      <c r="C110" s="24" t="str">
        <f>VLOOKUP(Table4[[#This Row],[Vehicle no]],[1]Sheet2!$B:$J,9,0)</f>
        <v>LUSAJO KASUNGA</v>
      </c>
      <c r="D110" s="24"/>
      <c r="E110" s="26" t="s">
        <v>781</v>
      </c>
      <c r="F110" s="26" t="str">
        <f t="shared" si="3"/>
        <v>2025-12-31</v>
      </c>
      <c r="G110" s="24" t="s">
        <v>585</v>
      </c>
      <c r="H110" s="26" t="s">
        <v>782</v>
      </c>
      <c r="I110" s="24" t="s">
        <v>758</v>
      </c>
      <c r="J110" s="27" t="s">
        <v>783</v>
      </c>
      <c r="K110" s="28">
        <v>7.818676</v>
      </c>
      <c r="L110" s="37" t="s">
        <v>32</v>
      </c>
    </row>
    <row r="111" spans="1:12" s="5" customFormat="1" x14ac:dyDescent="0.35">
      <c r="A111" s="36" t="s">
        <v>104</v>
      </c>
      <c r="B111" s="24" t="str">
        <f>VLOOKUP(Table4[[#This Row],[Vehicle no]],[1]Sheet2!$B:$J,4,0)</f>
        <v>MANENO MOHAMED KAKIMA</v>
      </c>
      <c r="C111" s="24" t="str">
        <f>VLOOKUP(Table4[[#This Row],[Vehicle no]],[1]Sheet2!$B:$J,9,0)</f>
        <v>PLASDUS MAHUMBA</v>
      </c>
      <c r="D111" s="24" t="str">
        <f>VLOOKUP(Table4[[#This Row],[Vehicle no]],[1]Sheet2!$B:$J,8,0)</f>
        <v>120-607-456</v>
      </c>
      <c r="E111" s="26" t="s">
        <v>784</v>
      </c>
      <c r="F111" s="26" t="str">
        <f t="shared" si="3"/>
        <v>2025-12-31</v>
      </c>
      <c r="G111" s="24" t="s">
        <v>501</v>
      </c>
      <c r="H111" s="26" t="s">
        <v>785</v>
      </c>
      <c r="I111" s="24" t="s">
        <v>786</v>
      </c>
      <c r="J111" s="27" t="s">
        <v>787</v>
      </c>
      <c r="K111" s="28">
        <v>24.701564000000001</v>
      </c>
      <c r="L111" s="37"/>
    </row>
    <row r="112" spans="1:12" s="5" customFormat="1" x14ac:dyDescent="0.35">
      <c r="A112" s="36" t="s">
        <v>206</v>
      </c>
      <c r="B112" s="24" t="str">
        <f>VLOOKUP(Table4[[#This Row],[Vehicle no]],[1]Sheet2!$B:$J,4,0)</f>
        <v>BAZIL PHILIPO PETER</v>
      </c>
      <c r="C112" s="24" t="str">
        <f>VLOOKUP(Table4[[#This Row],[Vehicle no]],[1]Sheet2!$B:$J,9,0)</f>
        <v>PLASDUS MAHUMBA</v>
      </c>
      <c r="D112" s="24">
        <f>VLOOKUP(Table4[[#This Row],[Vehicle no]],[1]Sheet2!$B:$J,8,0)</f>
        <v>112996850</v>
      </c>
      <c r="E112" s="26" t="s">
        <v>788</v>
      </c>
      <c r="F112" s="26" t="str">
        <f t="shared" si="3"/>
        <v>2025-12-31</v>
      </c>
      <c r="G112" s="24" t="s">
        <v>133</v>
      </c>
      <c r="H112" s="26" t="s">
        <v>789</v>
      </c>
      <c r="I112" s="24" t="s">
        <v>571</v>
      </c>
      <c r="J112" s="27" t="s">
        <v>790</v>
      </c>
      <c r="K112" s="28">
        <v>55.924473999999996</v>
      </c>
      <c r="L112" s="37" t="s">
        <v>32</v>
      </c>
    </row>
    <row r="113" spans="1:12" s="5" customFormat="1" x14ac:dyDescent="0.35">
      <c r="A113" s="36" t="s">
        <v>139</v>
      </c>
      <c r="B113" s="24" t="str">
        <f>VLOOKUP(Table4[[#This Row],[Vehicle no]],[1]Sheet2!$B:$J,4,0)</f>
        <v>ATHUMANI SHABAN KAUNDU</v>
      </c>
      <c r="C113" s="24" t="str">
        <f>VLOOKUP(Table4[[#This Row],[Vehicle no]],[1]Sheet2!$B:$J,9,0)</f>
        <v>Martha GOLODI</v>
      </c>
      <c r="D113" s="24" t="str">
        <f>VLOOKUP(Table4[[#This Row],[Vehicle no]],[1]Sheet2!$B:$J,8,0)</f>
        <v>129-839-317</v>
      </c>
      <c r="E113" s="26" t="s">
        <v>791</v>
      </c>
      <c r="F113" s="26" t="str">
        <f t="shared" si="3"/>
        <v>2025-12-31</v>
      </c>
      <c r="G113" s="24" t="s">
        <v>133</v>
      </c>
      <c r="H113" s="26" t="s">
        <v>792</v>
      </c>
      <c r="I113" s="24" t="s">
        <v>305</v>
      </c>
      <c r="J113" s="27" t="s">
        <v>793</v>
      </c>
      <c r="K113" s="28">
        <v>32.248040000000003</v>
      </c>
      <c r="L113" s="37" t="s">
        <v>1</v>
      </c>
    </row>
    <row r="114" spans="1:12" s="5" customFormat="1" x14ac:dyDescent="0.35">
      <c r="A114" s="36" t="s">
        <v>77</v>
      </c>
      <c r="B114" s="24" t="str">
        <f>VLOOKUP(Table4[[#This Row],[Vehicle no]],[1]Sheet2!$B:$J,4,0)</f>
        <v>ALLY RASHID SAID</v>
      </c>
      <c r="C114" s="24" t="str">
        <f>VLOOKUP(Table4[[#This Row],[Vehicle no]],[1]Sheet2!$B:$J,9,0)</f>
        <v>Martha GOLODI</v>
      </c>
      <c r="D114" s="24" t="str">
        <f>VLOOKUP(Table4[[#This Row],[Vehicle no]],[1]Sheet2!$B:$J,8,0)</f>
        <v>115-075-187</v>
      </c>
      <c r="E114" s="26" t="s">
        <v>794</v>
      </c>
      <c r="F114" s="26" t="str">
        <f t="shared" si="3"/>
        <v>2025-12-31</v>
      </c>
      <c r="G114" s="24" t="s">
        <v>753</v>
      </c>
      <c r="H114" s="26" t="s">
        <v>795</v>
      </c>
      <c r="I114" s="24" t="s">
        <v>796</v>
      </c>
      <c r="J114" s="27" t="s">
        <v>797</v>
      </c>
      <c r="K114" s="28">
        <v>47.280965000000002</v>
      </c>
      <c r="L114" s="37" t="s">
        <v>32</v>
      </c>
    </row>
    <row r="115" spans="1:12" s="5" customFormat="1" x14ac:dyDescent="0.35">
      <c r="A115" s="36" t="s">
        <v>247</v>
      </c>
      <c r="B115" s="24" t="str">
        <f>VLOOKUP(Table4[[#This Row],[Vehicle no]],[1]Sheet2!$B:$J,4,0)</f>
        <v>SWEDI SALEHE MAJORO</v>
      </c>
      <c r="C115" s="24" t="str">
        <f>VLOOKUP(Table4[[#This Row],[Vehicle no]],[1]Sheet2!$B:$J,9,0)</f>
        <v>Martha GOLODI</v>
      </c>
      <c r="D115" s="24" t="str">
        <f>VLOOKUP(Table4[[#This Row],[Vehicle no]],[1]Sheet2!$B:$J,8,0)</f>
        <v>138-321-932</v>
      </c>
      <c r="E115" s="26" t="s">
        <v>798</v>
      </c>
      <c r="F115" s="26" t="str">
        <f t="shared" si="3"/>
        <v>2025-12-31</v>
      </c>
      <c r="G115" s="24" t="s">
        <v>416</v>
      </c>
      <c r="H115" s="26" t="s">
        <v>799</v>
      </c>
      <c r="I115" s="24" t="s">
        <v>117</v>
      </c>
      <c r="J115" s="27" t="s">
        <v>800</v>
      </c>
      <c r="K115" s="28">
        <v>91.065461999999997</v>
      </c>
      <c r="L115" s="37" t="s">
        <v>32</v>
      </c>
    </row>
    <row r="116" spans="1:12" s="5" customFormat="1" x14ac:dyDescent="0.35">
      <c r="A116" s="36" t="s">
        <v>276</v>
      </c>
      <c r="B116" s="24" t="str">
        <f>VLOOKUP(Table4[[#This Row],[Vehicle no]],[1]Sheet2!$B:$J,4,0)</f>
        <v>MELKIZEDEKI BEATUS DUMA</v>
      </c>
      <c r="C116" s="24" t="str">
        <f>VLOOKUP(Table4[[#This Row],[Vehicle no]],[1]Sheet2!$B:$J,9,0)</f>
        <v>SADI KIMWAGA</v>
      </c>
      <c r="D116" s="24" t="str">
        <f>VLOOKUP(Table4[[#This Row],[Vehicle no]],[1]Sheet2!$B:$J,8,0)</f>
        <v>113-838-809</v>
      </c>
      <c r="E116" s="26" t="s">
        <v>801</v>
      </c>
      <c r="F116" s="26" t="str">
        <f t="shared" si="3"/>
        <v>2025-12-31</v>
      </c>
      <c r="G116" s="24" t="s">
        <v>126</v>
      </c>
      <c r="H116" s="26" t="s">
        <v>802</v>
      </c>
      <c r="I116" s="24" t="s">
        <v>116</v>
      </c>
      <c r="J116" s="27" t="s">
        <v>803</v>
      </c>
      <c r="K116" s="28">
        <v>145.16068899999999</v>
      </c>
      <c r="L116" s="37" t="s">
        <v>32</v>
      </c>
    </row>
    <row r="117" spans="1:12" s="5" customFormat="1" x14ac:dyDescent="0.35">
      <c r="A117" s="36" t="s">
        <v>607</v>
      </c>
      <c r="B117" s="24" t="str">
        <f>VLOOKUP(Table4[[#This Row],[Vehicle no]],[1]Sheet2!$B:$J,4,0)</f>
        <v>MAJUTO SHABANI HAMISI</v>
      </c>
      <c r="C117" s="24" t="str">
        <f>VLOOKUP(Table4[[#This Row],[Vehicle no]],[1]Sheet2!$B:$J,9,0)</f>
        <v>PLASDUS MAHUMBA</v>
      </c>
      <c r="D117" s="24">
        <f>VLOOKUP(Table4[[#This Row],[Vehicle no]],[1]Sheet2!$B:$J,8,0)</f>
        <v>112243224</v>
      </c>
      <c r="E117" s="26" t="s">
        <v>804</v>
      </c>
      <c r="F117" s="26" t="str">
        <f t="shared" si="3"/>
        <v>2026-01-01</v>
      </c>
      <c r="G117" s="24" t="s">
        <v>805</v>
      </c>
      <c r="H117" s="26" t="s">
        <v>806</v>
      </c>
      <c r="I117" s="24" t="s">
        <v>807</v>
      </c>
      <c r="J117" s="27" t="s">
        <v>808</v>
      </c>
      <c r="K117" s="28">
        <v>128.06440799999999</v>
      </c>
      <c r="L117" s="37" t="s">
        <v>32</v>
      </c>
    </row>
    <row r="118" spans="1:12" s="5" customFormat="1" x14ac:dyDescent="0.35">
      <c r="A118" s="36" t="s">
        <v>275</v>
      </c>
      <c r="B118" s="24" t="str">
        <f>VLOOKUP(Table4[[#This Row],[Vehicle no]],[1]Sheet2!$B:$J,4,0)</f>
        <v>ABUBAKAR JUMA YUSUPH</v>
      </c>
      <c r="C118" s="24" t="str">
        <f>VLOOKUP(Table4[[#This Row],[Vehicle no]],[1]Sheet2!$B:$J,9,0)</f>
        <v>IRENE SHIJA</v>
      </c>
      <c r="D118" s="24"/>
      <c r="E118" s="26" t="s">
        <v>809</v>
      </c>
      <c r="F118" s="26" t="str">
        <f t="shared" si="3"/>
        <v>2026-01-01</v>
      </c>
      <c r="G118" s="24" t="s">
        <v>501</v>
      </c>
      <c r="H118" s="26" t="s">
        <v>810</v>
      </c>
      <c r="I118" s="24" t="s">
        <v>758</v>
      </c>
      <c r="J118" s="27" t="s">
        <v>811</v>
      </c>
      <c r="K118" s="28">
        <v>6.6016940000000002</v>
      </c>
      <c r="L118" s="37" t="s">
        <v>1</v>
      </c>
    </row>
    <row r="119" spans="1:12" s="5" customFormat="1" x14ac:dyDescent="0.35">
      <c r="A119" s="36" t="s">
        <v>496</v>
      </c>
      <c r="B119" s="24" t="str">
        <f>VLOOKUP(Table4[[#This Row],[Vehicle no]],[1]Sheet2!$B:$J,4,0)</f>
        <v>SALUM MGANGA MADENI</v>
      </c>
      <c r="C119" s="24" t="str">
        <f>VLOOKUP(Table4[[#This Row],[Vehicle no]],[1]Sheet2!$B:$J,9,0)</f>
        <v>SADI KIMWAGA</v>
      </c>
      <c r="D119" s="24" t="str">
        <f>VLOOKUP(Table4[[#This Row],[Vehicle no]],[1]Sheet2!$B:$J,8,0)</f>
        <v>112-525-920</v>
      </c>
      <c r="E119" s="26" t="s">
        <v>812</v>
      </c>
      <c r="F119" s="26" t="str">
        <f t="shared" si="3"/>
        <v>2026-01-02</v>
      </c>
      <c r="G119" s="24" t="s">
        <v>172</v>
      </c>
      <c r="H119" s="26" t="s">
        <v>813</v>
      </c>
      <c r="I119" s="24" t="s">
        <v>126</v>
      </c>
      <c r="J119" s="27" t="s">
        <v>814</v>
      </c>
      <c r="K119" s="28">
        <v>182.632822</v>
      </c>
      <c r="L119" s="37" t="s">
        <v>32</v>
      </c>
    </row>
    <row r="120" spans="1:12" s="5" customFormat="1" x14ac:dyDescent="0.35">
      <c r="A120" s="36" t="s">
        <v>56</v>
      </c>
      <c r="B120" s="24" t="str">
        <f>VLOOKUP(Table4[[#This Row],[Vehicle no]],[1]Sheet2!$B:$J,4,0)</f>
        <v>KHERI HASSAN MILANZI</v>
      </c>
      <c r="C120" s="24" t="str">
        <f>VLOOKUP(Table4[[#This Row],[Vehicle no]],[1]Sheet2!$B:$J,9,0)</f>
        <v>LUSAJO KASUNGA</v>
      </c>
      <c r="D120" s="24" t="str">
        <f>VLOOKUP(Table4[[#This Row],[Vehicle no]],[1]Sheet2!$B:$J,8,0)</f>
        <v>128-127-178</v>
      </c>
      <c r="E120" s="26" t="s">
        <v>815</v>
      </c>
      <c r="F120" s="26" t="str">
        <f t="shared" si="3"/>
        <v>2026-01-02</v>
      </c>
      <c r="G120" s="24" t="s">
        <v>397</v>
      </c>
      <c r="H120" s="26" t="s">
        <v>816</v>
      </c>
      <c r="I120" s="24" t="s">
        <v>817</v>
      </c>
      <c r="J120" s="27" t="s">
        <v>818</v>
      </c>
      <c r="K120" s="28">
        <v>188.89341099999999</v>
      </c>
      <c r="L120" s="37" t="s">
        <v>32</v>
      </c>
    </row>
    <row r="121" spans="1:12" s="5" customFormat="1" x14ac:dyDescent="0.35">
      <c r="A121" s="36" t="s">
        <v>196</v>
      </c>
      <c r="B121" s="24" t="str">
        <f>VLOOKUP(Table4[[#This Row],[Vehicle no]],[1]Sheet2!$B:$J,4,0)</f>
        <v xml:space="preserve">
AGATHA TOMAS KENJO</v>
      </c>
      <c r="C121" s="24" t="str">
        <f>VLOOKUP(Table4[[#This Row],[Vehicle no]],[1]Sheet2!$B:$J,9,0)</f>
        <v>IRENE SHIJA</v>
      </c>
      <c r="D121" s="24" t="str">
        <f>VLOOKUP(Table4[[#This Row],[Vehicle no]],[1]Sheet2!$B:$J,8,0)</f>
        <v>156-487-198</v>
      </c>
      <c r="E121" s="26" t="s">
        <v>819</v>
      </c>
      <c r="F121" s="26" t="str">
        <f t="shared" si="3"/>
        <v>2026-01-02</v>
      </c>
      <c r="G121" s="24" t="s">
        <v>172</v>
      </c>
      <c r="H121" s="26" t="s">
        <v>820</v>
      </c>
      <c r="I121" s="24" t="s">
        <v>225</v>
      </c>
      <c r="J121" s="27" t="s">
        <v>821</v>
      </c>
      <c r="K121" s="28">
        <v>87.584637999999998</v>
      </c>
      <c r="L121" s="37" t="s">
        <v>32</v>
      </c>
    </row>
    <row r="122" spans="1:12" s="5" customFormat="1" x14ac:dyDescent="0.35">
      <c r="A122" s="36" t="s">
        <v>52</v>
      </c>
      <c r="B122" s="24" t="str">
        <f>VLOOKUP(Table4[[#This Row],[Vehicle no]],[1]Sheet2!$B:$J,4,0)</f>
        <v>ISIHAKA IDRISA HAMIDU</v>
      </c>
      <c r="C122" s="24" t="str">
        <f>VLOOKUP(Table4[[#This Row],[Vehicle no]],[1]Sheet2!$B:$J,9,0)</f>
        <v>SADI KIMWAGA</v>
      </c>
      <c r="D122" s="24" t="str">
        <f>VLOOKUP(Table4[[#This Row],[Vehicle no]],[1]Sheet2!$B:$J,8,0)</f>
        <v>112-800-034</v>
      </c>
      <c r="E122" s="26" t="s">
        <v>822</v>
      </c>
      <c r="F122" s="26" t="str">
        <f t="shared" si="3"/>
        <v>2026-01-02</v>
      </c>
      <c r="G122" s="24" t="s">
        <v>172</v>
      </c>
      <c r="H122" s="26" t="s">
        <v>823</v>
      </c>
      <c r="I122" s="24" t="s">
        <v>225</v>
      </c>
      <c r="J122" s="27" t="s">
        <v>824</v>
      </c>
      <c r="K122" s="28">
        <v>87.640090000000001</v>
      </c>
      <c r="L122" s="37" t="s">
        <v>32</v>
      </c>
    </row>
    <row r="123" spans="1:12" s="5" customFormat="1" x14ac:dyDescent="0.35">
      <c r="A123" s="36" t="s">
        <v>201</v>
      </c>
      <c r="B123" s="24" t="str">
        <f>VLOOKUP(Table4[[#This Row],[Vehicle no]],[1]Sheet2!$B:$J,4,0)</f>
        <v>JUMA JAFARI KASELE</v>
      </c>
      <c r="C123" s="24" t="str">
        <f>VLOOKUP(Table4[[#This Row],[Vehicle no]],[1]Sheet2!$B:$J,9,0)</f>
        <v>LUSAJO KASUNGA</v>
      </c>
      <c r="D123" s="24"/>
      <c r="E123" s="26" t="s">
        <v>825</v>
      </c>
      <c r="F123" s="26" t="str">
        <f t="shared" si="3"/>
        <v>2026-01-02</v>
      </c>
      <c r="G123" s="24" t="s">
        <v>172</v>
      </c>
      <c r="H123" s="26" t="s">
        <v>826</v>
      </c>
      <c r="I123" s="24" t="s">
        <v>110</v>
      </c>
      <c r="J123" s="27" t="s">
        <v>827</v>
      </c>
      <c r="K123" s="28">
        <v>232.85548199999999</v>
      </c>
      <c r="L123" s="37" t="s">
        <v>32</v>
      </c>
    </row>
    <row r="124" spans="1:12" s="5" customFormat="1" x14ac:dyDescent="0.35">
      <c r="A124" s="36" t="s">
        <v>67</v>
      </c>
      <c r="B124" s="24" t="str">
        <f>VLOOKUP(Table4[[#This Row],[Vehicle no]],[1]Sheet2!$B:$J,4,0)</f>
        <v>ALPHONCE SIMO HORO</v>
      </c>
      <c r="C124" s="24" t="str">
        <f>VLOOKUP(Table4[[#This Row],[Vehicle no]],[1]Sheet2!$B:$J,9,0)</f>
        <v>SADI KIMWAGA</v>
      </c>
      <c r="D124" s="24"/>
      <c r="E124" s="26" t="s">
        <v>828</v>
      </c>
      <c r="F124" s="26" t="str">
        <f t="shared" si="3"/>
        <v>2026-01-02</v>
      </c>
      <c r="G124" s="24" t="s">
        <v>331</v>
      </c>
      <c r="H124" s="26" t="s">
        <v>829</v>
      </c>
      <c r="I124" s="24" t="s">
        <v>571</v>
      </c>
      <c r="J124" s="27" t="s">
        <v>830</v>
      </c>
      <c r="K124" s="28">
        <v>96.555781999999994</v>
      </c>
      <c r="L124" s="37" t="s">
        <v>32</v>
      </c>
    </row>
    <row r="125" spans="1:12" s="5" customFormat="1" x14ac:dyDescent="0.35">
      <c r="A125" s="36" t="s">
        <v>831</v>
      </c>
      <c r="B125" s="24" t="str">
        <f>VLOOKUP(Table4[[#This Row],[Vehicle no]],[1]Sheet2!$B:$J,4,0)</f>
        <v>JUMANNE ALLY MUHINA</v>
      </c>
      <c r="C125" s="24" t="str">
        <f>VLOOKUP(Table4[[#This Row],[Vehicle no]],[1]Sheet2!$B:$J,9,0)</f>
        <v>PLASDUS MAHUMBA</v>
      </c>
      <c r="D125" s="24"/>
      <c r="E125" s="26" t="s">
        <v>832</v>
      </c>
      <c r="F125" s="26" t="str">
        <f t="shared" si="3"/>
        <v>2026-01-02</v>
      </c>
      <c r="G125" s="24" t="s">
        <v>509</v>
      </c>
      <c r="H125" s="26" t="s">
        <v>833</v>
      </c>
      <c r="I125" s="24" t="s">
        <v>119</v>
      </c>
      <c r="J125" s="27" t="s">
        <v>834</v>
      </c>
      <c r="K125" s="28">
        <v>0.220777</v>
      </c>
      <c r="L125" s="37" t="s">
        <v>1</v>
      </c>
    </row>
    <row r="126" spans="1:12" s="5" customFormat="1" x14ac:dyDescent="0.35">
      <c r="A126" s="36" t="s">
        <v>247</v>
      </c>
      <c r="B126" s="24" t="str">
        <f>VLOOKUP(Table4[[#This Row],[Vehicle no]],[1]Sheet2!$B:$J,4,0)</f>
        <v>SWEDI SALEHE MAJORO</v>
      </c>
      <c r="C126" s="24" t="str">
        <f>VLOOKUP(Table4[[#This Row],[Vehicle no]],[1]Sheet2!$B:$J,9,0)</f>
        <v>Martha GOLODI</v>
      </c>
      <c r="D126" s="24" t="str">
        <f>VLOOKUP(Table4[[#This Row],[Vehicle no]],[1]Sheet2!$B:$J,8,0)</f>
        <v>138-321-932</v>
      </c>
      <c r="E126" s="26" t="s">
        <v>835</v>
      </c>
      <c r="F126" s="26" t="str">
        <f t="shared" si="3"/>
        <v>2026-01-03</v>
      </c>
      <c r="G126" s="24" t="s">
        <v>676</v>
      </c>
      <c r="H126" s="26" t="s">
        <v>836</v>
      </c>
      <c r="I126" s="24" t="s">
        <v>837</v>
      </c>
      <c r="J126" s="27" t="s">
        <v>838</v>
      </c>
      <c r="K126" s="28">
        <v>44.399059999999999</v>
      </c>
      <c r="L126" s="37" t="s">
        <v>32</v>
      </c>
    </row>
    <row r="127" spans="1:12" s="5" customFormat="1" x14ac:dyDescent="0.35">
      <c r="A127" s="36" t="s">
        <v>66</v>
      </c>
      <c r="B127" s="24" t="str">
        <f>VLOOKUP(Table4[[#This Row],[Vehicle no]],[1]Sheet2!$B:$J,4,0)</f>
        <v>NASIBU SAIDY GUBWE</v>
      </c>
      <c r="C127" s="24" t="str">
        <f>VLOOKUP(Table4[[#This Row],[Vehicle no]],[1]Sheet2!$B:$J,9,0)</f>
        <v>LUSAJO KASUNGA</v>
      </c>
      <c r="D127" s="24" t="str">
        <f>VLOOKUP(Table4[[#This Row],[Vehicle no]],[1]Sheet2!$B:$J,8,0)</f>
        <v>144-695-674</v>
      </c>
      <c r="E127" s="26" t="s">
        <v>839</v>
      </c>
      <c r="F127" s="26" t="str">
        <f t="shared" si="3"/>
        <v>2026-01-03</v>
      </c>
      <c r="G127" s="24" t="s">
        <v>141</v>
      </c>
      <c r="H127" s="26" t="s">
        <v>840</v>
      </c>
      <c r="I127" s="24" t="s">
        <v>841</v>
      </c>
      <c r="J127" s="27" t="s">
        <v>842</v>
      </c>
      <c r="K127" s="28">
        <v>44.087378999999999</v>
      </c>
      <c r="L127" s="37" t="s">
        <v>32</v>
      </c>
    </row>
    <row r="128" spans="1:12" s="5" customFormat="1" x14ac:dyDescent="0.35">
      <c r="A128" s="36" t="s">
        <v>601</v>
      </c>
      <c r="B128" s="24" t="str">
        <f>VLOOKUP(Table4[[#This Row],[Vehicle no]],[1]Sheet2!$B:$J,4,0)</f>
        <v>JOSEPH XZAVIER MPILUKA</v>
      </c>
      <c r="C128" s="24" t="str">
        <f>VLOOKUP(Table4[[#This Row],[Vehicle no]],[1]Sheet2!$B:$J,9,0)</f>
        <v>Martha GOLODI</v>
      </c>
      <c r="D128" s="24"/>
      <c r="E128" s="26" t="s">
        <v>843</v>
      </c>
      <c r="F128" s="26" t="str">
        <f t="shared" si="3"/>
        <v>2026-01-03</v>
      </c>
      <c r="G128" s="24" t="s">
        <v>173</v>
      </c>
      <c r="H128" s="26" t="s">
        <v>844</v>
      </c>
      <c r="I128" s="24" t="s">
        <v>845</v>
      </c>
      <c r="J128" s="27" t="s">
        <v>846</v>
      </c>
      <c r="K128" s="28">
        <v>32.635668000000003</v>
      </c>
      <c r="L128" s="37" t="s">
        <v>1</v>
      </c>
    </row>
    <row r="129" spans="1:12" s="5" customFormat="1" x14ac:dyDescent="0.35">
      <c r="A129" s="36" t="s">
        <v>125</v>
      </c>
      <c r="B129" s="24" t="str">
        <f>VLOOKUP(Table4[[#This Row],[Vehicle no]],[1]Sheet2!$B:$J,4,0)</f>
        <v>PATRICK CLEMENT COROGO</v>
      </c>
      <c r="C129" s="24" t="str">
        <f>VLOOKUP(Table4[[#This Row],[Vehicle no]],[1]Sheet2!$B:$J,9,0)</f>
        <v>LUSAJO KASUNGA</v>
      </c>
      <c r="D129" s="24"/>
      <c r="E129" s="26" t="s">
        <v>847</v>
      </c>
      <c r="F129" s="26" t="str">
        <f t="shared" si="3"/>
        <v>2026-01-03</v>
      </c>
      <c r="G129" s="24" t="s">
        <v>173</v>
      </c>
      <c r="H129" s="26" t="s">
        <v>848</v>
      </c>
      <c r="I129" s="24" t="s">
        <v>845</v>
      </c>
      <c r="J129" s="27" t="s">
        <v>849</v>
      </c>
      <c r="K129" s="28">
        <v>32.617367000000002</v>
      </c>
      <c r="L129" s="37" t="s">
        <v>1</v>
      </c>
    </row>
    <row r="130" spans="1:12" s="5" customFormat="1" x14ac:dyDescent="0.35">
      <c r="A130" s="36" t="s">
        <v>281</v>
      </c>
      <c r="B130" s="24" t="str">
        <f>VLOOKUP(Table4[[#This Row],[Vehicle no]],[1]Sheet2!$B:$J,4,0)</f>
        <v>IBRAHIMU SELEMANI SENGAMBA</v>
      </c>
      <c r="C130" s="24" t="str">
        <f>VLOOKUP(Table4[[#This Row],[Vehicle no]],[1]Sheet2!$B:$J,9,0)</f>
        <v>LUSAJO KASUNGA</v>
      </c>
      <c r="D130" s="24"/>
      <c r="E130" s="26" t="s">
        <v>850</v>
      </c>
      <c r="F130" s="26" t="str">
        <f t="shared" ref="F130:F131" si="4">LEFT(E:E,10)</f>
        <v>2026-01-03</v>
      </c>
      <c r="G130" s="24" t="s">
        <v>851</v>
      </c>
      <c r="H130" s="26" t="s">
        <v>852</v>
      </c>
      <c r="I130" s="24" t="s">
        <v>853</v>
      </c>
      <c r="J130" s="27" t="s">
        <v>854</v>
      </c>
      <c r="K130" s="28">
        <v>11.737944000000001</v>
      </c>
      <c r="L130" s="37" t="s">
        <v>1</v>
      </c>
    </row>
    <row r="131" spans="1:12" s="5" customFormat="1" x14ac:dyDescent="0.35">
      <c r="A131" s="36" t="s">
        <v>253</v>
      </c>
      <c r="B131" s="24" t="str">
        <f>VLOOKUP(Table4[[#This Row],[Vehicle no]],[1]Sheet2!$B:$J,4,0)</f>
        <v>AHMED SHAMSHU MOHAMED</v>
      </c>
      <c r="C131" s="24" t="str">
        <f>VLOOKUP(Table4[[#This Row],[Vehicle no]],[1]Sheet2!$B:$J,9,0)</f>
        <v>Ayoub BENESTA</v>
      </c>
      <c r="D131" s="24" t="str">
        <f>VLOOKUP(Table4[[#This Row],[Vehicle no]],[1]Sheet2!$B:$J,8,0)</f>
        <v>116-005-034</v>
      </c>
      <c r="E131" s="26" t="s">
        <v>855</v>
      </c>
      <c r="F131" s="26" t="str">
        <f t="shared" si="4"/>
        <v>2026-01-03</v>
      </c>
      <c r="G131" s="24" t="s">
        <v>856</v>
      </c>
      <c r="H131" s="26" t="s">
        <v>857</v>
      </c>
      <c r="I131" s="24" t="s">
        <v>858</v>
      </c>
      <c r="J131" s="27" t="s">
        <v>859</v>
      </c>
      <c r="K131" s="28">
        <v>4.3575679999999997</v>
      </c>
      <c r="L131" s="37" t="s">
        <v>1</v>
      </c>
    </row>
    <row r="132" spans="1:12" s="5" customFormat="1" x14ac:dyDescent="0.35">
      <c r="A132" s="36" t="s">
        <v>264</v>
      </c>
      <c r="B132" s="24" t="str">
        <f>VLOOKUP(Table4[[#This Row],[Vehicle no]],[1]Sheet2!$B:$J,4,0)</f>
        <v>YUSUPH SELEMANI SHOO</v>
      </c>
      <c r="C132" s="24" t="str">
        <f>VLOOKUP(Table4[[#This Row],[Vehicle no]],[1]Sheet2!$B:$J,9,0)</f>
        <v>Martha GOLODI</v>
      </c>
      <c r="D132" s="24"/>
      <c r="E132" s="26" t="str">
        <f>VLOOKUP(A132,[3]TRIPS!B:H,2,0)</f>
        <v>2026-01-04 04:34:01</v>
      </c>
      <c r="F132" s="26" t="str">
        <f>LEFT(E:E,10)</f>
        <v>2026-01-04</v>
      </c>
      <c r="G132" s="24" t="str">
        <f>VLOOKUP(A132,[3]TRIPS!B:H,3,0)</f>
        <v>T1, Kongolo Mkola</v>
      </c>
      <c r="H132" s="26" t="str">
        <f>VLOOKUP(A132,[3]TRIPS!B:H,4,0)</f>
        <v>2026-01-04 20:09:10</v>
      </c>
      <c r="I132" s="24" t="str">
        <f>VLOOKUP(A132,[3]TRIPS!B:H,5,0)</f>
        <v>TUNDUMA PARKING</v>
      </c>
      <c r="J132" s="27" t="str">
        <f>VLOOKUP(A132,[3]TRIPS!B:H,6,0)</f>
        <v>1:58:27</v>
      </c>
      <c r="K132" s="28">
        <f>VLOOKUP(A132,[3]TRIPS!B:H,7,0)</f>
        <v>46.862701999999999</v>
      </c>
      <c r="L132" s="37" t="s">
        <v>32</v>
      </c>
    </row>
    <row r="133" spans="1:12" s="5" customFormat="1" x14ac:dyDescent="0.35">
      <c r="A133" s="36" t="s">
        <v>252</v>
      </c>
      <c r="B133" s="24" t="str">
        <f>VLOOKUP(Table4[[#This Row],[Vehicle no]],[1]Sheet2!$B:$J,4,0)</f>
        <v>ROBERT TULIA CHANDO</v>
      </c>
      <c r="C133" s="24" t="str">
        <f>VLOOKUP(Table4[[#This Row],[Vehicle no]],[1]Sheet2!$B:$J,9,0)</f>
        <v>LUSAJO KASUNGA</v>
      </c>
      <c r="D133" s="24">
        <f>VLOOKUP(Table4[[#This Row],[Vehicle no]],[1]Sheet2!$B:$J,8,0)</f>
        <v>112361642</v>
      </c>
      <c r="E133" s="26" t="s">
        <v>1586</v>
      </c>
      <c r="F133" s="26" t="str">
        <f>LEFT(E:E,10)</f>
        <v>2026-01-05</v>
      </c>
      <c r="G133" s="24" t="s">
        <v>511</v>
      </c>
      <c r="H133" s="26" t="s">
        <v>1587</v>
      </c>
      <c r="I133" s="24" t="s">
        <v>514</v>
      </c>
      <c r="J133" s="27" t="s">
        <v>632</v>
      </c>
      <c r="K133" s="28" t="s">
        <v>1588</v>
      </c>
      <c r="L133" s="37" t="s">
        <v>1</v>
      </c>
    </row>
    <row r="134" spans="1:12" s="5" customFormat="1" x14ac:dyDescent="0.35">
      <c r="A134" s="36" t="s">
        <v>163</v>
      </c>
      <c r="B134" s="24" t="str">
        <f>VLOOKUP(Table4[[#This Row],[Vehicle no]],[1]Sheet2!$B:$J,4,0)</f>
        <v xml:space="preserve">HAROUB OMARY JAKA </v>
      </c>
      <c r="C134" s="24" t="str">
        <f>VLOOKUP(Table4[[#This Row],[Vehicle no]],[1]Sheet2!$B:$J,9,0)</f>
        <v>PLASDUS MAHUMBA</v>
      </c>
      <c r="D134" s="24">
        <f>VLOOKUP(Table4[[#This Row],[Vehicle no]],[1]Sheet2!$B:$J,8,0)</f>
        <v>112536620</v>
      </c>
      <c r="E134" s="26" t="s">
        <v>1691</v>
      </c>
      <c r="F134" s="26" t="str">
        <f>LEFT(E:E,10)</f>
        <v>2026-01-06</v>
      </c>
      <c r="G134" s="24" t="s">
        <v>114</v>
      </c>
      <c r="H134" s="26" t="s">
        <v>1692</v>
      </c>
      <c r="I134" s="24" t="s">
        <v>604</v>
      </c>
      <c r="J134" s="27" t="s">
        <v>1693</v>
      </c>
      <c r="K134" s="28" t="s">
        <v>1694</v>
      </c>
      <c r="L134" s="37" t="s">
        <v>32</v>
      </c>
    </row>
    <row r="135" spans="1:12" s="5" customFormat="1" x14ac:dyDescent="0.35">
      <c r="A135" s="36" t="s">
        <v>424</v>
      </c>
      <c r="B135" s="24" t="str">
        <f>VLOOKUP(Table4[[#This Row],[Vehicle no]],[1]Sheet2!$B:$J,4,0)</f>
        <v>ABDALLAH HAMISI MKUMBO</v>
      </c>
      <c r="C135" s="24" t="str">
        <f>VLOOKUP(Table4[[#This Row],[Vehicle no]],[1]Sheet2!$B:$J,9,0)</f>
        <v>SADI KIMWAGA</v>
      </c>
      <c r="D135" s="24">
        <f>VLOOKUP(Table4[[#This Row],[Vehicle no]],[1]Sheet2!$B:$J,8,0)</f>
        <v>117168492</v>
      </c>
      <c r="E135" s="26" t="s">
        <v>1695</v>
      </c>
      <c r="F135" s="26" t="str">
        <f>LEFT(E:E,10)</f>
        <v>2026-01-06</v>
      </c>
      <c r="G135" s="24" t="s">
        <v>1696</v>
      </c>
      <c r="H135" s="26" t="s">
        <v>1697</v>
      </c>
      <c r="I135" s="24" t="s">
        <v>1698</v>
      </c>
      <c r="J135" s="27" t="s">
        <v>1699</v>
      </c>
      <c r="K135" s="28" t="s">
        <v>1700</v>
      </c>
      <c r="L135" s="37" t="s">
        <v>1</v>
      </c>
    </row>
    <row r="136" spans="1:12" s="5" customFormat="1" x14ac:dyDescent="0.35">
      <c r="A136" s="36" t="s">
        <v>207</v>
      </c>
      <c r="B136" s="24" t="str">
        <f>VLOOKUP(Table4[[#This Row],[Vehicle no]],[1]Sheet2!$B:$J,4,0)</f>
        <v>RAMADHANI AYOUB ATHUMANI</v>
      </c>
      <c r="C136" s="24" t="str">
        <f>VLOOKUP(Table4[[#This Row],[Vehicle no]],[1]Sheet2!$B:$J,9,0)</f>
        <v>LUSAJO KASUNGA</v>
      </c>
      <c r="D136" s="24" t="str">
        <f>VLOOKUP(Table4[[#This Row],[Vehicle no]],[1]Sheet2!$B:$J,8,0)</f>
        <v>111-019-703</v>
      </c>
      <c r="E136" s="26" t="s">
        <v>1893</v>
      </c>
      <c r="F136" s="26" t="str">
        <f t="shared" ref="F136:F138" si="5">LEFT(E:E,10)</f>
        <v>2026-01-07</v>
      </c>
      <c r="G136" s="24" t="s">
        <v>350</v>
      </c>
      <c r="H136" s="26" t="s">
        <v>1894</v>
      </c>
      <c r="I136" s="24" t="s">
        <v>1895</v>
      </c>
      <c r="J136" s="27" t="s">
        <v>1896</v>
      </c>
      <c r="K136" s="28" t="s">
        <v>1897</v>
      </c>
      <c r="L136" s="37" t="s">
        <v>32</v>
      </c>
    </row>
    <row r="137" spans="1:12" s="5" customFormat="1" x14ac:dyDescent="0.35">
      <c r="A137" s="36" t="s">
        <v>186</v>
      </c>
      <c r="B137" s="24" t="str">
        <f>VLOOKUP(Table4[[#This Row],[Vehicle no]],[1]Sheet2!$B:$J,4,0)</f>
        <v>YASIN BAKARI NYALU</v>
      </c>
      <c r="C137" s="24" t="str">
        <f>VLOOKUP(Table4[[#This Row],[Vehicle no]],[1]Sheet2!$B:$J,9,0)</f>
        <v>Ayoub BENESTA</v>
      </c>
      <c r="D137" s="24" t="str">
        <f>VLOOKUP(Table4[[#This Row],[Vehicle no]],[1]Sheet2!$B:$J,8,0)</f>
        <v>137-423-243</v>
      </c>
      <c r="E137" s="26" t="s">
        <v>1898</v>
      </c>
      <c r="F137" s="26" t="str">
        <f t="shared" si="5"/>
        <v>2026-01-07</v>
      </c>
      <c r="G137" s="24" t="s">
        <v>112</v>
      </c>
      <c r="H137" s="26" t="s">
        <v>1899</v>
      </c>
      <c r="I137" s="24" t="s">
        <v>305</v>
      </c>
      <c r="J137" s="27" t="s">
        <v>1900</v>
      </c>
      <c r="K137" s="28" t="s">
        <v>1901</v>
      </c>
      <c r="L137" s="37" t="s">
        <v>32</v>
      </c>
    </row>
    <row r="138" spans="1:12" s="5" customFormat="1" x14ac:dyDescent="0.35">
      <c r="A138" s="43" t="s">
        <v>103</v>
      </c>
      <c r="B138" s="23" t="str">
        <f>VLOOKUP(Table4[[#This Row],[Vehicle no]],[1]Sheet2!$B:$J,4,0)</f>
        <v>HUMUDI SAID AMORI</v>
      </c>
      <c r="C138" s="23" t="str">
        <f>VLOOKUP(Table4[[#This Row],[Vehicle no]],[1]Sheet2!$B:$J,9,0)</f>
        <v>PLASDUS MAHUMBA</v>
      </c>
      <c r="D138" s="23" t="str">
        <f>VLOOKUP(Table4[[#This Row],[Vehicle no]],[1]Sheet2!$B:$J,8,0)</f>
        <v>114-113-778</v>
      </c>
      <c r="E138" s="25" t="s">
        <v>1902</v>
      </c>
      <c r="F138" s="25" t="str">
        <f t="shared" si="5"/>
        <v>2026-01-07</v>
      </c>
      <c r="G138" s="23" t="s">
        <v>112</v>
      </c>
      <c r="H138" s="25" t="s">
        <v>1849</v>
      </c>
      <c r="I138" s="23" t="s">
        <v>1903</v>
      </c>
      <c r="J138" s="29" t="s">
        <v>1904</v>
      </c>
      <c r="K138" s="30" t="s">
        <v>1905</v>
      </c>
      <c r="L138" s="44" t="s">
        <v>32</v>
      </c>
    </row>
    <row r="139" spans="1:12" x14ac:dyDescent="0.35">
      <c r="A139" s="43" t="s">
        <v>2035</v>
      </c>
      <c r="B139" s="23" t="str">
        <f>VLOOKUP(Table4[[#This Row],[Vehicle no]],[1]Sheet2!$B:$J,4,0)</f>
        <v>EZEKIEL AMBAKISYE MWAMBENE</v>
      </c>
      <c r="C139" s="23" t="str">
        <f>VLOOKUP(Table4[[#This Row],[Vehicle no]],[1]Sheet2!$B:$J,9,0)</f>
        <v>PLASDUS MAHUMBA</v>
      </c>
      <c r="D139" s="23" t="str">
        <f>VLOOKUP(Table4[[#This Row],[Vehicle no]],[1]Sheet2!$B:$J,8,0)</f>
        <v>118-416-929</v>
      </c>
      <c r="E139" s="25" t="s">
        <v>2036</v>
      </c>
      <c r="F139" s="25" t="str">
        <f t="shared" ref="F139:F144" si="6">LEFT(E:E,10)</f>
        <v>2026-01-08</v>
      </c>
      <c r="G139" s="23" t="s">
        <v>2037</v>
      </c>
      <c r="H139" s="25" t="s">
        <v>2038</v>
      </c>
      <c r="I139" s="23" t="s">
        <v>2039</v>
      </c>
      <c r="J139" s="29" t="s">
        <v>2040</v>
      </c>
      <c r="K139" s="30">
        <v>59.878726</v>
      </c>
      <c r="L139" s="44" t="s">
        <v>32</v>
      </c>
    </row>
    <row r="140" spans="1:12" x14ac:dyDescent="0.35">
      <c r="A140" s="43" t="s">
        <v>191</v>
      </c>
      <c r="B140" s="23" t="str">
        <f>VLOOKUP(Table4[[#This Row],[Vehicle no]],[1]Sheet2!$B:$J,4,0)</f>
        <v>AMOS KASEKE KUYOKWA</v>
      </c>
      <c r="C140" s="23" t="str">
        <f>VLOOKUP(Table4[[#This Row],[Vehicle no]],[1]Sheet2!$B:$J,9,0)</f>
        <v>PLASDUS MAHUMBA</v>
      </c>
      <c r="D140" s="23" t="str">
        <f>VLOOKUP(Table4[[#This Row],[Vehicle no]],[1]Sheet2!$B:$J,8,0)</f>
        <v>128-765-964</v>
      </c>
      <c r="E140" s="25" t="s">
        <v>2041</v>
      </c>
      <c r="F140" s="25" t="str">
        <f t="shared" si="6"/>
        <v>2026-01-08</v>
      </c>
      <c r="G140" s="23" t="s">
        <v>2042</v>
      </c>
      <c r="H140" s="25" t="s">
        <v>2043</v>
      </c>
      <c r="I140" s="23" t="s">
        <v>2044</v>
      </c>
      <c r="J140" s="29" t="s">
        <v>2045</v>
      </c>
      <c r="K140" s="30">
        <v>137.26956200000001</v>
      </c>
      <c r="L140" s="44" t="s">
        <v>32</v>
      </c>
    </row>
    <row r="141" spans="1:12" x14ac:dyDescent="0.35">
      <c r="A141" s="43" t="s">
        <v>233</v>
      </c>
      <c r="B141" s="23" t="str">
        <f>VLOOKUP(Table4[[#This Row],[Vehicle no]],[1]Sheet2!$B:$J,4,0)</f>
        <v>SHAIBU SAIDI MKILALU</v>
      </c>
      <c r="C141" s="23" t="str">
        <f>VLOOKUP(Table4[[#This Row],[Vehicle no]],[1]Sheet2!$B:$J,9,0)</f>
        <v>LUSAJO KASUNGA</v>
      </c>
      <c r="D141" s="23">
        <f>VLOOKUP(Table4[[#This Row],[Vehicle no]],[1]Sheet2!$B:$J,8,0)</f>
        <v>114491314</v>
      </c>
      <c r="E141" s="25" t="s">
        <v>2046</v>
      </c>
      <c r="F141" s="25" t="str">
        <f t="shared" si="6"/>
        <v>2026-01-08</v>
      </c>
      <c r="G141" s="23" t="s">
        <v>2047</v>
      </c>
      <c r="H141" s="25" t="s">
        <v>2048</v>
      </c>
      <c r="I141" s="23" t="s">
        <v>641</v>
      </c>
      <c r="J141" s="29" t="s">
        <v>2049</v>
      </c>
      <c r="K141" s="30">
        <v>56.785907999999999</v>
      </c>
      <c r="L141" s="44" t="s">
        <v>32</v>
      </c>
    </row>
    <row r="142" spans="1:12" x14ac:dyDescent="0.35">
      <c r="A142" s="43" t="s">
        <v>207</v>
      </c>
      <c r="B142" s="23" t="str">
        <f>VLOOKUP(Table4[[#This Row],[Vehicle no]],[1]Sheet2!$B:$J,4,0)</f>
        <v>RAMADHANI AYOUB ATHUMANI</v>
      </c>
      <c r="C142" s="23" t="str">
        <f>VLOOKUP(Table4[[#This Row],[Vehicle no]],[1]Sheet2!$B:$J,9,0)</f>
        <v>LUSAJO KASUNGA</v>
      </c>
      <c r="D142" s="23" t="str">
        <f>VLOOKUP(Table4[[#This Row],[Vehicle no]],[1]Sheet2!$B:$J,8,0)</f>
        <v>111-019-703</v>
      </c>
      <c r="E142" s="25" t="s">
        <v>2050</v>
      </c>
      <c r="F142" s="25" t="str">
        <f t="shared" si="6"/>
        <v>2026-01-08</v>
      </c>
      <c r="G142" s="23" t="s">
        <v>2051</v>
      </c>
      <c r="H142" s="25" t="s">
        <v>2048</v>
      </c>
      <c r="I142" s="23" t="s">
        <v>571</v>
      </c>
      <c r="J142" s="29" t="s">
        <v>2052</v>
      </c>
      <c r="K142" s="30">
        <v>32.015659999999997</v>
      </c>
      <c r="L142" s="44" t="s">
        <v>32</v>
      </c>
    </row>
    <row r="143" spans="1:12" x14ac:dyDescent="0.35">
      <c r="A143" s="43" t="s">
        <v>97</v>
      </c>
      <c r="B143" s="23" t="str">
        <f>VLOOKUP(Table4[[#This Row],[Vehicle no]],[1]Sheet2!$B:$J,4,0)</f>
        <v>LEONIDAS KALUMUNA KAGENYI</v>
      </c>
      <c r="C143" s="23" t="str">
        <f>VLOOKUP(Table4[[#This Row],[Vehicle no]],[1]Sheet2!$B:$J,9,0)</f>
        <v>LUSAJO KASUNGA</v>
      </c>
      <c r="D143" s="23">
        <f>VLOOKUP(Table4[[#This Row],[Vehicle no]],[1]Sheet2!$B:$J,8,0)</f>
        <v>0</v>
      </c>
      <c r="E143" s="25" t="s">
        <v>2053</v>
      </c>
      <c r="F143" s="25" t="str">
        <f t="shared" si="6"/>
        <v>2026-01-08</v>
      </c>
      <c r="G143" s="23" t="s">
        <v>123</v>
      </c>
      <c r="H143" s="25" t="s">
        <v>2054</v>
      </c>
      <c r="I143" s="23" t="s">
        <v>2055</v>
      </c>
      <c r="J143" s="29" t="s">
        <v>2056</v>
      </c>
      <c r="K143" s="30">
        <v>97.211089000000001</v>
      </c>
      <c r="L143" s="44" t="s">
        <v>32</v>
      </c>
    </row>
    <row r="144" spans="1:12" x14ac:dyDescent="0.35">
      <c r="A144" s="43" t="s">
        <v>148</v>
      </c>
      <c r="B144" s="23" t="str">
        <f>VLOOKUP(Table4[[#This Row],[Vehicle no]],[1]Sheet2!$B:$J,4,0)</f>
        <v>MOSES ELIBARIKI MSHANA</v>
      </c>
      <c r="C144" s="23" t="str">
        <f>VLOOKUP(Table4[[#This Row],[Vehicle no]],[1]Sheet2!$B:$J,9,0)</f>
        <v>IRENE SHIJA</v>
      </c>
      <c r="D144" s="23">
        <f>VLOOKUP(Table4[[#This Row],[Vehicle no]],[1]Sheet2!$B:$J,8,0)</f>
        <v>112986618</v>
      </c>
      <c r="E144" s="25" t="s">
        <v>2057</v>
      </c>
      <c r="F144" s="25" t="str">
        <f t="shared" si="6"/>
        <v>2026-01-08</v>
      </c>
      <c r="G144" s="23" t="s">
        <v>331</v>
      </c>
      <c r="H144" s="25" t="s">
        <v>2058</v>
      </c>
      <c r="I144" s="23" t="s">
        <v>119</v>
      </c>
      <c r="J144" s="29" t="s">
        <v>2059</v>
      </c>
      <c r="K144" s="30">
        <v>49.559441999999997</v>
      </c>
      <c r="L144" s="44" t="s">
        <v>32</v>
      </c>
    </row>
  </sheetData>
  <phoneticPr fontId="2" type="noConversion"/>
  <conditionalFormatting sqref="B1:D1">
    <cfRule type="duplicateValues" dxfId="1" priority="19"/>
    <cfRule type="duplicateValues" dxfId="0" priority="20"/>
  </conditionalFormatting>
  <hyperlinks>
    <hyperlink ref="H2" r:id="rId1" display="2025-10-04 05:59:55" xr:uid="{0DCFE0EA-14FC-4C47-91A8-9F75AC538D1B}"/>
    <hyperlink ref="E2" r:id="rId2" display="2025-10-04 05:21:32" xr:uid="{BCFDD410-E69D-4E08-A1A4-E0479E47D280}"/>
    <hyperlink ref="I2" r:id="rId3" display="Iringa Road, 2.19 km from Kikoboga" xr:uid="{02D644D7-EA50-4ACD-8CBB-FFEC0DAA9BB1}"/>
    <hyperlink ref="G2" r:id="rId4" display="Iringa Road, Mikumi" xr:uid="{AE6CC93C-7625-4107-BAEC-4B80550AE48A}"/>
  </hyperlinks>
  <pageMargins left="0.7" right="0.7" top="0.75" bottom="0.75" header="0.3" footer="0.3"/>
  <pageSetup orientation="portrait"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B48367-7D18-4E89-8ED5-50BC18E551FC}">
          <x14:formula1>
            <xm:f>OFFENSE!$A$2:$A$5</xm:f>
          </x14:formula1>
          <xm:sqref>L2:L144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00DD-3EE5-4C98-846F-87865E590220}">
  <dimension ref="A1:B5"/>
  <sheetViews>
    <sheetView workbookViewId="0">
      <selection activeCell="F9" sqref="F9"/>
    </sheetView>
  </sheetViews>
  <sheetFormatPr defaultRowHeight="14.5" x14ac:dyDescent="0.35"/>
  <cols>
    <col min="1" max="1" width="23.54296875" style="22" bestFit="1" customWidth="1"/>
    <col min="2" max="2" width="8.90625" style="22"/>
  </cols>
  <sheetData>
    <row r="1" spans="1:1" x14ac:dyDescent="0.35">
      <c r="A1" s="88" t="s">
        <v>0</v>
      </c>
    </row>
    <row r="2" spans="1:1" x14ac:dyDescent="0.35">
      <c r="A2" s="86" t="s">
        <v>1</v>
      </c>
    </row>
    <row r="3" spans="1:1" x14ac:dyDescent="0.35">
      <c r="A3" s="87" t="s">
        <v>14</v>
      </c>
    </row>
    <row r="4" spans="1:1" x14ac:dyDescent="0.35">
      <c r="A4" s="87" t="s">
        <v>2</v>
      </c>
    </row>
    <row r="5" spans="1:1" x14ac:dyDescent="0.35">
      <c r="A5" s="8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SUMMARY </vt:lpstr>
      <vt:lpstr>FOR SHEQ</vt:lpstr>
      <vt:lpstr>IDLING VOLATION</vt:lpstr>
      <vt:lpstr>HARSH BRAKE VIOLATION</vt:lpstr>
      <vt:lpstr> OVER SPEEDING VIOLATION </vt:lpstr>
      <vt:lpstr>NIGHT DRIVING REPORT </vt:lpstr>
      <vt:lpstr>OFFENSE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Godlisten Nguma</dc:creator>
  <cp:lastModifiedBy>Howard Mugassa</cp:lastModifiedBy>
  <cp:lastPrinted>2024-10-08T07:24:25Z</cp:lastPrinted>
  <dcterms:created xsi:type="dcterms:W3CDTF">2024-04-02T11:50:09Z</dcterms:created>
  <dcterms:modified xsi:type="dcterms:W3CDTF">2026-01-11T15:58:42Z</dcterms:modified>
</cp:coreProperties>
</file>