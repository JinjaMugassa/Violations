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ksecurity\Documents\Violations\"/>
    </mc:Choice>
  </mc:AlternateContent>
  <xr:revisionPtr revIDLastSave="0" documentId="13_ncr:1_{59D20EA1-C3A6-4DAB-AC14-827DA06B6E31}" xr6:coauthVersionLast="47" xr6:coauthVersionMax="47" xr10:uidLastSave="{00000000-0000-0000-0000-000000000000}"/>
  <bookViews>
    <workbookView xWindow="-108" yWindow="-108" windowWidth="23256" windowHeight="13896" firstSheet="5" activeTab="8" xr2:uid="{00000000-000D-0000-FFFF-FFFF00000000}"/>
  </bookViews>
  <sheets>
    <sheet name="OVERALL SUMMARY " sheetId="1" r:id="rId1"/>
    <sheet name="FOR SHEQ" sheetId="2" r:id="rId2"/>
    <sheet name="IDLING VIOLATION" sheetId="3" r:id="rId3"/>
    <sheet name="HARSH BRAKE VIOLATION" sheetId="4" r:id="rId4"/>
    <sheet name=" OVER SPEEDING VIOLATION " sheetId="5" r:id="rId5"/>
    <sheet name="NIGHT DRIVING REPORT " sheetId="6" r:id="rId6"/>
    <sheet name="OFFENSE" sheetId="7" r:id="rId7"/>
    <sheet name="IDLING OPERATIONAL SUMMARY" sheetId="8" r:id="rId8"/>
    <sheet name="IDLING CLASSIFIED DETAIL" sheetId="9" r:id="rId9"/>
  </sheets>
  <externalReferences>
    <externalReference r:id="rId10"/>
    <externalReference r:id="rId11"/>
  </externalReferences>
  <calcPr calcId="191029"/>
  <pivotCaches>
    <pivotCache cacheId="0" r:id="rId12"/>
    <pivotCache cacheId="1" r:id="rId13"/>
    <pivotCache cacheId="2" r:id="rId14"/>
    <pivotCache cacheId="3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1" i="6" l="1"/>
  <c r="C91" i="6"/>
  <c r="B91" i="6"/>
  <c r="D90" i="6"/>
  <c r="C90" i="6"/>
  <c r="B90" i="6"/>
  <c r="D89" i="6"/>
  <c r="C89" i="6"/>
  <c r="B89" i="6"/>
  <c r="D88" i="6"/>
  <c r="C88" i="6"/>
  <c r="B88" i="6"/>
  <c r="D87" i="6"/>
  <c r="C87" i="6"/>
  <c r="B87" i="6"/>
  <c r="D86" i="6"/>
  <c r="C86" i="6"/>
  <c r="B86" i="6"/>
  <c r="D85" i="6"/>
  <c r="C85" i="6"/>
  <c r="B85" i="6"/>
  <c r="D84" i="6"/>
  <c r="C84" i="6"/>
  <c r="B84" i="6"/>
  <c r="D83" i="6"/>
  <c r="C83" i="6"/>
  <c r="B83" i="6"/>
  <c r="D82" i="6"/>
  <c r="C82" i="6"/>
  <c r="B82" i="6"/>
  <c r="D81" i="6"/>
  <c r="C81" i="6"/>
  <c r="B81" i="6"/>
  <c r="D80" i="6"/>
  <c r="C80" i="6"/>
  <c r="B80" i="6"/>
  <c r="D79" i="6"/>
  <c r="C79" i="6"/>
  <c r="B79" i="6"/>
  <c r="D78" i="6"/>
  <c r="C78" i="6"/>
  <c r="B78" i="6"/>
  <c r="D77" i="6"/>
  <c r="C77" i="6"/>
  <c r="B77" i="6"/>
  <c r="D76" i="6"/>
  <c r="C76" i="6"/>
  <c r="B76" i="6"/>
  <c r="D75" i="6"/>
  <c r="C75" i="6"/>
  <c r="B75" i="6"/>
  <c r="D74" i="6"/>
  <c r="C74" i="6"/>
  <c r="B74" i="6"/>
  <c r="D73" i="6"/>
  <c r="C73" i="6"/>
  <c r="B73" i="6"/>
  <c r="D72" i="6"/>
  <c r="C72" i="6"/>
  <c r="B72" i="6"/>
  <c r="D71" i="6"/>
  <c r="C71" i="6"/>
  <c r="B71" i="6"/>
  <c r="K70" i="6"/>
  <c r="J70" i="6"/>
  <c r="I70" i="6"/>
  <c r="H70" i="6"/>
  <c r="G70" i="6"/>
  <c r="E70" i="6"/>
  <c r="F70" i="6" s="1"/>
  <c r="D70" i="6"/>
  <c r="C70" i="6"/>
  <c r="B70" i="6"/>
  <c r="F69" i="6"/>
  <c r="D69" i="6"/>
  <c r="C69" i="6"/>
  <c r="B69" i="6"/>
  <c r="D68" i="6"/>
  <c r="C68" i="6"/>
  <c r="B68" i="6"/>
  <c r="D67" i="6"/>
  <c r="C67" i="6"/>
  <c r="B67" i="6"/>
  <c r="D66" i="6"/>
  <c r="C66" i="6"/>
  <c r="B66" i="6"/>
  <c r="D65" i="6"/>
  <c r="C65" i="6"/>
  <c r="B65" i="6"/>
  <c r="D64" i="6"/>
  <c r="C64" i="6"/>
  <c r="B64" i="6"/>
  <c r="D63" i="6"/>
  <c r="C63" i="6"/>
  <c r="B63" i="6"/>
  <c r="D62" i="6"/>
  <c r="C62" i="6"/>
  <c r="B62" i="6"/>
  <c r="D61" i="6"/>
  <c r="C61" i="6"/>
  <c r="B61" i="6"/>
  <c r="D60" i="6"/>
  <c r="C60" i="6"/>
  <c r="B60" i="6"/>
  <c r="D59" i="6"/>
  <c r="C59" i="6"/>
  <c r="B59" i="6"/>
  <c r="D58" i="6"/>
  <c r="C58" i="6"/>
  <c r="B58" i="6"/>
  <c r="D57" i="6"/>
  <c r="C57" i="6"/>
  <c r="B57" i="6"/>
  <c r="D56" i="6"/>
  <c r="C56" i="6"/>
  <c r="B56" i="6"/>
  <c r="D55" i="6"/>
  <c r="C55" i="6"/>
  <c r="B55" i="6"/>
  <c r="D54" i="6"/>
  <c r="C54" i="6"/>
  <c r="B54" i="6"/>
  <c r="D53" i="6"/>
  <c r="C53" i="6"/>
  <c r="B53" i="6"/>
  <c r="D52" i="6"/>
  <c r="C52" i="6"/>
  <c r="B52" i="6"/>
  <c r="D51" i="6"/>
  <c r="C51" i="6"/>
  <c r="B51" i="6"/>
  <c r="D50" i="6"/>
  <c r="C50" i="6"/>
  <c r="B50" i="6"/>
  <c r="D49" i="6"/>
  <c r="C49" i="6"/>
  <c r="B49" i="6"/>
  <c r="D48" i="6"/>
  <c r="C48" i="6"/>
  <c r="B48" i="6"/>
  <c r="D47" i="6"/>
  <c r="C47" i="6"/>
  <c r="B47" i="6"/>
  <c r="D46" i="6"/>
  <c r="C46" i="6"/>
  <c r="B46" i="6"/>
  <c r="D45" i="6"/>
  <c r="C45" i="6"/>
  <c r="B45" i="6"/>
  <c r="D44" i="6"/>
  <c r="C44" i="6"/>
  <c r="B44" i="6"/>
  <c r="D43" i="6"/>
  <c r="C43" i="6"/>
  <c r="B43" i="6"/>
  <c r="D42" i="6"/>
  <c r="C42" i="6"/>
  <c r="B42" i="6"/>
  <c r="D41" i="6"/>
  <c r="C41" i="6"/>
  <c r="B41" i="6"/>
  <c r="D40" i="6"/>
  <c r="C40" i="6"/>
  <c r="B40" i="6"/>
  <c r="D39" i="6"/>
  <c r="C39" i="6"/>
  <c r="B39" i="6"/>
  <c r="D38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D4" i="6"/>
  <c r="C4" i="6"/>
  <c r="B4" i="6"/>
  <c r="D3" i="6"/>
  <c r="C3" i="6"/>
  <c r="B3" i="6"/>
  <c r="D2" i="6"/>
  <c r="C2" i="6"/>
  <c r="B2" i="6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I3" i="1"/>
  <c r="H3" i="1"/>
  <c r="G3" i="1"/>
  <c r="E3" i="1"/>
  <c r="D3" i="1"/>
  <c r="C3" i="1"/>
</calcChain>
</file>

<file path=xl/sharedStrings.xml><?xml version="1.0" encoding="utf-8"?>
<sst xmlns="http://schemas.openxmlformats.org/spreadsheetml/2006/main" count="12687" uniqueCount="3631">
  <si>
    <t xml:space="preserve">DAYS </t>
  </si>
  <si>
    <t xml:space="preserve">Night driving </t>
  </si>
  <si>
    <t xml:space="preserve">Early start </t>
  </si>
  <si>
    <t xml:space="preserve">Driving Without Convoy Night  </t>
  </si>
  <si>
    <t>Driving Without Convoy Day</t>
  </si>
  <si>
    <t>Exceeded idle</t>
  </si>
  <si>
    <t>HARSH BRAKE</t>
  </si>
  <si>
    <t xml:space="preserve">Over Speeding </t>
  </si>
  <si>
    <t>FEBRUARY MONTH 2026</t>
  </si>
  <si>
    <t>Cummulative February Violation</t>
  </si>
  <si>
    <t>Yesterdays Violation</t>
  </si>
  <si>
    <t>RPT_DT</t>
  </si>
  <si>
    <t>2026-02-28</t>
  </si>
  <si>
    <t>28.02.2026</t>
  </si>
  <si>
    <t>IDLING VOLATION</t>
  </si>
  <si>
    <t>HARSH BRAKE VIOLATION</t>
  </si>
  <si>
    <t xml:space="preserve"> OVER SPEEDING VIOLATION </t>
  </si>
  <si>
    <t xml:space="preserve">NIGHT DRIVING REPORT </t>
  </si>
  <si>
    <t>Row Labels</t>
  </si>
  <si>
    <t>Sum of NO OF EVENTS</t>
  </si>
  <si>
    <t>TRUCK NO</t>
  </si>
  <si>
    <t xml:space="preserve">NO OF EVENTS </t>
  </si>
  <si>
    <t>Sum of Count</t>
  </si>
  <si>
    <t>Count of Offense</t>
  </si>
  <si>
    <t>Column Labels</t>
  </si>
  <si>
    <t>T518EBY</t>
  </si>
  <si>
    <t>T892EBW</t>
  </si>
  <si>
    <t>T373DHG</t>
  </si>
  <si>
    <t>Grand Total</t>
  </si>
  <si>
    <t>T603DTQ</t>
  </si>
  <si>
    <t>T425DHG</t>
  </si>
  <si>
    <t>T890EBW</t>
  </si>
  <si>
    <t>T264EBX</t>
  </si>
  <si>
    <t>T747DEB</t>
  </si>
  <si>
    <t>T511EBY</t>
  </si>
  <si>
    <t>T579DTQ</t>
  </si>
  <si>
    <t>T561DYR</t>
  </si>
  <si>
    <t>T581DYR</t>
  </si>
  <si>
    <t>T915EBW</t>
  </si>
  <si>
    <t>T365DHG</t>
  </si>
  <si>
    <t>T746DEB</t>
  </si>
  <si>
    <t>T930EBW</t>
  </si>
  <si>
    <t>T435DHG</t>
  </si>
  <si>
    <t>T945EBW</t>
  </si>
  <si>
    <t>T797DYR</t>
  </si>
  <si>
    <t>T952DSX</t>
  </si>
  <si>
    <t>T799DYR</t>
  </si>
  <si>
    <t>T184EBX</t>
  </si>
  <si>
    <t>T600DTQ</t>
  </si>
  <si>
    <t>T869EBY</t>
  </si>
  <si>
    <t>T652DTQ</t>
  </si>
  <si>
    <t>T402ECN</t>
  </si>
  <si>
    <t>T941EBW</t>
  </si>
  <si>
    <t>T405DHG</t>
  </si>
  <si>
    <t>T514EBY</t>
  </si>
  <si>
    <t>T817EBW</t>
  </si>
  <si>
    <t>T723DYR</t>
  </si>
  <si>
    <t>T689DEB</t>
  </si>
  <si>
    <t>T734EBX</t>
  </si>
  <si>
    <t>T815DDS</t>
  </si>
  <si>
    <t>T127EBX</t>
  </si>
  <si>
    <t>T413DHE</t>
  </si>
  <si>
    <t>T572DEB</t>
  </si>
  <si>
    <t>T756EBX</t>
  </si>
  <si>
    <t>T328EBY</t>
  </si>
  <si>
    <t>T714EBX</t>
  </si>
  <si>
    <t>T266EBX</t>
  </si>
  <si>
    <t>T806DYR</t>
  </si>
  <si>
    <t>T909EBW</t>
  </si>
  <si>
    <t>T416DHG</t>
  </si>
  <si>
    <t>T584DYR</t>
  </si>
  <si>
    <t>T401ECN</t>
  </si>
  <si>
    <t>T227EBX</t>
  </si>
  <si>
    <t>T719EBX</t>
  </si>
  <si>
    <t>SN</t>
  </si>
  <si>
    <t xml:space="preserve">TRUCK NO </t>
  </si>
  <si>
    <t>Event time</t>
  </si>
  <si>
    <t>Time received</t>
  </si>
  <si>
    <t>Event text</t>
  </si>
  <si>
    <t>Location</t>
  </si>
  <si>
    <t>NO OF EVENTS</t>
  </si>
  <si>
    <t>T129EBX</t>
  </si>
  <si>
    <t>2026-02-01</t>
  </si>
  <si>
    <t>T129EBX =&gt; IDLING. At 01.02.2026 10:56:52 it moved with speed 0 km/h near 'T1, Njombe, Tanzania, Mbalamaziwa'.</t>
  </si>
  <si>
    <t>T1, Mbalamaziwa</t>
  </si>
  <si>
    <t>T150EBX</t>
  </si>
  <si>
    <t>T150EBX =&gt; IDLING. At 01.02.2026 09:16:52 it moved with speed 0 km/h near 'Rn1, Haut-Katanga, Democratic Republic of the Congo, 26.71 km from Lubumbashi'.</t>
  </si>
  <si>
    <t>Rn1, 26.71 km from Lubumbashi</t>
  </si>
  <si>
    <t>T166EBX</t>
  </si>
  <si>
    <t>T166EBX =&gt; IDLING. At 01.02.2026 10:50:23 it moved with speed 0 km/h near 'T1, Mbeya, Tanzania, Kongolo Mkola'.</t>
  </si>
  <si>
    <t>T1, Kongolo Mkola</t>
  </si>
  <si>
    <t>T172EBX</t>
  </si>
  <si>
    <t>T172EBX =&gt; IDLING. At 01.02.2026 12:43:46 it moved with speed 0 km/h near 'Regional Hospital Road, Mbeya, Nzovwe, Tanzania, 2.41 km from Mbeya'.</t>
  </si>
  <si>
    <t>Regional Hospital Road, 2.41 km from Mbeya</t>
  </si>
  <si>
    <t>T220EBX</t>
  </si>
  <si>
    <t>T220EBX =&gt; IDLING. At 01.02.2026 15:00:15 it moved with speed 0 km/h near 'Rn1, Haut-Katanga, Democratic Republic of the Congo, 3.69 km from Kasumbalesa'.</t>
  </si>
  <si>
    <t>Rn1, 3.69 km from Kasumbalesa</t>
  </si>
  <si>
    <t>T227EBX =&gt; IDLING. At 01.02.2026 09:20:24 it moved with speed 0 km/h near 'Fisenge Bypass, Ndola, Copperbelt Province, Zambia'.</t>
  </si>
  <si>
    <t>Ndola, Fisenge Bypass</t>
  </si>
  <si>
    <t>T250EBX</t>
  </si>
  <si>
    <t>T250EBX =&gt; IDLING. At 01.02.2026 08:21:03 it moved with speed 0 km/h near 'T1, Mbeya, Mbozi, Tanzania, 8.00 km from Ivugula'.</t>
  </si>
  <si>
    <t>T1, 8.00 km from Ivugula</t>
  </si>
  <si>
    <t>T263DDJ</t>
  </si>
  <si>
    <t>T263DDJ =&gt; IDLING. At 01.02.2026 11:39:59 it moved with speed 0 km/h near 'Iringa Road, Lundamatwe, Iringa, Tanzania'.</t>
  </si>
  <si>
    <t>Lundamatwe, Iringa Road</t>
  </si>
  <si>
    <t>T267DDJ</t>
  </si>
  <si>
    <t>T267DDJ =&gt; IDLING. At 01.02.2026 11:08:55 it moved with speed 0 km/h near 'Ndola - Kitwe Dual-Carriageway, Copperbelt Province, Zambia, 33.24 km from Ndola'.</t>
  </si>
  <si>
    <t>Ndola - Kitwe Dual-Carriageway, 33.24 km from Ndola</t>
  </si>
  <si>
    <t>T301EBX</t>
  </si>
  <si>
    <t>T301EBX =&gt; IDLING. At 01.02.2026 08:50:19 it moved with speed 0 km/h near 'Rn1, Haut-Katanga, Democratic Republic of the Congo, 26.96 km from Lubumbashi'.</t>
  </si>
  <si>
    <t>Rn1, 26.96 km from Lubumbashi</t>
  </si>
  <si>
    <t>T314DDJ</t>
  </si>
  <si>
    <t>T314DDJ =&gt; IDLING. At 01.02.2026 13:11:12 it moved with speed 0 km/h near 'Great North Road, Central Province, Zambia, Serenje'.</t>
  </si>
  <si>
    <t>Great North Road, Serenje</t>
  </si>
  <si>
    <t>T325ECN</t>
  </si>
  <si>
    <t>T325ECN =&gt; IDLING. At 01.02.2026 11:41:09 it moved with speed 0 km/h near 'T3, Copperbelt Province, Zambia, 10.04 km from Chingola'.</t>
  </si>
  <si>
    <t>T3, 10.04 km from Chingola</t>
  </si>
  <si>
    <t>T327EBX</t>
  </si>
  <si>
    <t>T327EBX =&gt; IDLING. At 01.02.2026 09:49:50 it moved with speed 0 km/h near 'Rn1, Lualaba, Democratic Republic of the Congo, 2.29 km from Barrière Kakanda'.</t>
  </si>
  <si>
    <t>Rn1, 2.29 km from Barrière Kakanda</t>
  </si>
  <si>
    <t>T331EBX</t>
  </si>
  <si>
    <t>T331EBX =&gt; IDLING. At 01.02.2026 06:18:19 it moved with speed 0 km/h near 'T1, Mbeya, Mbozi, Tanzania, 6.84 km from Mpemba'.</t>
  </si>
  <si>
    <t>T1, 6.84 km from Mpemba</t>
  </si>
  <si>
    <t>T334EBX</t>
  </si>
  <si>
    <t>T334EBX =&gt; IDLING. At 01.02.2026 08:51:29 it moved with speed 0 km/h near 'T3, Copperbelt Province, Zambia, 2.89 km from Momba'.</t>
  </si>
  <si>
    <t>T3, 2.89 km from Momba</t>
  </si>
  <si>
    <t>T349DHG</t>
  </si>
  <si>
    <t>T349DHG =&gt; IDLING. At 01.02.2026 08:51:44 it moved with speed 0 km/h near 'T3, Copperbelt Province, Zambia, 2.87 km from Momba'.</t>
  </si>
  <si>
    <t>T3, 2.87 km from Momba</t>
  </si>
  <si>
    <t>T405DHG =&gt; IDLING. At 01.02.2026 07:31:07 it moved with speed 0 km/h near 'Fisenge Bypass, Ndola, Copperbelt Province, Zambia'.</t>
  </si>
  <si>
    <t>T407DHE</t>
  </si>
  <si>
    <t>T407DHE =&gt; IDLING. At 01.02.2026 08:25:31 it moved with speed 0 km/h near 'Iringa Road, Lundamatwe, Iringa, Tanzania'.</t>
  </si>
  <si>
    <t>T410DHE</t>
  </si>
  <si>
    <t>T410DHE =&gt; IDLING. At 01.02.2026 13:49:11 it moved with speed 0 km/h near 'Great North Road, Central Province, Zambia, 17.81 km from Mkushi River'.</t>
  </si>
  <si>
    <t>Great North Road, 17.81 km from Mkushi River</t>
  </si>
  <si>
    <t>T413DHG</t>
  </si>
  <si>
    <t>T413DHG =&gt; IDLING. At 01.02.2026 08:53:35 it moved with speed 0 km/h near 'Great North Road, Central Province, Zambia, 2.90 km from Mkushi River'.</t>
  </si>
  <si>
    <t>Great North Road, 2.90 km from Mkushi River</t>
  </si>
  <si>
    <t>T417DHE</t>
  </si>
  <si>
    <t>T417DHE =&gt; IDLING. At 01.02.2026 13:05:18 it moved with speed 0 km/h near 'Rn36, Haut-Katanga, Democratic Republic of the Congo, Malashio'.</t>
  </si>
  <si>
    <t>Rn36, Malashio</t>
  </si>
  <si>
    <t>T420DHE</t>
  </si>
  <si>
    <t>T420DHE =&gt; IDLING. At 01.02.2026 08:37:52 it moved with speed 0 km/h near 'Great North Road, Central Province, Zambia, Serenje'.</t>
  </si>
  <si>
    <t>T425DHG =&gt; IDLING. At 01.02.2026 13:05:59 it moved with speed 0 km/h near 'Rn36, Haut-Katanga, Democratic Republic of the Congo, Malashio'.</t>
  </si>
  <si>
    <t>T427DHG</t>
  </si>
  <si>
    <t>T427DHG =&gt; IDLING. At 01.02.2026 08:51:37 it moved with speed 0 km/h near 'Great North Road, Central Province, Zambia, 2.88 km from Mkushi River'.</t>
  </si>
  <si>
    <t>Great North Road, 2.88 km from Mkushi River</t>
  </si>
  <si>
    <t>T435DHG =&gt; IDLING. At 01.02.2026 09:42:41 it moved with speed 0 km/h near 'T3, Copperbelt Province, Zambia, 4.64 km from Momba'.</t>
  </si>
  <si>
    <t>T3, 4.64 km from Momba</t>
  </si>
  <si>
    <t>T439DHG</t>
  </si>
  <si>
    <t>T439DHG =&gt; IDLING. At 01.02.2026 09:04:26 it moved with speed 0 km/h near 'T1, Njombe, Tanzania, Mayale'.</t>
  </si>
  <si>
    <t>T1, Mayale</t>
  </si>
  <si>
    <t>T491DYR</t>
  </si>
  <si>
    <t>T491DYR =&gt; IDLING. At 01.02.2026 08:28:06 it moved with speed 0 km/h near 'T1, Mbeya, Mbozi, Tanzania, 8.31 km from Ivugula'.</t>
  </si>
  <si>
    <t>T1, 8.31 km from Ivugula</t>
  </si>
  <si>
    <t>T494DYR</t>
  </si>
  <si>
    <t>T494DYR =&gt; IDLING. At 01.02.2026 12:53:30 it moved with speed 0 km/h near 'Tanzania To Zambia Road, Iringa, Mufindi, Tanzania, 5.13 km from Ihefu'.</t>
  </si>
  <si>
    <t>Tanzania To Zambia Road, 5.13 km from Ihefu</t>
  </si>
  <si>
    <t>T499DYR</t>
  </si>
  <si>
    <t>T499DYR =&gt; IDLING. At 01.02.2026 04:16:36 it moved with speed 0 km/h near 'Rue De La Kamoa Mine, Lualaba, Democratic Republic of the Congo, 26.71 km from Kapata'.</t>
  </si>
  <si>
    <t>Rue De La Kamoa Mine, 26.71 km from Kapata</t>
  </si>
  <si>
    <t>T512DTR</t>
  </si>
  <si>
    <t>T512DTR =&gt; IDLING. At 01.02.2026 12:10:13 it moved with speed 0 km/h near 'Tanzania To Zambia Road, Iringa, Mufindi, Tanzania, Changarawe'.</t>
  </si>
  <si>
    <t>Tanzania To Zambia Road, Changarawe</t>
  </si>
  <si>
    <t>T512EBY</t>
  </si>
  <si>
    <t>T512EBY =&gt; IDLING. At 01.02.2026 08:51:47 it moved with speed 0 km/h near 'T3, Copperbelt Province, Zambia, 2.85 km from Momba'.</t>
  </si>
  <si>
    <t>T3, 2.85 km from Momba</t>
  </si>
  <si>
    <t>T514DTR</t>
  </si>
  <si>
    <t>T514DTR =&gt; IDLING. At 01.02.2026 07:34:55 it moved with speed 0 km/h near 'T1, Mbeya, Mbozi, Tanzania, 8.02 km from Ivugula'.</t>
  </si>
  <si>
    <t>T1, 8.02 km from Ivugula</t>
  </si>
  <si>
    <t>T515EBY</t>
  </si>
  <si>
    <t>T515EBY =&gt; IDLING. At 01.02.2026 14:31:35 it moved with speed 0 km/h near 'T3, Copperbelt Province, Zambia, 5.41 km from Chambishi'.</t>
  </si>
  <si>
    <t>T3, 5.41 km from Chambishi</t>
  </si>
  <si>
    <t>T516EBY</t>
  </si>
  <si>
    <t>T516EBY =&gt; IDLING. At 01.02.2026 18:47:03 it moved with speed 0 km/h near 'Tanzam Road, Mbeya, Kalobe, Tanzania, 2.31 km from Mbeya'.</t>
  </si>
  <si>
    <t>Tanzam Road, 2.31 km from Mbeya</t>
  </si>
  <si>
    <t>T527EBY</t>
  </si>
  <si>
    <t>T527EBY =&gt; IDLING. At 01.02.2026 08:45:14 it moved with speed 0 km/h near 'T3, Copperbelt Province, Zambia, 1.83 km from Momba'.</t>
  </si>
  <si>
    <t>T3, 1.83 km from Momba</t>
  </si>
  <si>
    <t>T566DYR</t>
  </si>
  <si>
    <t>T566DYR =&gt; IDLING. At 01.02.2026 09:22:16 it moved with speed 0 km/h near 'Fisenge Bypass, Ndola, Copperbelt Province, Zambia'.</t>
  </si>
  <si>
    <t>T571DYR</t>
  </si>
  <si>
    <t>T571DYR =&gt; IDLING. At 01.02.2026 15:10:36 it moved with speed 0 km/h near 'Ndola - Kitwe Dual-Carriageway, Copperbelt Province, Zambia, 33.18 km from Ndola'.</t>
  </si>
  <si>
    <t>Ndola - Kitwe Dual-Carriageway, 33.18 km from Ndola</t>
  </si>
  <si>
    <t>T572DEB =&gt; IDLING. At 01.02.2026 07:25:18 it moved with speed 0 km/h near 'Great North Road, Muchinga Province, Zambia, Chinunda'.</t>
  </si>
  <si>
    <t>Great North Road, Chinunda</t>
  </si>
  <si>
    <t>T572DYR</t>
  </si>
  <si>
    <t>T572DYR =&gt; IDLING. At 01.02.2026 13:56:06 it moved with speed 0 km/h near 'Tanzam Road, Mbeya, Mbozi, Tanzania, Songwe'.</t>
  </si>
  <si>
    <t>Tanzam Road, Songwe</t>
  </si>
  <si>
    <t>T575DYR</t>
  </si>
  <si>
    <t>T575DYR =&gt; IDLING. At 01.02.2026 08:41:55 it moved with speed 0 km/h near 'Tanzania To Zambia Road, Iringa, Mufindi, Tanzania, 1.72 km from Ifunda'.</t>
  </si>
  <si>
    <t>Tanzania To Zambia Road, 1.72 km from Ifunda</t>
  </si>
  <si>
    <t>T579DTQ =&gt; IDLING. At 01.02.2026 17:37:22 it moved with speed 0 km/h near 'Rn39, Lualaba, Democratic Republic of the Congo, 6.04 km from Kazembe'.</t>
  </si>
  <si>
    <t>Rn39, 6.04 km from Kazembe</t>
  </si>
  <si>
    <t>T581DYR =&gt; IDLING. At 01.02.2026 08:09:27 it moved with speed 0 km/h near 'T3, Copperbelt Province, Zambia, 4.31 km from Chambishi'.</t>
  </si>
  <si>
    <t>T3, 4.31 km from Chambishi</t>
  </si>
  <si>
    <t>T585DTQ</t>
  </si>
  <si>
    <t>T585DTQ =&gt; IDLING. At 01.02.2026 07:43:57 it moved with speed 0 km/h near 'T3, Copperbelt Province, Zambia, 2.16 km from Momba'.</t>
  </si>
  <si>
    <t>T3, 2.16 km from Momba</t>
  </si>
  <si>
    <t>T595DTQ</t>
  </si>
  <si>
    <t>T595DTQ =&gt; IDLING. At 01.02.2026 10:58:15 it moved with speed 0 km/h near 'Great North Road, Central Province, Zambia, 11.44 km from Kanona'.</t>
  </si>
  <si>
    <t>Great North Road, 11.44 km from Kanona</t>
  </si>
  <si>
    <t>T596DTQ</t>
  </si>
  <si>
    <t>T596DTQ =&gt; IDLING. At 01.02.2026 18:38:16 it moved with speed 0 km/h near 'Rn1, Haut-Katanga, Democratic Republic of the Congo, 1.96 km from Kasumbalesa'.</t>
  </si>
  <si>
    <t>Rn1, 1.96 km from Kasumbalesa</t>
  </si>
  <si>
    <t>T645DHL</t>
  </si>
  <si>
    <t>T645DHL =&gt; IDLING. At 01.02.2026 12:07:07 it moved with speed 0 km/h near 'Ndola - Kitwe Dual-Carriageway, Copperbelt Province, Zambia, 33.23 km from Ndola'.</t>
  </si>
  <si>
    <t>Ndola - Kitwe Dual-Carriageway, 33.23 km from Ndola</t>
  </si>
  <si>
    <t>T660DTQ</t>
  </si>
  <si>
    <t>T660DTQ =&gt; IDLING. At 01.02.2026 15:01:56 it moved with speed 0 km/h near 'Rn1, Haut-Katanga, Democratic Republic of the Congo, 3.75 km from Kasumbalesa'.</t>
  </si>
  <si>
    <t>Rn1, 3.75 km from Kasumbalesa</t>
  </si>
  <si>
    <t>T719DYR</t>
  </si>
  <si>
    <t>T719DYR =&gt; IDLING. At 01.02.2026 10:53:06 it moved with speed 0 km/h near 'T1, Morogoro, Tanzania, Bwawani'.</t>
  </si>
  <si>
    <t>T1, Bwawani</t>
  </si>
  <si>
    <t>T724DYR</t>
  </si>
  <si>
    <t>T724DYR =&gt; IDLING. At 01.02.2026 11:14:50 it moved with speed 0 km/h near 'Great North Road, Central Province, Zambia, 2.83 km from Kanona'.</t>
  </si>
  <si>
    <t>Great North Road, 2.83 km from Kanona</t>
  </si>
  <si>
    <t>T732DEB</t>
  </si>
  <si>
    <t>T732DEB =&gt; IDLING. At 01.02.2026 13:23:18 it moved with speed 0 km/h near 'Ndola - Kitwe Dual-Carriageway, Copperbelt Province, Zambia, 33.18 km from Ndola'.</t>
  </si>
  <si>
    <t>T749DEB</t>
  </si>
  <si>
    <t>T749DEB =&gt; IDLING. At 01.02.2026 10:36:40 it moved with speed 0 km/h near 'Iringa Road, Morogoro, Kilosa, Tanzania, Kidayi 'A''.</t>
  </si>
  <si>
    <t>Iringa Road, Kidayi 'A'</t>
  </si>
  <si>
    <t>T763EBW</t>
  </si>
  <si>
    <t>T763EBW =&gt; IDLING. At 01.02.2026 08:10:14 it moved with speed 0 km/h near 'T3, Copperbelt Province, Zambia, 4.45 km from Chambishi'.</t>
  </si>
  <si>
    <t>T3, 4.45 km from Chambishi</t>
  </si>
  <si>
    <t>T764EBW</t>
  </si>
  <si>
    <t>T764EBW =&gt; IDLING. At 01.02.2026 14:07:49 it moved with speed 0 km/h near 'T3, Copperbelt Province, Zambia, 4.20 km from Momba'.</t>
  </si>
  <si>
    <t>T3, 4.20 km from Momba</t>
  </si>
  <si>
    <t>T766DYR</t>
  </si>
  <si>
    <t>T766DYR =&gt; IDLING. At 01.02.2026 08:48:28 it moved with speed 0 km/h near 'Great North Road, Central Province, Zambia, 2.81 km from Kanona'.</t>
  </si>
  <si>
    <t>Great North Road, 2.81 km from Kanona</t>
  </si>
  <si>
    <t>T767DYR</t>
  </si>
  <si>
    <t>T767DYR =&gt; IDLING. At 01.02.2026 07:18:27 it moved with speed 0 km/h near 'Rn1, Haut-Katanga, Democratic Republic of the Congo, 1.45 km from Kasumbalesa'.</t>
  </si>
  <si>
    <t>Rn1, 1.45 km from Kasumbalesa</t>
  </si>
  <si>
    <t>T773EBW</t>
  </si>
  <si>
    <t>T773EBW =&gt; IDLING. At 01.02.2026 11:41:16 it moved with speed 0 km/h near 'T3, Copperbelt Province, Zambia, 10.07 km from Chingola'.</t>
  </si>
  <si>
    <t>T3, 10.07 km from Chingola</t>
  </si>
  <si>
    <t>T774DYR</t>
  </si>
  <si>
    <t>T774DYR =&gt; IDLING. At 01.02.2026 14:18:59 it moved with speed 0 km/h near 'Great North Road, Central Province, Zambia, 3.54 km from Mkushi River'.</t>
  </si>
  <si>
    <t>Great North Road, 3.54 km from Mkushi River</t>
  </si>
  <si>
    <t>T788DYR</t>
  </si>
  <si>
    <t>T788DYR =&gt; IDLING. At 01.02.2026 12:07:21 it moved with speed 0 km/h near 'Regional Hospital Road, Mbeya, Nzovwe, Tanzania, 2.42 km from Mbeya'.</t>
  </si>
  <si>
    <t>Regional Hospital Road, 2.42 km from Mbeya</t>
  </si>
  <si>
    <t>T793EBW</t>
  </si>
  <si>
    <t>T793EBW =&gt; IDLING. At 01.02.2026 11:43:22 it moved with speed 0 km/h near 'T3, Copperbelt Province, Zambia, 10.12 km from Chingola'.</t>
  </si>
  <si>
    <t>T3, 10.12 km from Chingola</t>
  </si>
  <si>
    <t>T795DDS</t>
  </si>
  <si>
    <t>T795DDS =&gt; IDLING. At 01.02.2026 07:18:14 it moved with speed 0 km/h near 'Iringa Road, Iringa, Tanzania, 1.28 km from Ruaha Mbuyumi'.</t>
  </si>
  <si>
    <t>Iringa Road, 1.28 km from Ruaha Mbuyumi</t>
  </si>
  <si>
    <t>T796DYR</t>
  </si>
  <si>
    <t>T796DYR =&gt; IDLING. At 01.02.2026 12:23:20 it moved with speed 0 km/h near 'Ndola - Kitwe Dual-Carriageway, Copperbelt Province, Zambia, 33.18 km from Ndola'.</t>
  </si>
  <si>
    <t>T797DYR =&gt; IDLING. At 01.02.2026 13:10:11 it moved with speed 0 km/h near 'Great North Road, Central Province, Zambia, Serenje'.</t>
  </si>
  <si>
    <t>T806DYR =&gt; IDLING. At 01.02.2026 13:39:06 it moved with speed 0 km/h near 'T3, Copperbelt Province, Zambia, 4.76 km from Chambishi'.</t>
  </si>
  <si>
    <t>T3, 4.76 km from Chambishi</t>
  </si>
  <si>
    <t>T815DDS =&gt; IDLING. At 01.02.2026 12:20:46 it moved with speed 0 km/h near 'T3, Copperbelt Province, Zambia, 4.82 km from Chambishi'.</t>
  </si>
  <si>
    <t>T3, 4.82 km from Chambishi</t>
  </si>
  <si>
    <t>T816EBW</t>
  </si>
  <si>
    <t>T816EBW =&gt; IDLING. At 01.02.2026 10:19:55 it moved with speed 0 km/h near 'Tanzania To Zambia Road, Iringa, Mufindi, Tanzania, Wenda'.</t>
  </si>
  <si>
    <t>Tanzania To Zambia Road, Wenda</t>
  </si>
  <si>
    <t>T817DDS</t>
  </si>
  <si>
    <t>T817DDS =&gt; IDLING. At 01.02.2026 13:04:31 it moved with speed 0 km/h near 'Rn36, Haut-Katanga, Democratic Republic of the Congo, Malashio'.</t>
  </si>
  <si>
    <t>T821EBW</t>
  </si>
  <si>
    <t>T821EBW =&gt; IDLING. At 01.02.2026 18:08:10 it moved with speed 0 km/h near 'Tanzam Road, Mbeya, Kalobe, Tanzania, 2.33 km from Mbeya'.</t>
  </si>
  <si>
    <t>Tanzam Road, 2.33 km from Mbeya</t>
  </si>
  <si>
    <t>T903EBW</t>
  </si>
  <si>
    <t>T903EBW =&gt; IDLING. At 01.02.2026 09:03:07 it moved with speed 0 km/h near 'Iringa Road, Iringa, Tanzania, Ruaha Mbuyumi'.</t>
  </si>
  <si>
    <t>Iringa Road, Ruaha Mbuyumi</t>
  </si>
  <si>
    <t>T921EBW</t>
  </si>
  <si>
    <t>T921EBW =&gt; IDLING. At 01.02.2026 11:41:20 it moved with speed 0 km/h near 'T3, Copperbelt Province, Zambia, 10.09 km from Chingola'.</t>
  </si>
  <si>
    <t>T3, 10.09 km from Chingola</t>
  </si>
  <si>
    <t>T933EBW</t>
  </si>
  <si>
    <t>T933EBW =&gt; IDLING. At 01.02.2026 09:01:14 it moved with speed 0 km/h near 'Iringa Road, Iringa, Tanzania, Ruaha Mbuyumi'.</t>
  </si>
  <si>
    <t>T956DSX</t>
  </si>
  <si>
    <t>T956DSX =&gt; IDLING. At 01.02.2026 11:38:09 it moved with speed 0 km/h near 'T3, Copperbelt Province, Zambia, 9.39 km from Chingola'.</t>
  </si>
  <si>
    <t>T3, 9.39 km from Chingola</t>
  </si>
  <si>
    <t>T959DSX</t>
  </si>
  <si>
    <t>T959DSX =&gt; IDLING. At 01.02.2026 08:10:07 it moved with speed 0 km/h near 'T3, Copperbelt Province, Zambia, 4.40 km from Chambishi'.</t>
  </si>
  <si>
    <t>T3, 4.40 km from Chambishi</t>
  </si>
  <si>
    <t>T986EBW</t>
  </si>
  <si>
    <t>T986EBW =&gt; IDLING. At 01.02.2026 08:52:08 it moved with speed 0 km/h near 'T3, Copperbelt Province, Zambia, 3.00 km from Momba'.</t>
  </si>
  <si>
    <t>T3, 3.00 km from Momba</t>
  </si>
  <si>
    <t>T995EBW</t>
  </si>
  <si>
    <t>T995EBW =&gt; IDLING. At 01.02.2026 11:40:04 it moved with speed 0 km/h near 'T3, Copperbelt Province, Zambia, 9.82 km from Chingola'.</t>
  </si>
  <si>
    <t>T3, 9.82 km from Chingola</t>
  </si>
  <si>
    <t>2026-02-02</t>
  </si>
  <si>
    <t>T127EBX =&gt; IDLING. At 02.02.2026 11:57:44 it moved with speed 0 km/h near 'M6, Copperbelt Province, Zambia, Ndola'.</t>
  </si>
  <si>
    <t>M6, Ndola</t>
  </si>
  <si>
    <t>T170EBX</t>
  </si>
  <si>
    <t>T170EBX =&gt; IDLING. At 02.02.2026 10:59:12 it moved with speed 0 km/h near 'Tanzam Road, Mbeya, Kalobe, Tanzania, 2.39 km from Mbeya'.</t>
  </si>
  <si>
    <t>Tanzam Road, 2.39 km from Mbeya</t>
  </si>
  <si>
    <t>T183EBX</t>
  </si>
  <si>
    <t>T183EBX =&gt; IDLING. At 02.02.2026 09:47:25 it moved with speed 0 km/h near 'T1, Morogoro, Tanzania, Bwawani'.</t>
  </si>
  <si>
    <t>T232EBX</t>
  </si>
  <si>
    <t>T232EBX =&gt; IDLING. At 02.02.2026 10:07:42 it moved with speed 0 km/h near 'T1, Mbeya, Tanzania, 1.91 km from Kongolo Mkola'.</t>
  </si>
  <si>
    <t>T1, 1.91 km from Kongolo Mkola</t>
  </si>
  <si>
    <t>T263DDJ =&gt; IDLING. At 02.02.2026 10:02:03 it moved with speed 0 km/h near 'T1, Njombe, Tanzania, Igawa'.</t>
  </si>
  <si>
    <t>T1, Igawa</t>
  </si>
  <si>
    <t>T325ECN =&gt; IDLING. At 02.02.2026 09:16:05 it moved with speed 0 km/h near 'T3, Copperbelt Province, Zambia, 2.78 km from Momba'.</t>
  </si>
  <si>
    <t>T3, 2.78 km from Momba</t>
  </si>
  <si>
    <t>T336EBX</t>
  </si>
  <si>
    <t>T336EBX =&gt; IDLING. At 02.02.2026 11:23:35 it moved with speed 0 km/h near 'Ndola - Kitwe Dual-Carriageway, Copperbelt Province, Zambia, 33.18 km from Ndola'.</t>
  </si>
  <si>
    <t>T405DHG =&gt; IDLING. At 02.02.2026 13:00:13 it moved with speed 0 km/h near 'T3, Copperbelt Province, Zambia, 11.67 km from Chambishi'.</t>
  </si>
  <si>
    <t>T3, 11.67 km from Chambishi</t>
  </si>
  <si>
    <t>T413DHG =&gt; IDLING. At 02.02.2026 09:04:21 it moved with speed 0 km/h near 'Ndola - Kitwe Dual-Carriageway, Copperbelt Province, Zambia, 33.21 km from Ndola'.</t>
  </si>
  <si>
    <t>Ndola - Kitwe Dual-Carriageway, 33.21 km from Ndola</t>
  </si>
  <si>
    <t>T417DHE =&gt; IDLING. At 02.02.2026 13:33:45 it moved with speed 0 km/h near 'M3, Northern Province, Zambia, 8.91 km from Chiwembe'.</t>
  </si>
  <si>
    <t>M3, 8.91 km from Chiwembe</t>
  </si>
  <si>
    <t>T424DHG</t>
  </si>
  <si>
    <t>T424DHG =&gt; IDLING. At 02.02.2026 13:07:38 it moved with speed 0 km/h near 'T1, Mbeya, Tanzania, Makwenje'.</t>
  </si>
  <si>
    <t>T1, Makwenje</t>
  </si>
  <si>
    <t>T425DHG =&gt; IDLING. At 02.02.2026 13:34:09 it moved with speed 0 km/h near 'M3, Northern Province, Zambia, 8.89 km from Chiwembe'.</t>
  </si>
  <si>
    <t>M3, 8.89 km from Chiwembe</t>
  </si>
  <si>
    <t>T427DHG =&gt; IDLING. At 02.02.2026 08:35:38 it moved with speed 0 km/h near 'Ndola - Kitwe Dual-Carriageway, Copperbelt Province, Zambia, 33.18 km from Ndola'.</t>
  </si>
  <si>
    <t>T493DYR</t>
  </si>
  <si>
    <t>T493DYR =&gt; IDLING. At 02.02.2026 10:39:39 it moved with speed 0 km/h near 'T1, Mbeya, Tanzania, Makwenje'.</t>
  </si>
  <si>
    <t>T511EBY =&gt; IDLING. At 02.02.2026 10:19:20 it moved with speed 0 km/h near 'T3, Central Province, Zambia, 7.42 km from Tonde'.</t>
  </si>
  <si>
    <t>T3, 7.42 km from Tonde</t>
  </si>
  <si>
    <t>T522EBY</t>
  </si>
  <si>
    <t>T522EBY =&gt; IDLING. At 02.02.2026 13:02:38 it moved with speed 0 km/h near 'Ndola - Kitwe Dual-Carriageway, Copperbelt Province, Zambia, 33.15 km from Ndola'.</t>
  </si>
  <si>
    <t>Ndola - Kitwe Dual-Carriageway, 33.15 km from Ndola</t>
  </si>
  <si>
    <t>T566DYR =&gt; IDLING. At 02.02.2026 11:54:34 it moved with speed 0 km/h near 'T3, Copperbelt Province, Zambia, 10.38 km from Chambishi'.</t>
  </si>
  <si>
    <t>T3, 10.38 km from Chambishi</t>
  </si>
  <si>
    <t>T572DEB =&gt; IDLING. At 02.02.2026 11:50:58 it moved with speed 0 km/h near 'Ndola - Kitwe Dual-Carriageway, Copperbelt Province, Zambia, 33.20 km from Ndola'.</t>
  </si>
  <si>
    <t>Ndola - Kitwe Dual-Carriageway, 33.20 km from Ndola</t>
  </si>
  <si>
    <t>T576DYR</t>
  </si>
  <si>
    <t>T576DYR =&gt; IDLING. At 02.02.2026 10:15:50 it moved with speed 0 km/h near 'Fisenge Bypass, Ndola, Copperbelt Province, Zambia'.</t>
  </si>
  <si>
    <t>T577DTQ</t>
  </si>
  <si>
    <t>T577DTQ =&gt; IDLING. At 02.02.2026 11:48:30 it moved with speed 0 km/h near 'Rn36, Haut-Katanga, Democratic Republic of the Congo, Malashio'.</t>
  </si>
  <si>
    <t>T579DTQ =&gt; IDLING. At 02.02.2026 10:33:50 it moved with speed 0 km/h near 'Route De La Mine Deziwa, Lualaba, Democratic Republic of the Congo, 6.78 km from Kisenda'.</t>
  </si>
  <si>
    <t>Route De La Mine Deziwa, 6.78 km from Kisenda</t>
  </si>
  <si>
    <t>T581DYR =&gt; IDLING. At 02.02.2026 11:42:51 it moved with speed 0 km/h near 'T3, Copperbelt Province, Zambia, 11.78 km from Chingola'.</t>
  </si>
  <si>
    <t>T3, 11.78 km from Chingola</t>
  </si>
  <si>
    <t>T584DYR =&gt; IDLING. At 02.02.2026 12:15:00 it moved with speed 0 km/h near 'Ndola - Kitwe Dual-Carriageway, Copperbelt Province, Zambia, 33.19 km from Ndola'.</t>
  </si>
  <si>
    <t>Ndola - Kitwe Dual-Carriageway, 33.19 km from Ndola</t>
  </si>
  <si>
    <t>T589DTQ</t>
  </si>
  <si>
    <t>T589DTQ =&gt; IDLING. At 02.02.2026 11:44:17 it moved with speed 0 km/h near 'Ndola - Kitwe Dual-Carriageway, Copperbelt Province, Zambia, 33.21 km from Ndola'.</t>
  </si>
  <si>
    <t>T595DTQ =&gt; IDLING. At 02.02.2026 11:33:35 it moved with speed 0 km/h near 'Ndola - Kitwe Dual-Carriageway, Copperbelt Province, Zambia, 33.20 km from Ndola'.</t>
  </si>
  <si>
    <t>T597DTQ</t>
  </si>
  <si>
    <t>T597DTQ =&gt; IDLING. At 02.02.2026 11:52:51 it moved with speed 0 km/h near 'Ndola - Kitwe Dual-Carriageway, Copperbelt Province, Zambia, 33.23 km from Ndola'.</t>
  </si>
  <si>
    <t>T661DTQ</t>
  </si>
  <si>
    <t>T661DTQ =&gt; IDLING. At 02.02.2026 11:05:45 it moved with speed 0 km/h near 'Ndola - Kitwe Dual-Carriageway, Copperbelt Province, Zambia, 33.19 km from Ndola'.</t>
  </si>
  <si>
    <t>T663DTQ</t>
  </si>
  <si>
    <t>T663DTQ =&gt; IDLING. At 02.02.2026 10:20:10 it moved with speed 0 km/h near 'Route De La Mine Deziwa, Lualaba, Democratic Republic of the Congo, 6.70 km from Kisenda'.</t>
  </si>
  <si>
    <t>Route De La Mine Deziwa, 6.70 km from Kisenda</t>
  </si>
  <si>
    <t>T684EBX</t>
  </si>
  <si>
    <t>T684EBX =&gt; IDLING. At 02.02.2026 11:55:52 it moved with speed 0 km/h near 'Regional Hospital Road, Mbeya, Nzovwe, Tanzania, 2.39 km from Mbeya'.</t>
  </si>
  <si>
    <t>Regional Hospital Road, 2.39 km from Mbeya</t>
  </si>
  <si>
    <t>T704DYR</t>
  </si>
  <si>
    <t>T704DYR =&gt; IDLING. At 02.02.2026 14:22:57 it moved with speed 0 km/h near 'T1, Mbeya, Tanzania, Ilolo'.</t>
  </si>
  <si>
    <t>T1, Ilolo</t>
  </si>
  <si>
    <t>T711DEB</t>
  </si>
  <si>
    <t>T711DEB =&gt; IDLING. At 02.02.2026 15:53:45 it moved with speed 0 km/h near 'T1, Mswiswi, Mbeya, Tanzania'.</t>
  </si>
  <si>
    <t>Mswiswi, T1</t>
  </si>
  <si>
    <t>T724DYR =&gt; IDLING. At 02.02.2026 16:42:19 it moved with speed 0 km/h near 'T3, Copperbelt Province, Zambia, 7.42 km from Chambishi'.</t>
  </si>
  <si>
    <t>T3, 7.42 km from Chambishi</t>
  </si>
  <si>
    <t>T728DYR</t>
  </si>
  <si>
    <t>T728DYR =&gt; IDLING. At 02.02.2026 12:32:29 it moved with speed 0 km/h near 'Iringa Road, Iringa, Tanzania, Ruaha Mbuyumi'.</t>
  </si>
  <si>
    <t>T732DEB =&gt; IDLING. At 02.02.2026 12:05:43 it moved with speed 0 km/h near 'T3, Copperbelt Province, Zambia, 10.44 km from Chambishi'.</t>
  </si>
  <si>
    <t>T3, 10.44 km from Chambishi</t>
  </si>
  <si>
    <t>T747DEB =&gt; IDLING. At 02.02.2026 10:21:00 it moved with speed 0 km/h near 'Fisenge Bypass, Ndola, Copperbelt Province, Zambia'.</t>
  </si>
  <si>
    <t>T766DYR =&gt; IDLING. At 02.02.2026 10:20:08 it moved with speed 0 km/h near 'Fisenge Bypass, Ndola, Copperbelt Province, Zambia'.</t>
  </si>
  <si>
    <t>T773EBW =&gt; IDLING. At 02.02.2026 09:14:24 it moved with speed 0 km/h near 'T3, Copperbelt Province, Zambia, 2.76 km from Momba'.</t>
  </si>
  <si>
    <t>T3, 2.76 km from Momba</t>
  </si>
  <si>
    <t>T792EBW</t>
  </si>
  <si>
    <t>T792EBW =&gt; IDLING. At 02.02.2026 15:26:10 it moved with speed 0 km/h near 'T3, Copperbelt Province, Zambia, 7.28 km from Chambishi'.</t>
  </si>
  <si>
    <t>T3, 7.28 km from Chambishi</t>
  </si>
  <si>
    <t>T793EBW =&gt; IDLING. At 02.02.2026 09:16:31 it moved with speed 0 km/h near 'T3, Copperbelt Province, Zambia, 2.71 km from Momba'.</t>
  </si>
  <si>
    <t>T3, 2.71 km from Momba</t>
  </si>
  <si>
    <t>T796DYR =&gt; IDLING. At 02.02.2026 12:57:56 it moved with speed 0 km/h near 'T3, Copperbelt Province, Zambia, 10.76 km from Chambishi'.</t>
  </si>
  <si>
    <t>T3, 10.76 km from Chambishi</t>
  </si>
  <si>
    <t>T806DYR =&gt; IDLING. At 02.02.2026 06:03:15 it moved with speed 0 km/h near 'T3, Copperbelt Province, Zambia, 10.94 km from Chambishi'.</t>
  </si>
  <si>
    <t>T3, 10.94 km from Chambishi</t>
  </si>
  <si>
    <t>T816EBW =&gt; IDLING. At 02.02.2026 09:49:10 it moved with speed 0 km/h near 'T1, Morogoro, Tanzania, Bwawani'.</t>
  </si>
  <si>
    <t>T817DDS =&gt; IDLING. At 02.02.2026 13:32:30 it moved with speed 0 km/h near 'M3, Northern Province, Zambia, 8.86 km from Chiwembe'.</t>
  </si>
  <si>
    <t>M3, 8.86 km from Chiwembe</t>
  </si>
  <si>
    <t>T869EBY =&gt; IDLING. At 02.02.2026 11:49:05 it moved with speed 0 km/h near 'T3, Copperbelt Province, Zambia, 13.27 km from Ndola'.</t>
  </si>
  <si>
    <t>T3, 13.27 km from Ndola</t>
  </si>
  <si>
    <t>T907EBW</t>
  </si>
  <si>
    <t>T907EBW =&gt; IDLING. At 02.02.2026 15:26:38 it moved with speed 0 km/h near 'T3, Copperbelt Province, Zambia, 4.81 km from Chingola'.</t>
  </si>
  <si>
    <t>T3, 4.81 km from Chingola</t>
  </si>
  <si>
    <t>T921EBW =&gt; IDLING. At 02.02.2026 09:15:25 it moved with speed 0 km/h near 'T3, Copperbelt Province, Zambia, 2.73 km from Momba'.</t>
  </si>
  <si>
    <t>T3, 2.73 km from Momba</t>
  </si>
  <si>
    <t>T956DSX =&gt; IDLING. At 02.02.2026 09:11:37 it moved with speed 0 km/h near 'T3, Copperbelt Province, Zambia, 3.91 km from Momba'.</t>
  </si>
  <si>
    <t>T3, 3.91 km from Momba</t>
  </si>
  <si>
    <t>T995EBW =&gt; IDLING. At 02.02.2026 09:13:12 it moved with speed 0 km/h near 'T3, Copperbelt Province, Zambia, 2.92 km from Momba'.</t>
  </si>
  <si>
    <t>T3, 2.92 km from Momba</t>
  </si>
  <si>
    <t>2026-02-03</t>
  </si>
  <si>
    <t>T127EBX =&gt; IDLING. At 03.02.2026 06:35:27 it moved with speed 0 km/h near 'Ndola - Kitwe Dual-Carriageway, Copperbelt Province, Zambia, 33.27 km from Ndola'.</t>
  </si>
  <si>
    <t>Ndola - Kitwe Dual-Carriageway, 33.27 km from Ndola</t>
  </si>
  <si>
    <t>T220EBX =&gt; IDLING. At 03.02.2026 05:20:14 it moved with speed 0 km/h near 'Rn39, Lualaba, Democratic Republic of the Congo, 6.14 km from Kazembe'.</t>
  </si>
  <si>
    <t>Rn39, 6.14 km from Kazembe</t>
  </si>
  <si>
    <t>T227EBX =&gt; IDLING. At 03.02.2026 10:24:05 it moved with speed 0 km/h near 'T3, Copperbelt Province, Zambia, 7.36 km from Bancroft'.</t>
  </si>
  <si>
    <t>T3, 7.36 km from Bancroft</t>
  </si>
  <si>
    <t>T261DDJ</t>
  </si>
  <si>
    <t>T261DDJ =&gt; IDLING. At 03.02.2026 09:26:01 it moved with speed 0 km/h near 'T1, Morogoro, Tanzania, Mdaula'.</t>
  </si>
  <si>
    <t>T1, Mdaula</t>
  </si>
  <si>
    <t>T267DDJ =&gt; IDLING. At 03.02.2026 10:53:14 it moved with speed 0 km/h near 'T3, Copperbelt Province, Zambia, 8.57 km from Bancroft'.</t>
  </si>
  <si>
    <t>T3, 8.57 km from Bancroft</t>
  </si>
  <si>
    <t>T336EBX =&gt; IDLING. At 03.02.2026 06:44:16 it moved with speed 0 km/h near 'T3, Copperbelt Province, Zambia, 11.27 km from Chambishi'.</t>
  </si>
  <si>
    <t>T3, 11.27 km from Chambishi</t>
  </si>
  <si>
    <t>T405DHG =&gt; IDLING. At 03.02.2026 10:49:41 it moved with speed 0 km/h near 'T3, Copperbelt Province, Zambia, 8.57 km from Bancroft'.</t>
  </si>
  <si>
    <t>T412DHG</t>
  </si>
  <si>
    <t>T412DHG =&gt; IDLING. At 03.02.2026 08:44:57 it moved with speed 0 km/h near 'T1, Njombe, Tanzania, Igawa'.</t>
  </si>
  <si>
    <t>T413DHG =&gt; IDLING. At 03.02.2026 10:20:04 it moved with speed 0 km/h near 'T3, Copperbelt Province, Zambia, 9.84 km from Chingola'.</t>
  </si>
  <si>
    <t>T3, 9.84 km from Chingola</t>
  </si>
  <si>
    <t>T416DHG =&gt; IDLING. At 03.02.2026 09:08:46 it moved with speed 0 km/h near 'Ndola - Kitwe Dual-Carriageway, Copperbelt Province, Zambia, 33.16 km from Ndola'.</t>
  </si>
  <si>
    <t>Ndola - Kitwe Dual-Carriageway, 33.16 km from Ndola</t>
  </si>
  <si>
    <t>T427DHG =&gt; IDLING. At 03.02.2026 10:21:27 it moved with speed 0 km/h near 'T3, Copperbelt Province, Zambia, 9.83 km from Chingola'.</t>
  </si>
  <si>
    <t>T3, 9.83 km from Chingola</t>
  </si>
  <si>
    <t>T511EBY =&gt; IDLING. At 03.02.2026 07:40:10 it moved with speed 0 km/h near 'T3, Copperbelt Province, Zambia, 10.44 km from Chambishi'.</t>
  </si>
  <si>
    <t>T515EBY =&gt; IDLING. At 03.02.2026 10:35:34 it moved with speed 0 km/h near 'T3, Copperbelt Province, Zambia, 7.65 km from Bancroft'.</t>
  </si>
  <si>
    <t>T3, 7.65 km from Bancroft</t>
  </si>
  <si>
    <t>T518EBY =&gt; IDLING. At 03.02.2026 10:34:35 it moved with speed 0 km/h near 'Ndola - Kitwe Dual-Carriageway, Copperbelt Province, Zambia, 33.19 km from Ndola'.</t>
  </si>
  <si>
    <t>T522EBY =&gt; IDLING. At 03.02.2026 06:50:23 it moved with speed 0 km/h near 'T3, Copperbelt Province, Zambia, 11.14 km from Chambishi'.</t>
  </si>
  <si>
    <t>T3, 11.14 km from Chambishi</t>
  </si>
  <si>
    <t>T566DYR =&gt; IDLING. At 03.02.2026 10:40:50 it moved with speed 0 km/h near 'T3, Copperbelt Province, Zambia, 8.18 km from Chingola'.</t>
  </si>
  <si>
    <t>T3, 8.18 km from Chingola</t>
  </si>
  <si>
    <t>T571DYR =&gt; IDLING. At 03.02.2026 10:12:12 it moved with speed 0 km/h near 'T3, Copperbelt Province, Zambia, 8.11 km from Chingola'.</t>
  </si>
  <si>
    <t>T3, 8.11 km from Chingola</t>
  </si>
  <si>
    <t>T572DEB =&gt; IDLING. At 03.02.2026 07:28:41 it moved with speed 0 km/h near 'T3, Copperbelt Province, Zambia, 10.99 km from Chambishi'.</t>
  </si>
  <si>
    <t>T3, 10.99 km from Chambishi</t>
  </si>
  <si>
    <t>T576DYR =&gt; IDLING. At 03.02.2026 10:29:33 it moved with speed 0 km/h near 'T3, Copperbelt Province, Zambia, 11.94 km from Chingola'.</t>
  </si>
  <si>
    <t>T3, 11.94 km from Chingola</t>
  </si>
  <si>
    <t>T580DTQ</t>
  </si>
  <si>
    <t>T580DTQ =&gt; IDLING. At 03.02.2026 09:28:10 it moved with speed 0 km/h near 'Iringa Road, Morogoro, Kilosa, Tanzania, Kidayi 'A''.</t>
  </si>
  <si>
    <t>T581DYR =&gt; IDLING. At 03.02.2026 14:25:49 it moved with speed 0 km/h near 'T3, Copperbelt Province, Zambia, 4.76 km from Bancroft'.</t>
  </si>
  <si>
    <t>T3, 4.76 km from Bancroft</t>
  </si>
  <si>
    <t>T584DYR =&gt; IDLING. At 03.02.2026 06:44:17 it moved with speed 0 km/h near 'T3, Copperbelt Province, Zambia, 11.24 km from Chambishi'.</t>
  </si>
  <si>
    <t>T3, 11.24 km from Chambishi</t>
  </si>
  <si>
    <t>T586DYR</t>
  </si>
  <si>
    <t>T586DYR =&gt; IDLING. At 03.02.2026 06:25:40 it moved with speed 0 km/h near 'T1, Mbeya, Mbozi, Tanzania, 9.25 km from Katete'.</t>
  </si>
  <si>
    <t>T1, 9.25 km from Katete</t>
  </si>
  <si>
    <t>T588DYR</t>
  </si>
  <si>
    <t>T588DYR =&gt; IDLING. At 03.02.2026 07:38:50 it moved with speed 0 km/h near 'T3, Copperbelt Province, Zambia, 10.46 km from Chambishi'.</t>
  </si>
  <si>
    <t>T3, 10.46 km from Chambishi</t>
  </si>
  <si>
    <t>T589DTQ =&gt; IDLING. At 03.02.2026 07:28:44 it moved with speed 0 km/h near 'T3, Copperbelt Province, Zambia, 10.97 km from Chambishi'.</t>
  </si>
  <si>
    <t>T3, 10.97 km from Chambishi</t>
  </si>
  <si>
    <t>T595DTQ =&gt; IDLING. At 03.02.2026 07:09:02 it moved with speed 0 km/h near 'T3, Copperbelt Province, Zambia, 11.27 km from Chambishi'.</t>
  </si>
  <si>
    <t>T597DTQ =&gt; IDLING. At 03.02.2026 07:30:22 it moved with speed 0 km/h near 'T3, Copperbelt Province, Zambia, 10.94 km from Chambishi'.</t>
  </si>
  <si>
    <t>T600DTQ =&gt; IDLING. At 03.02.2026 09:10:02 it moved with speed 0 km/h near 'Ndola - Kitwe Dual-Carriageway, Copperbelt Province, Zambia, 33.20 km from Ndola'.</t>
  </si>
  <si>
    <t>T634DHL</t>
  </si>
  <si>
    <t>T634DHL =&gt; IDLING. At 03.02.2026 11:01:54 it moved with speed 0 km/h near 'Route De La Mine Deziwa, Lualaba, Democratic Republic of the Congo, 5.76 km from Kisenda'.</t>
  </si>
  <si>
    <t>Route De La Mine Deziwa, 5.76 km from Kisenda</t>
  </si>
  <si>
    <t>T645DHL =&gt; IDLING. At 03.02.2026 00:21:08 it moved with speed 0 km/h near 'T3, Copperbelt Province, Zambia, 1.14 km from Chingola'.</t>
  </si>
  <si>
    <t>T3, 1.14 km from Chingola</t>
  </si>
  <si>
    <t>T661DTQ =&gt; IDLING. At 03.02.2026 02:12:18 it moved with speed 0 km/h near 'T3, Copperbelt Province, Zambia, 11.13 km from Chingola'.</t>
  </si>
  <si>
    <t>T3, 11.13 km from Chingola</t>
  </si>
  <si>
    <t>T724DYR =&gt; IDLING. At 03.02.2026 07:09:46 it moved with speed 0 km/h near 'T3, Copperbelt Province, Zambia, 11.16 km from Chambishi'.</t>
  </si>
  <si>
    <t>T3, 11.16 km from Chambishi</t>
  </si>
  <si>
    <t>T732DEB =&gt; IDLING. At 03.02.2026 00:21:08 it moved with speed 0 km/h near 'T3, Copperbelt Province, Zambia, 1.13 km from Chingola'.</t>
  </si>
  <si>
    <t>T3, 1.13 km from Chingola</t>
  </si>
  <si>
    <t>T747DEB =&gt; IDLING. At 03.02.2026 06:44:17 it moved with speed 0 km/h near 'T3, Copperbelt Province, Zambia, 11.38 km from Chambishi'.</t>
  </si>
  <si>
    <t>T3, 11.38 km from Chambishi</t>
  </si>
  <si>
    <t>T763EBW =&gt; IDLING. At 03.02.2026 10:40:27 it moved with speed 0 km/h near 'T3, Copperbelt Province, Zambia, 7.98 km from Bancroft'.</t>
  </si>
  <si>
    <t>T3, 7.98 km from Bancroft</t>
  </si>
  <si>
    <t>T766DYR =&gt; IDLING. At 03.02.2026 07:32:13 it moved with speed 0 km/h near 'T3, Copperbelt Province, Zambia, 10.83 km from Chambishi'.</t>
  </si>
  <si>
    <t>T3, 10.83 km from Chambishi</t>
  </si>
  <si>
    <t>T774DYR =&gt; IDLING. At 03.02.2026 08:23:34 it moved with speed 0 km/h near 'T3, Copperbelt Province, Zambia, 9.20 km from Chambishi'.</t>
  </si>
  <si>
    <t>T3, 9.20 km from Chambishi</t>
  </si>
  <si>
    <t>T778DYR</t>
  </si>
  <si>
    <t>T778DYR =&gt; IDLING. At 03.02.2026 09:57:24 it moved with speed 0 km/h near 'Iringa Road, Morogoro, Kilosa, Tanzania, 1.34 km from Ruaha Darajani'.</t>
  </si>
  <si>
    <t>Iringa Road, 1.34 km from Ruaha Darajani</t>
  </si>
  <si>
    <t>T791DYR</t>
  </si>
  <si>
    <t>T791DYR =&gt; IDLING. At 03.02.2026 13:43:36 it moved with speed 0 km/h near 'Rn36, Haut-Katanga, Democratic Republic of the Congo, Malashio'.</t>
  </si>
  <si>
    <t>T792EBW =&gt; IDLING. At 03.02.2026 10:25:00 it moved with speed 0 km/h near 'T3, Copperbelt Province, Zambia, 11.89 km from Chambishi'.</t>
  </si>
  <si>
    <t>T3, 11.89 km from Chambishi</t>
  </si>
  <si>
    <t>T796DYR =&gt; IDLING. At 03.02.2026 10:13:56 it moved with speed 0 km/h near 'T3, Copperbelt Province, Zambia, 8.22 km from Chingola'.</t>
  </si>
  <si>
    <t>T3, 8.22 km from Chingola</t>
  </si>
  <si>
    <t>T804DYR</t>
  </si>
  <si>
    <t>T804DYR =&gt; IDLING. At 03.02.2026 09:54:59 it moved with speed 0 km/h near 'Iringa Road, Morogoro, Kilosa, Tanzania, 1.37 km from Ruaha Darajani'.</t>
  </si>
  <si>
    <t>Iringa Road, 1.37 km from Ruaha Darajani</t>
  </si>
  <si>
    <t>T806DYR =&gt; IDLING. At 03.02.2026 10:51:38 it moved with speed 0 km/h near 'T3, Copperbelt Province, Zambia, 8.12 km from Bancroft'.</t>
  </si>
  <si>
    <t>T3, 8.12 km from Bancroft</t>
  </si>
  <si>
    <t>T812EBW</t>
  </si>
  <si>
    <t>T812EBW =&gt; IDLING. At 03.02.2026 06:51:04 it moved with speed 0 km/h near 'T3, Copperbelt Province, Zambia, 11.17 km from Chambishi'.</t>
  </si>
  <si>
    <t>T3, 11.17 km from Chambishi</t>
  </si>
  <si>
    <t>T815DDS =&gt; IDLING. At 03.02.2026 10:08:26 it moved with speed 0 km/h near 'T3, Copperbelt Province, Zambia, 6.85 km from Chingola'.</t>
  </si>
  <si>
    <t>T3, 6.85 km from Chingola</t>
  </si>
  <si>
    <t>T861EBY</t>
  </si>
  <si>
    <t>T861EBY =&gt; IDLING. At 03.02.2026 09:17:26 it moved with speed 0 km/h near 'Morogoro Road, Dar Es Salaam, Tanzania'.</t>
  </si>
  <si>
    <t>Dar Es Salaam, Morogoro Road</t>
  </si>
  <si>
    <t>T869EBY =&gt; IDLING. At 03.02.2026 06:44:30 it moved with speed 0 km/h near 'T3, Copperbelt Province, Zambia, 11.20 km from Chambishi'.</t>
  </si>
  <si>
    <t>T3, 11.20 km from Chambishi</t>
  </si>
  <si>
    <t>T892EBW =&gt; IDLING. At 03.02.2026 09:53:24 it moved with speed 0 km/h near 'Rn1, Lualaba, Democratic Republic of the Congo, 1.15 km from Kaidi'.</t>
  </si>
  <si>
    <t>Rn1, 1.15 km from Kaidi</t>
  </si>
  <si>
    <t>T909EBW =&gt; IDLING. At 03.02.2026 12:11:09 it moved with speed 0 km/h near 'Fisenge Bypass, Ndola, Copperbelt Province, Zambia'.</t>
  </si>
  <si>
    <t>T954DSX</t>
  </si>
  <si>
    <t>T954DSX =&gt; IDLING. At 03.02.2026 10:12:38 it moved with speed 0 km/h near 'Route De La Mine Deziwa, Lualaba, Democratic Republic of the Congo, 6.77 km from Kisenda'.</t>
  </si>
  <si>
    <t>Route De La Mine Deziwa, 6.77 km from Kisenda</t>
  </si>
  <si>
    <t>T995EBW =&gt; IDLING. At 03.02.2026 11:43:13 it moved with speed 0 km/h near 'T3, Copperbelt Province, Zambia, 6.99 km from Konkola'.</t>
  </si>
  <si>
    <t>T3, 6.99 km from Konkola</t>
  </si>
  <si>
    <t>T107EBX</t>
  </si>
  <si>
    <t>2026-02-04</t>
  </si>
  <si>
    <t>T107EBX =&gt; IDLING. At 04.02.2026 07:51:48 it moved with speed 0 km/h near 'T3, Central Province, Zambia, 7.45 km from Tonde'.</t>
  </si>
  <si>
    <t>T3, 7.45 km from Tonde</t>
  </si>
  <si>
    <t>T127EBX =&gt; IDLING. At 04.02.2026 15:12:52 it moved with speed 0 km/h near 'T3, Copperbelt Province, Zambia, 2.21 km from Momba'.</t>
  </si>
  <si>
    <t>T3, 2.21 km from Momba</t>
  </si>
  <si>
    <t>T261EBX</t>
  </si>
  <si>
    <t>T261EBX =&gt; IDLING. At 04.02.2026 07:06:50 it moved with speed 0 km/h near 'Rn39, Lualaba, Democratic Republic of the Congo, 10.52 km from Kisenda'.</t>
  </si>
  <si>
    <t>Rn39, 10.52 km from Kisenda</t>
  </si>
  <si>
    <t>T263EBX</t>
  </si>
  <si>
    <t>T263EBX =&gt; IDLING. At 04.02.2026 07:51:33 it moved with speed 0 km/h near 'Great North Road, Muchinga Province, Zambia, Chinunda'.</t>
  </si>
  <si>
    <t>T271EBY</t>
  </si>
  <si>
    <t>T271EBY =&gt; IDLING. At 04.02.2026 10:38:31 it moved with speed 0 km/h near 'Great North Road, Central Province, Zambia, 10.40 km from Tanemeka'.</t>
  </si>
  <si>
    <t>Great North Road, 10.40 km from Tanemeka</t>
  </si>
  <si>
    <t>T341DHG</t>
  </si>
  <si>
    <t>T341DHG =&gt; IDLING. At 04.02.2026 07:17:18 it moved with speed 0 km/h near 'T1, Pwani, Bagamoyo, Tanzania, 1.79 km from Vigwaza'.</t>
  </si>
  <si>
    <t>T1, 1.79 km from Vigwaza</t>
  </si>
  <si>
    <t>T365DHG =&gt; IDLING. At 04.02.2026 13:40:04 it moved with speed 0 km/h near 'T3, Copperbelt Province, Zambia, 11.01 km from Chambishi'.</t>
  </si>
  <si>
    <t>T3, 11.01 km from Chambishi</t>
  </si>
  <si>
    <t>T373DHG =&gt; IDLING. At 04.02.2026 13:45:02 it moved with speed 0 km/h near 'Nakambala Road, Copperbelt Province, Zambia, 5.62 km from Kitwe'.</t>
  </si>
  <si>
    <t>Nakambala Road, 5.62 km from Kitwe</t>
  </si>
  <si>
    <t>T381ECN</t>
  </si>
  <si>
    <t>T381ECN =&gt; IDLING. At 04.02.2026 08:07:07 it moved with speed 0 km/h near 'Rn39, Kolwezi, Lualaba, Democratic Republic of the Congo'.</t>
  </si>
  <si>
    <t>Kolwezi, Rn39</t>
  </si>
  <si>
    <t>T404ECN</t>
  </si>
  <si>
    <t>T404ECN =&gt; IDLING. At 04.02.2026 16:10:38 it moved with speed 0 km/h near 'M16, Copperbelt Province, Zambia, 6.70 km from Kalulushi'.</t>
  </si>
  <si>
    <t>M16, 6.70 km from Kalulushi</t>
  </si>
  <si>
    <t>T413DHG =&gt; IDLING. At 04.02.2026 07:56:20 it moved with speed 0 km/h near 'T3, Copperbelt Province, Zambia, 2.20 km from Momba'.</t>
  </si>
  <si>
    <t>T3, 2.20 km from Momba</t>
  </si>
  <si>
    <t>T416DHG =&gt; IDLING. At 04.02.2026 09:13:29 it moved with speed 0 km/h near 'T3, Copperbelt Province, Zambia, 7.74 km from Chingola'.</t>
  </si>
  <si>
    <t>T3, 7.74 km from Chingola</t>
  </si>
  <si>
    <t>T427DHG =&gt; IDLING. At 04.02.2026 08:06:39 it moved with speed 0 km/h near 'T3, Copperbelt Province, Zambia, 2.18 km from Momba'.</t>
  </si>
  <si>
    <t>T3, 2.18 km from Momba</t>
  </si>
  <si>
    <t>T511EBY =&gt; IDLING. At 04.02.2026 02:01:20 it moved with speed 0 km/h near 'T3, Copperbelt Province, Zambia, 5.71 km from Bancroft'.</t>
  </si>
  <si>
    <t>T3, 5.71 km from Bancroft</t>
  </si>
  <si>
    <t>T518EBY =&gt; IDLING. At 04.02.2026 16:14:01 it moved with speed 0 km/h near 'T3, Copperbelt Province, Zambia, 5.91 km from Bancroft'.</t>
  </si>
  <si>
    <t>T3, 5.91 km from Bancroft</t>
  </si>
  <si>
    <t>T519EBY</t>
  </si>
  <si>
    <t>T519EBY =&gt; IDLING. At 04.02.2026 11:12:03 it moved with speed 0 km/h near 'Ndola - Kitwe Dual-Carriageway, Copperbelt Province, Zambia, 29.25 km from Ndola'.</t>
  </si>
  <si>
    <t>Ndola - Kitwe Dual-Carriageway, 29.25 km from Ndola</t>
  </si>
  <si>
    <t>T526EBY</t>
  </si>
  <si>
    <t>T526EBY =&gt; IDLING. At 04.02.2026 07:09:08 it moved with speed 0 km/h near 'Rn39, Lualaba, Democratic Republic of the Congo, 10.69 km from Kisenda'.</t>
  </si>
  <si>
    <t>Rn39, 10.69 km from Kisenda</t>
  </si>
  <si>
    <t>T572DEB =&gt; IDLING. At 04.02.2026 08:04:45 it moved with speed 0 km/h near 'T3, Copperbelt Province, Zambia, 5.48 km from Bancroft'.</t>
  </si>
  <si>
    <t>T3, 5.48 km from Bancroft</t>
  </si>
  <si>
    <t>T576DYR =&gt; IDLING. At 04.02.2026 15:12:41 it moved with speed 0 km/h near 'T3, Copperbelt Province, Zambia, 3.88 km from Momba'.</t>
  </si>
  <si>
    <t>T3, 3.88 km from Momba</t>
  </si>
  <si>
    <t>T579DTQ =&gt; IDLING. At 04.02.2026 16:50:42 it moved with speed 0 km/h near 'Route De La Mine Deziwa, Lualaba, Democratic Republic of the Congo, 5.76 km from Kisenda'.</t>
  </si>
  <si>
    <t>T581DTQ</t>
  </si>
  <si>
    <t>T581DTQ =&gt; IDLING. At 04.02.2026 16:34:15 it moved with speed 0 km/h near 'M16, Copperbelt Province, Zambia, 6.68 km from Kalulushi'.</t>
  </si>
  <si>
    <t>M16, 6.68 km from Kalulushi</t>
  </si>
  <si>
    <t>T584DYR =&gt; IDLING. At 04.02.2026 15:16:19 it moved with speed 0 km/h near 'T3, Copperbelt Province, Zambia, 3.78 km from Momba'.</t>
  </si>
  <si>
    <t>T3, 3.78 km from Momba</t>
  </si>
  <si>
    <t>T586DYR =&gt; IDLING. At 04.02.2026 10:00:30 it moved with speed 0 km/h near 'Iringa Road, Morogoro, Kilosa, Tanzania, Mikumi'.</t>
  </si>
  <si>
    <t>Iringa Road, Mikumi</t>
  </si>
  <si>
    <t>T589DTQ =&gt; IDLING. At 04.02.2026 15:12:51 it moved with speed 0 km/h near 'T3, Copperbelt Province, Zambia, 2.45 km from Momba'.</t>
  </si>
  <si>
    <t>T3, 2.45 km from Momba</t>
  </si>
  <si>
    <t>T595DTQ =&gt; IDLING. At 04.02.2026 15:16:25 it moved with speed 0 km/h near 'T3, Copperbelt Province, Zambia, 3.76 km from Momba'.</t>
  </si>
  <si>
    <t>T3, 3.76 km from Momba</t>
  </si>
  <si>
    <t>T597DTQ =&gt; IDLING. At 04.02.2026 01:28:27 it moved with speed 0 km/h near 'T3, Copperbelt Province, Zambia, 5.53 km from Bancroft'.</t>
  </si>
  <si>
    <t>T3, 5.53 km from Bancroft</t>
  </si>
  <si>
    <t>T603DTQ =&gt; IDLING. At 04.02.2026 10:14:22 it moved with speed 0 km/h near 'Iringa Road, Morogoro, Kilosa, Tanzania, Kikwaraza'.</t>
  </si>
  <si>
    <t>Iringa Road, Kikwaraza</t>
  </si>
  <si>
    <t>T645DHL =&gt; IDLING. At 04.02.2026 12:14:03 it moved with speed 0 km/h near 'T3, Copperbelt Province, Zambia, 4.92 km from Konkola'.</t>
  </si>
  <si>
    <t>T3, 4.92 km from Konkola</t>
  </si>
  <si>
    <t>T651DTQ</t>
  </si>
  <si>
    <t>T651DTQ =&gt; IDLING. At 04.02.2026 15:28:25 it moved with speed 0 km/h near 'Tanzam Road, Mbeya, Mbozi, Tanzania, Mbalizi'.</t>
  </si>
  <si>
    <t>Tanzam Road, Mbalizi</t>
  </si>
  <si>
    <t>T652DTQ =&gt; IDLING. At 04.02.2026 15:33:16 it moved with speed 0 km/h near 'T3, Copperbelt Province, Zambia, 10.66 km from Chingola'.</t>
  </si>
  <si>
    <t>T3, 10.66 km from Chingola</t>
  </si>
  <si>
    <t>T661DTQ =&gt; IDLING. At 04.02.2026 07:59:44 it moved with speed 0 km/h near 'T3, Copperbelt Province, Zambia, 1.80 km from Momba'.</t>
  </si>
  <si>
    <t>T3, 1.80 km from Momba</t>
  </si>
  <si>
    <t>T697DEB</t>
  </si>
  <si>
    <t>T697DEB =&gt; IDLING. At 04.02.2026 07:13:40 it moved with speed 0 km/h near 'Tanzania To Zambia Road, Iringa, Mufindi, Tanzania, 1.32 km from Changarawe'.</t>
  </si>
  <si>
    <t>Tanzania To Zambia Road, 1.32 km from Changarawe</t>
  </si>
  <si>
    <t>T699EBX</t>
  </si>
  <si>
    <t>T699EBX =&gt; IDLING. At 04.02.2026 09:05:28 it moved with speed 0 km/h near 'Great North Road, Muchinga Province, Zambia, Mkasi'.</t>
  </si>
  <si>
    <t>Great North Road, Mkasi</t>
  </si>
  <si>
    <t>T716EBX</t>
  </si>
  <si>
    <t>T716EBX =&gt; IDLING. At 04.02.2026 07:07:52 it moved with speed 0 km/h near 'Rn39, Lualaba, Democratic Republic of the Congo, 10.66 km from Kisenda'.</t>
  </si>
  <si>
    <t>Rn39, 10.66 km from Kisenda</t>
  </si>
  <si>
    <t>T719EBX =&gt; IDLING. At 04.02.2026 09:02:03 it moved with speed 0 km/h near 'Great North Road, Muchinga Province, Zambia, Mkasi'.</t>
  </si>
  <si>
    <t>T724DYR =&gt; IDLING. At 04.02.2026 15:24:16 it moved with speed 0 km/h near 'T3, Copperbelt Province, Zambia, 3.75 km from Momba'.</t>
  </si>
  <si>
    <t>T3, 3.75 km from Momba</t>
  </si>
  <si>
    <t>T732DEB =&gt; IDLING. At 04.02.2026 12:00:46 it moved with speed 0 km/h near 'T3, Copperbelt Province, Zambia, 4.97 km from Konkola'.</t>
  </si>
  <si>
    <t>T3, 4.97 km from Konkola</t>
  </si>
  <si>
    <t>T747DEB =&gt; IDLING. At 04.02.2026 15:11:13 it moved with speed 0 km/h near 'T3, Copperbelt Province, Zambia, 3.89 km from Momba'.</t>
  </si>
  <si>
    <t>T3, 3.89 km from Momba</t>
  </si>
  <si>
    <t>T749DEB =&gt; IDLING. At 04.02.2026 12:12:37 it moved with speed 0 km/h near 'Iringa Road, Lundamatwe, Iringa, Tanzania'.</t>
  </si>
  <si>
    <t>T763EBW =&gt; IDLING. At 04.02.2026 11:27:33 it moved with speed 0 km/h near 'T3, Copperbelt Province, Zambia, 4.36 km from Momba'.</t>
  </si>
  <si>
    <t>T3, 4.36 km from Momba</t>
  </si>
  <si>
    <t>T764EBW =&gt; IDLING. At 04.02.2026 10:09:11 it moved with speed 0 km/h near 'Rn1, Haut-Katanga, Democratic Republic of the Congo, 27.48 km from Lubumbashi'.</t>
  </si>
  <si>
    <t>Rn1, 27.48 km from Lubumbashi</t>
  </si>
  <si>
    <t>T766DYR =&gt; IDLING. At 04.02.2026 15:13:56 it moved with speed 0 km/h near 'T3, Copperbelt Province, Zambia, 3.81 km from Momba'.</t>
  </si>
  <si>
    <t>T3, 3.81 km from Momba</t>
  </si>
  <si>
    <t>T774DYR =&gt; IDLING. At 04.02.2026 14:44:04 it moved with speed 0 km/h near 'T3, Copperbelt Province, Zambia, 4.98 km from Bancroft'.</t>
  </si>
  <si>
    <t>T3, 4.98 km from Bancroft</t>
  </si>
  <si>
    <t>T779EBW</t>
  </si>
  <si>
    <t>T779EBW =&gt; IDLING. At 04.02.2026 09:21:26 it moved with speed 0 km/h near 'T1, Morogoro, Tanzania, Mkambarani'.</t>
  </si>
  <si>
    <t>T1, Mkambarani</t>
  </si>
  <si>
    <t>T792EBW =&gt; IDLING. At 04.02.2026 14:42:33 it moved with speed 0 km/h near 'T3, Copperbelt Province, Zambia, 1.80 km from Momba'.</t>
  </si>
  <si>
    <t>T797DYR =&gt; IDLING. At 04.02.2026 10:49:05 it moved with speed 0 km/h near 'Ndola - Kitwe Dual-Carriageway, Copperbelt Province, Zambia, 33.20 km from Ndola'.</t>
  </si>
  <si>
    <t>T803EBW</t>
  </si>
  <si>
    <t>T803EBW =&gt; IDLING. At 04.02.2026 07:08:42 it moved with speed 0 km/h near 'Rn39, Lualaba, Democratic Republic of the Congo, 10.55 km from Kisenda'.</t>
  </si>
  <si>
    <t>Rn39, 10.55 km from Kisenda</t>
  </si>
  <si>
    <t>T812EBW =&gt; IDLING. At 04.02.2026 15:17:46 it moved with speed 0 km/h near 'T3, Copperbelt Province, Zambia, 3.72 km from Momba'.</t>
  </si>
  <si>
    <t>T3, 3.72 km from Momba</t>
  </si>
  <si>
    <t>T820DDS</t>
  </si>
  <si>
    <t>T820DDS =&gt; IDLING. At 04.02.2026 09:11:04 it moved with speed 0 km/h near 'Tanzam Road, Mbeya, Mbozi, Tanzania, 1.19 km from Mbalizi'.</t>
  </si>
  <si>
    <t>Tanzam Road, 1.19 km from Mbalizi</t>
  </si>
  <si>
    <t>T821EBW =&gt; IDLING. At 04.02.2026 08:29:35 it moved with speed 0 km/h near 'Great North Road, Muchinga Province, Zambia, Kalungu'.</t>
  </si>
  <si>
    <t>Great North Road, Kalungu</t>
  </si>
  <si>
    <t>T835EBY</t>
  </si>
  <si>
    <t>T835EBY =&gt; IDLING. At 04.02.2026 08:35:22 it moved with speed 0 km/h near 'Rn1, Haut-Katanga, Democratic Republic of the Congo, 1.45 km from Mbalaka'.</t>
  </si>
  <si>
    <t>Rn1, 1.45 km from Mbalaka</t>
  </si>
  <si>
    <t>T838EBY</t>
  </si>
  <si>
    <t>T838EBY =&gt; IDLING. At 04.02.2026 10:20:40 it moved with speed 0 km/h near 'Great North Road, Central Province, Zambia, Serenje'.</t>
  </si>
  <si>
    <t>T842EBY</t>
  </si>
  <si>
    <t>T842EBY =&gt; IDLING. At 04.02.2026 07:07:23 it moved with speed 0 km/h near 'Rn39, Lualaba, Democratic Republic of the Congo, 10.73 km from Kisenda'.</t>
  </si>
  <si>
    <t>Rn39, 10.73 km from Kisenda</t>
  </si>
  <si>
    <t>T850EBY</t>
  </si>
  <si>
    <t>T850EBY =&gt; IDLING. At 04.02.2026 10:22:38 it moved with speed 0 km/h near 'Great North Road, Central Province, Zambia, Serenje'.</t>
  </si>
  <si>
    <t>T867EBY</t>
  </si>
  <si>
    <t>T867EBY =&gt; IDLING. At 04.02.2026 10:02:30 it moved with speed 0 km/h near 'Rn1, Lualaba, Democratic Republic of the Congo, 1.51 km from Kaidi'.</t>
  </si>
  <si>
    <t>Rn1, 1.51 km from Kaidi</t>
  </si>
  <si>
    <t>T869EBY =&gt; IDLING. At 04.02.2026 15:16:55 it moved with speed 0 km/h near 'T3, Copperbelt Province, Zambia, 3.74 km from Momba'.</t>
  </si>
  <si>
    <t>T3, 3.74 km from Momba</t>
  </si>
  <si>
    <t>T875EBY</t>
  </si>
  <si>
    <t>T875EBY =&gt; IDLING. At 04.02.2026 12:49:59 it moved with speed 0 km/h near 'Great North Road, Muchinga Province, Zambia, 2.11 km from Mpumba'.</t>
  </si>
  <si>
    <t>Great North Road, 2.11 km from Mpumba</t>
  </si>
  <si>
    <t>T914EBW</t>
  </si>
  <si>
    <t>T914EBW =&gt; IDLING. At 04.02.2026 07:52:19 it moved with speed 0 km/h near 'T3, Central Province, Zambia, 7.44 km from Tonde'.</t>
  </si>
  <si>
    <t>T3, 7.44 km from Tonde</t>
  </si>
  <si>
    <t>T930EBW =&gt; IDLING. At 04.02.2026 07:06:42 it moved with speed 0 km/h near 'Rn39, Lualaba, Democratic Republic of the Congo, 10.57 km from Kisenda'.</t>
  </si>
  <si>
    <t>Rn39, 10.57 km from Kisenda</t>
  </si>
  <si>
    <t>T957DSX</t>
  </si>
  <si>
    <t>T957DSX =&gt; IDLING. At 04.02.2026 11:31:00 it moved with speed 0 km/h near 'Ndola - Kitwe Dual-Carriageway, Copperbelt Province, Zambia, 33.24 km from Ndola'.</t>
  </si>
  <si>
    <t>T959DSX =&gt; IDLING. At 04.02.2026 16:00:53 it moved with speed 0 km/h near 'Rn1, Haut-Katanga, Democratic Republic of the Congo, 1.30 km from Kasumbalesa'.</t>
  </si>
  <si>
    <t>Rn1, 1.30 km from Kasumbalesa</t>
  </si>
  <si>
    <t>T986EBW =&gt; IDLING. At 04.02.2026 10:08:50 it moved with speed 0 km/h near 'Rn1, Haut-Katanga, Democratic Republic of the Congo, 27.44 km from Lubumbashi'.</t>
  </si>
  <si>
    <t>Rn1, 27.44 km from Lubumbashi</t>
  </si>
  <si>
    <t>2026-02-05</t>
  </si>
  <si>
    <t>T107EBX =&gt; IDLING. At 05.02.2026 09:30:28 it moved with speed 0 km/h near 'T3, Copperbelt Province, Zambia, 8.34 km from Chingola'.</t>
  </si>
  <si>
    <t>T3, 8.34 km from Chingola</t>
  </si>
  <si>
    <t>T127EBX =&gt; IDLING. At 05.02.2026 10:08:47 it moved with speed 0 km/h near 'T3, Copperbelt Province, Zambia, 5.00 km from Konkola'.</t>
  </si>
  <si>
    <t>T3, 5.00 km from Konkola</t>
  </si>
  <si>
    <t>T149EBX</t>
  </si>
  <si>
    <t>T149EBX =&gt; IDLING. At 05.02.2026 07:49:30 it moved with speed 0 km/h near 'Great North Road, Central Province, Zambia, Serenje'.</t>
  </si>
  <si>
    <t>T220EBX =&gt; IDLING. At 05.02.2026 10:28:07 it moved with speed 0 km/h near 'Route De La Mine Deziwa, Lualaba, Democratic Republic of the Congo, 5.76 km from Kisenda'.</t>
  </si>
  <si>
    <t>T263EBX =&gt; IDLING. At 05.02.2026 13:42:01 it moved with speed 0 km/h near 'Tanzam Road, Mbeya, Tanzania, 2.40 km from Iwambi'.</t>
  </si>
  <si>
    <t>Tanzam Road, 2.40 km from Iwambi</t>
  </si>
  <si>
    <t>T271EBY =&gt; IDLING. At 05.02.2026 11:52:54 it moved with speed 0 km/h near 'Great North Road, Muchinga Province, Zambia, Mutumbo'.</t>
  </si>
  <si>
    <t>Great North Road, Mutumbo</t>
  </si>
  <si>
    <t>T319EBY</t>
  </si>
  <si>
    <t>T319EBY =&gt; IDLING. At 05.02.2026 08:29:18 it moved with speed 0 km/h near 'Great North Road, Muchinga Province, Zambia, 1.84 km from Chilonga'.</t>
  </si>
  <si>
    <t>Great North Road, 1.84 km from Chilonga</t>
  </si>
  <si>
    <t>T336EBX =&gt; IDLING. At 05.02.2026 10:07:16 it moved with speed 0 km/h near 'T3, Copperbelt Province, Zambia, 4.91 km from Konkola'.</t>
  </si>
  <si>
    <t>T3, 4.91 km from Konkola</t>
  </si>
  <si>
    <t>T365DHG =&gt; IDLING. At 05.02.2026 14:50:25 it moved with speed 0 km/h near 'T3, Copperbelt Province, Zambia, 5.22 km from Bancroft'.</t>
  </si>
  <si>
    <t>T3, 5.22 km from Bancroft</t>
  </si>
  <si>
    <t>T373DHG =&gt; IDLING. At 05.02.2026 14:22:30 it moved with speed 0 km/h near 'T3, Copperbelt Province, Zambia, 8.23 km from Bancroft'.</t>
  </si>
  <si>
    <t>T3, 8.23 km from Bancroft</t>
  </si>
  <si>
    <t>T379ECN</t>
  </si>
  <si>
    <t>T379ECN =&gt; IDLING. At 05.02.2026 08:34:39 it moved with speed 0 km/h near 'Great North Road, Muchinga Province, Zambia, 1.74 km from Chilonga'.</t>
  </si>
  <si>
    <t>Great North Road, 1.74 km from Chilonga</t>
  </si>
  <si>
    <t>T392ECN</t>
  </si>
  <si>
    <t>T392ECN =&gt; IDLING. At 05.02.2026 08:31:39 it moved with speed 0 km/h near 'Great North Road, Muchinga Province, Zambia, 1.72 km from Chilonga'.</t>
  </si>
  <si>
    <t>Great North Road, 1.72 km from Chilonga</t>
  </si>
  <si>
    <t>T405DHG =&gt; IDLING. At 05.02.2026 15:37:08 it moved with speed 0 km/h near 'Rn1, Haut-Katanga, Democratic Republic of the Congo, Kasumbalesa'.</t>
  </si>
  <si>
    <t>Rn1, Kasumbalesa</t>
  </si>
  <si>
    <t>T410DHE =&gt; IDLING. At 05.02.2026 13:46:19 it moved with speed 0 km/h near 'Ndola - Kitwe Dual-Carriageway, Copperbelt Province, Zambia, 33.24 km from Ndola'.</t>
  </si>
  <si>
    <t>T416DHG =&gt; IDLING. At 05.02.2026 08:00:42 it moved with speed 0 km/h near 'T3, Copperbelt Province, Zambia, 1.81 km from Momba'.</t>
  </si>
  <si>
    <t>T3, 1.81 km from Momba</t>
  </si>
  <si>
    <t>T420DHE =&gt; IDLING. At 05.02.2026 08:54:58 it moved with speed 0 km/h near 'T3, Copperbelt Province, Zambia, 12.41 km from Ndola'.</t>
  </si>
  <si>
    <t>T3, 12.41 km from Ndola</t>
  </si>
  <si>
    <t>T425DHG =&gt; IDLING. At 05.02.2026 08:05:03 it moved with speed 0 km/h near 'Tanzam Road, Mbeya, Kalobe, Tanzania, 2.38 km from Mbeya'.</t>
  </si>
  <si>
    <t>Tanzam Road, 2.38 km from Mbeya</t>
  </si>
  <si>
    <t>T427DHG =&gt; IDLING. At 05.02.2026 10:02:29 it moved with speed 0 km/h near 'T3, Copperbelt Province, Zambia, 4.73 km from Konkola'.</t>
  </si>
  <si>
    <t>T3, 4.73 km from Konkola</t>
  </si>
  <si>
    <t>T513EBY</t>
  </si>
  <si>
    <t>T513EBY =&gt; IDLING. At 05.02.2026 08:28:14 it moved with speed 0 km/h near 'Great North Road, Muchinga Province, Zambia, 1.84 km from Chilonga'.</t>
  </si>
  <si>
    <t>T515EBY =&gt; IDLING. At 05.02.2026 19:05:14 it moved with speed 0 km/h near 'Rn1, Haut-Katanga, Democratic Republic of the Congo, 1.27 km from Kasumbalesa'.</t>
  </si>
  <si>
    <t>Rn1, 1.27 km from Kasumbalesa</t>
  </si>
  <si>
    <t>T518EBY =&gt; IDLING. At 05.02.2026 07:57:29 it moved with speed 0 km/h near 'T3, Copperbelt Province, Zambia, 2.80 km from Momba'.</t>
  </si>
  <si>
    <t>T3, 2.80 km from Momba</t>
  </si>
  <si>
    <t>T519EBY =&gt; IDLING. At 05.02.2026 14:55:21 it moved with speed 0 km/h near 'T3, Copperbelt Province, Zambia, 5.88 km from Bancroft'.</t>
  </si>
  <si>
    <t>T3, 5.88 km from Bancroft</t>
  </si>
  <si>
    <t>T522EBY =&gt; IDLING. At 05.02.2026 10:11:50 it moved with speed 0 km/h near 'T3, Copperbelt Province, Zambia, 4.98 km from Konkola'.</t>
  </si>
  <si>
    <t>T3, 4.98 km from Konkola</t>
  </si>
  <si>
    <t>T566DYR =&gt; IDLING. At 05.02.2026 15:53:17 it moved with speed 0 km/h near 'Rn1, Haut-Katanga, Democratic Republic of the Congo, Kasumbalesa'.</t>
  </si>
  <si>
    <t>T571DYR =&gt; IDLING. At 05.02.2026 16:43:13 it moved with speed 0 km/h near 'Rn1, Haut-Katanga, Democratic Republic of the Congo, 1.29 km from Kasumbalesa'.</t>
  </si>
  <si>
    <t>Rn1, 1.29 km from Kasumbalesa</t>
  </si>
  <si>
    <t>T572DEB =&gt; IDLING. At 05.02.2026 10:33:14 it moved with speed 0 km/h near 'T3, Copperbelt Province, Zambia, 4.97 km from Momba'.</t>
  </si>
  <si>
    <t>T3, 4.97 km from Momba</t>
  </si>
  <si>
    <t>T579DTQ =&gt; IDLING. At 05.02.2026 11:04:15 it moved with speed 0 km/h near 'Rn39, Lualaba, Democratic Republic of the Congo, 6.24 km from Kisenda'.</t>
  </si>
  <si>
    <t>Rn39, 6.24 km from Kisenda</t>
  </si>
  <si>
    <t>T579DYR</t>
  </si>
  <si>
    <t>T579DYR =&gt; IDLING. At 05.02.2026 14:08:45 it moved with speed 0 km/h near 'Tanzam Road, Mbeya, Kalobe, Tanzania, 2.39 km from Mbeya'.</t>
  </si>
  <si>
    <t>T581DYR =&gt; IDLING. At 05.02.2026 17:25:36 it moved with speed 0 km/h near 'Rn1, Haut-Katanga, Democratic Republic of the Congo, Kasumbalesa'.</t>
  </si>
  <si>
    <t>T584DYR =&gt; IDLING. At 05.02.2026 10:07:00 it moved with speed 0 km/h near 'T3, Copperbelt Province, Zambia, 4.89 km from Konkola'.</t>
  </si>
  <si>
    <t>T3, 4.89 km from Konkola</t>
  </si>
  <si>
    <t>T595DTQ =&gt; IDLING. At 05.02.2026 10:07:55 it moved with speed 0 km/h near 'T3, Copperbelt Province, Zambia, 4.93 km from Konkola'.</t>
  </si>
  <si>
    <t>T3, 4.93 km from Konkola</t>
  </si>
  <si>
    <t>T599DTQ</t>
  </si>
  <si>
    <t>T599DTQ =&gt; IDLING. At 05.02.2026 11:21:34 it moved with speed 0 km/h near 'Regional Hospital Road, Mbeya, Nzovwe, Tanzania, 2.41 km from Mbeya'.</t>
  </si>
  <si>
    <t>T600DTQ =&gt; IDLING. At 05.02.2026 08:02:15 it moved with speed 0 km/h near 'T3, Copperbelt Province, Zambia, 1.80 km from Momba'.</t>
  </si>
  <si>
    <t>T645DHL =&gt; IDLING. At 05.02.2026 17:11:58 it moved with speed 0 km/h near 'Rn1, Haut-Katanga, Democratic Republic of the Congo, Kasumbalesa'.</t>
  </si>
  <si>
    <t>T652DTQ =&gt; IDLING. At 05.02.2026 12:39:31 it moved with speed 0 km/h near 'T3, Copperbelt Province, Zambia, 6.98 km from Bancroft'.</t>
  </si>
  <si>
    <t>T3, 6.98 km from Bancroft</t>
  </si>
  <si>
    <t>T661DTQ =&gt; IDLING. At 05.02.2026 10:13:01 it moved with speed 0 km/h near 'T3, Copperbelt Province, Zambia, 4.79 km from Konkola'.</t>
  </si>
  <si>
    <t>T3, 4.79 km from Konkola</t>
  </si>
  <si>
    <t>T724DYR =&gt; IDLING. At 05.02.2026 07:18:51 it moved with speed 0 km/h near 'T3, Copperbelt Province, Zambia, 4.86 km from Momba'.</t>
  </si>
  <si>
    <t>T3, 4.86 km from Momba</t>
  </si>
  <si>
    <t>T728EBX</t>
  </si>
  <si>
    <t>T728EBX =&gt; IDLING. At 05.02.2026 07:49:19 it moved with speed 0 km/h near 'T1, Njombe, Tanzania, Igawa'.</t>
  </si>
  <si>
    <t>T732DEB =&gt; IDLING. At 05.02.2026 17:14:06 it moved with speed 0 km/h near 'Rn1, Haut-Katanga, Democratic Republic of the Congo, Kasumbalesa'.</t>
  </si>
  <si>
    <t>T749DEB =&gt; IDLING. At 05.02.2026 11:04:06 it moved with speed 0 km/h near 'T1, Njombe, Tanzania, Igawa'.</t>
  </si>
  <si>
    <t>T766DYR =&gt; IDLING. At 05.02.2026 10:04:53 it moved with speed 0 km/h near 'T3, Copperbelt Province, Zambia, 4.89 km from Konkola'.</t>
  </si>
  <si>
    <t>T767DYR =&gt; IDLING. At 05.02.2026 07:48:27 it moved with speed 0 km/h near 'Great North Road, Central Province, Zambia, Serenje'.</t>
  </si>
  <si>
    <t>T774DYR =&gt; IDLING. At 05.02.2026 10:15:47 it moved with speed 0 km/h near 'T3, Copperbelt Province, Zambia, 4.36 km from Momba'.</t>
  </si>
  <si>
    <t>T788DYR =&gt; IDLING. At 05.02.2026 13:33:31 it moved with speed 0 km/h near 'Great North Road, Muchinga Province, Zambia, 2.28 km from Chinunda'.</t>
  </si>
  <si>
    <t>Great North Road, 2.28 km from Chinunda</t>
  </si>
  <si>
    <t>T792EBW =&gt; IDLING. At 05.02.2026 10:06:56 it moved with speed 0 km/h near 'T3, Copperbelt Province, Zambia, 4.94 km from Konkola'.</t>
  </si>
  <si>
    <t>T3, 4.94 km from Konkola</t>
  </si>
  <si>
    <t>T793DYR</t>
  </si>
  <si>
    <t>T793DYR =&gt; IDLING. At 05.02.2026 08:28:20 it moved with speed 0 km/h near 'Route De La Mine Deziwa, Lualaba, Democratic Republic of the Congo, 5.72 km from Kisenda'.</t>
  </si>
  <si>
    <t>Route De La Mine Deziwa, 5.72 km from Kisenda</t>
  </si>
  <si>
    <t>T795DYR</t>
  </si>
  <si>
    <t>T795DYR =&gt; IDLING. At 05.02.2026 09:39:48 it moved with speed 0 km/h near 'Route De La Mine Deziwa, Lualaba, Democratic Republic of the Congo, 5.76 km from Kisenda'.</t>
  </si>
  <si>
    <t>T796DYR =&gt; IDLING. At 05.02.2026 16:36:45 it moved with speed 0 km/h near 'Rn1, Haut-Katanga, Democratic Republic of the Congo, Kasumbalesa'.</t>
  </si>
  <si>
    <t>T806DYR =&gt; IDLING. At 05.02.2026 16:38:52 it moved with speed 0 km/h near 'Rn1, Haut-Katanga, Democratic Republic of the Congo, 1.62 km from Kasumbalesa'.</t>
  </si>
  <si>
    <t>Rn1, 1.62 km from Kasumbalesa</t>
  </si>
  <si>
    <t>T815DDS =&gt; IDLING. At 05.02.2026 01:02:58 it moved with speed 0 km/h near 'Rn1, Haut-Katanga, Democratic Republic of the Congo, 1.58 km from Kasumbalesa'.</t>
  </si>
  <si>
    <t>Rn1, 1.58 km from Kasumbalesa</t>
  </si>
  <si>
    <t>T820DDS =&gt; IDLING. At 05.02.2026 10:26:44 it moved with speed 0 km/h near 'Iringa Road, Iringa, Tanzania, Ruaha Mbuyumi'.</t>
  </si>
  <si>
    <t>T858EBY</t>
  </si>
  <si>
    <t>T858EBY =&gt; IDLING. At 05.02.2026 10:29:28 it moved with speed 0 km/h near 'Morogoro Main Road, Pwani, Kibaha, Tanzania, Miwaleni'.</t>
  </si>
  <si>
    <t>Morogoro Main Road, Miwaleni</t>
  </si>
  <si>
    <t>T868EBW</t>
  </si>
  <si>
    <t>T868EBW =&gt; IDLING. At 05.02.2026 00:06:03 it moved with speed 0 km/h near 'Great North Road, Muchinga Province, Zambia, Chinunda'.</t>
  </si>
  <si>
    <t>T909EBW =&gt; IDLING. At 05.02.2026 09:23:00 it moved with speed 0 km/h near 'T3, Copperbelt Province, Zambia, 1.77 km from Momba'.</t>
  </si>
  <si>
    <t>T3, 1.77 km from Momba</t>
  </si>
  <si>
    <t>T914EBW =&gt; IDLING. At 05.02.2026 16:53:38 it moved with speed 0 km/h near 'T3, Copperbelt Province, Zambia, 1.77 km from Momba'.</t>
  </si>
  <si>
    <t>T947DSX</t>
  </si>
  <si>
    <t>T947DSX =&gt; IDLING. At 05.02.2026 11:14:01 it moved with speed 0 km/h near 'Great North Road, Central Province, Zambia, Serenje'.</t>
  </si>
  <si>
    <t>T952DSX =&gt; IDLING. At 05.02.2026 11:34:56 it moved with speed 0 km/h near 'Rn1, Haut-Katanga, Democratic Republic of the Congo, Kasumbalesa'.</t>
  </si>
  <si>
    <t>T957DSX =&gt; IDLING. At 05.02.2026 09:25:41 it moved with speed 0 km/h near 'Ndola - Kitwe Dual-Carriageway, Copperbelt Province, Zambia, 33.31 km from Ndola'.</t>
  </si>
  <si>
    <t>Ndola - Kitwe Dual-Carriageway, 33.31 km from Ndola</t>
  </si>
  <si>
    <t>T964EBW</t>
  </si>
  <si>
    <t>T964EBW =&gt; IDLING. At 05.02.2026 12:57:11 it moved with speed 0 km/h near 'Rue De La Kamoa Mine, Lualaba, Democratic Republic of the Congo, 26.73 km from Kapata'.</t>
  </si>
  <si>
    <t>Rue De La Kamoa Mine, 26.73 km from Kapata</t>
  </si>
  <si>
    <t>T104EBX</t>
  </si>
  <si>
    <t>2026-02-06</t>
  </si>
  <si>
    <t>T104EBX =&gt; IDLING. At 06.02.2026 10:52:15 it moved with speed 0 km/h near 'Ndola - Kitwe Dual-Carriageway, Copperbelt Province, Zambia, 29.60 km from Ndola'.</t>
  </si>
  <si>
    <t>Ndola - Kitwe Dual-Carriageway, 29.60 km from Ndola</t>
  </si>
  <si>
    <t>T105EBX</t>
  </si>
  <si>
    <t>T105EBX =&gt; IDLING. At 06.02.2026 08:51:09 it moved with speed 0 km/h near 'R708, Pwani, Kisarawe, Tanzania, Dar Es Salaam'.</t>
  </si>
  <si>
    <t>R708, Dar Es Salaam</t>
  </si>
  <si>
    <t>T107EBX =&gt; IDLING. At 06.02.2026 11:07:55 it moved with speed 0 km/h near 'T3, Copperbelt Province, Zambia, 4.81 km from Konkola'.</t>
  </si>
  <si>
    <t>T3, 4.81 km from Konkola</t>
  </si>
  <si>
    <t>T149EBX =&gt; IDLING. At 06.02.2026 10:12:32 it moved with speed 0 km/h near 'Ndola - Kitwe Dual-Carriageway, Copperbelt Province, Zambia, 33.18 km from Ndola'.</t>
  </si>
  <si>
    <t>T153EBX</t>
  </si>
  <si>
    <t>T153EBX =&gt; IDLING. At 06.02.2026 11:59:10 it moved with speed 0 km/h near 'Ndola - Kitwe Dual-Carriageway, Copperbelt Province, Zambia, 29.57 km from Ndola'.</t>
  </si>
  <si>
    <t>Ndola - Kitwe Dual-Carriageway, 29.57 km from Ndola</t>
  </si>
  <si>
    <t>T165EBX</t>
  </si>
  <si>
    <t>T165EBX =&gt; IDLING. At 06.02.2026 09:46:04 it moved with speed 0 km/h near 'Tanzam Road, Mbeya, Kalobe, Tanzania, 2.39 km from Mbeya'.</t>
  </si>
  <si>
    <t>T166EBX =&gt; IDLING. At 06.02.2026 12:13:30 it moved with speed 0 km/h near 'Great North Road, Central Province, Zambia, 12.75 km from Kanona'.</t>
  </si>
  <si>
    <t>Great North Road, 12.75 km from Kanona</t>
  </si>
  <si>
    <t>T227EBX =&gt; IDLING. At 06.02.2026 11:25:14 it moved with speed 0 km/h near 'Rn1, Haut-Katanga, Democratic Republic of the Congo, Kasumbalesa'.</t>
  </si>
  <si>
    <t>T256EBX</t>
  </si>
  <si>
    <t>T256EBX =&gt; IDLING. At 06.02.2026 11:21:06 it moved with speed 0 km/h near 'Great North Road, Central Province, Zambia, 11.44 km from Kanona'.</t>
  </si>
  <si>
    <t>T267DDJ =&gt; IDLING. At 06.02.2026 10:34:54 it moved with speed 0 km/h near 'Rn1, Haut-Katanga, Democratic Republic of the Congo, Kasumbalesa'.</t>
  </si>
  <si>
    <t>T272EBX</t>
  </si>
  <si>
    <t>T272EBX =&gt; IDLING. At 06.02.2026 17:00:35 it moved with speed 0 km/h near 'R708, Pwani, Kisarawe, Tanzania, 24.20 km from Dar Es Salaam'.</t>
  </si>
  <si>
    <t>R708, 24.20 km from Dar Es Salaam</t>
  </si>
  <si>
    <t>T318EBX</t>
  </si>
  <si>
    <t>T318EBX =&gt; IDLING. At 06.02.2026 12:46:05 it moved with speed 0 km/h near 'Ndola - Kitwe Dual-Carriageway, Copperbelt Province, Zambia, 33.24 km from Ndola'.</t>
  </si>
  <si>
    <t>T318EBY</t>
  </si>
  <si>
    <t>T318EBY =&gt; IDLING. At 06.02.2026 09:35:38 it moved with speed 0 km/h near 'T1, Mbeya, Tanzania, Makwenje'.</t>
  </si>
  <si>
    <t>T335EBX</t>
  </si>
  <si>
    <t>T335EBX =&gt; IDLING. At 06.02.2026 11:30:37 it moved with speed 0 km/h near 'Great North Road, Central Province, Zambia, Serenje'.</t>
  </si>
  <si>
    <t>T335ECN</t>
  </si>
  <si>
    <t>T335ECN =&gt; IDLING. At 06.02.2026 11:46:26 it moved with speed 0 km/h near 'R708, Pwani, Kisarawe, Tanzania, 24.29 km from Dar Es Salaam'.</t>
  </si>
  <si>
    <t>R708, 24.29 km from Dar Es Salaam</t>
  </si>
  <si>
    <t>T336EBX =&gt; IDLING. At 06.02.2026 00:21:20 it moved with speed 0 km/h near 'Rn1, Haut-Katanga, Democratic Republic of the Congo, 1.70 km from Kasumbalesa'.</t>
  </si>
  <si>
    <t>Rn1, 1.70 km from Kasumbalesa</t>
  </si>
  <si>
    <t>T337ECN</t>
  </si>
  <si>
    <t>T337ECN =&gt; IDLING. At 06.02.2026 15:50:48 it moved with speed 0 km/h near 'Mufulira Road, Ndola, Copperbelt Province, Zambia'.</t>
  </si>
  <si>
    <t>Ndola, Mufulira Road</t>
  </si>
  <si>
    <t>T338DHG</t>
  </si>
  <si>
    <t>T338DHG =&gt; IDLING. At 06.02.2026 10:29:20 it moved with speed 0 km/h near 'T3, Copperbelt Province, Zambia, 5.95 km from Bancroft'.</t>
  </si>
  <si>
    <t>T3, 5.95 km from Bancroft</t>
  </si>
  <si>
    <t>T341DHG =&gt; IDLING. At 06.02.2026 10:26:28 it moved with speed 0 km/h near 'Tanzam Road, Mbeya, Kalobe, Tanzania, 2.38 km from Mbeya'.</t>
  </si>
  <si>
    <t>T373DHG =&gt; IDLING. At 06.02.2026 11:32:31 it moved with speed 0 km/h near 'T3, Copperbelt Province, Zambia, 4.67 km from Konkola'.</t>
  </si>
  <si>
    <t>T3, 4.67 km from Konkola</t>
  </si>
  <si>
    <t>T388ECN</t>
  </si>
  <si>
    <t>T388ECN =&gt; IDLING. At 06.02.2026 10:14:02 it moved with speed 0 km/h near 'Tanzam Road, Mbeya, Kalobe, Tanzania, 2.40 km from Mbeya'.</t>
  </si>
  <si>
    <t>Tanzam Road, 2.40 km from Mbeya</t>
  </si>
  <si>
    <t>T402ECN =&gt; IDLING. At 06.02.2026 14:31:44 it moved with speed 0 km/h near 'Rn1, Haut-Katanga, Democratic Republic of the Congo, 3.69 km from Kasumbalesa'.</t>
  </si>
  <si>
    <t>T403ECN</t>
  </si>
  <si>
    <t>T403ECN =&gt; IDLING. At 06.02.2026 11:02:07 it moved with speed 0 km/h near 'Ndola - Kitwe Dual-Carriageway, Copperbelt Province, Zambia, 29.60 km from Ndola'.</t>
  </si>
  <si>
    <t>T405DHG =&gt; IDLING. At 06.02.2026 00:05:13 it moved with speed 0 km/h near 'Rn1, Haut-Katanga, Democratic Republic of the Congo, 2.21 km from Kasumbalesa'.</t>
  </si>
  <si>
    <t>Rn1, 2.21 km from Kasumbalesa</t>
  </si>
  <si>
    <t>T411ECN</t>
  </si>
  <si>
    <t>T411ECN =&gt; IDLING. At 06.02.2026 10:57:28 it moved with speed 0 km/h near 'R708, Pwani, Kisarawe, Tanzania, 24.22 km from Dar Es Salaam'.</t>
  </si>
  <si>
    <t>R708, 24.22 km from Dar Es Salaam</t>
  </si>
  <si>
    <t>T413DHG =&gt; IDLING. At 06.02.2026 11:59:23 it moved with speed 0 km/h near 'Rn1, Haut-Katanga, Democratic Republic of the Congo, Kasumbalesa'.</t>
  </si>
  <si>
    <t>T420DHE =&gt; IDLING. At 06.02.2026 08:00:57 it moved with speed 0 km/h near 'T3, Copperbelt Province, Zambia, 8.95 km from Chingola'.</t>
  </si>
  <si>
    <t>T3, 8.95 km from Chingola</t>
  </si>
  <si>
    <t>T427DHG =&gt; IDLING. At 06.02.2026 00:23:33 it moved with speed 0 km/h near 'Rn1, Haut-Katanga, Democratic Republic of the Congo, 1.52 km from Kasumbalesa'.</t>
  </si>
  <si>
    <t>Rn1, 1.52 km from Kasumbalesa</t>
  </si>
  <si>
    <t>T431DHG</t>
  </si>
  <si>
    <t>T431DHG =&gt; IDLING. At 06.02.2026 07:39:57 it moved with speed 0 km/h near 'Great North Road, Muchinga Province, Zambia, Chinunda'.</t>
  </si>
  <si>
    <t>T508EBY</t>
  </si>
  <si>
    <t>T508EBY =&gt; IDLING. At 06.02.2026 14:16:27 it moved with speed 0 km/h near 'Great North Road, Muchinga Province, Zambia, 8.08 km from Mushimbwe'.</t>
  </si>
  <si>
    <t>Great North Road, 8.08 km from Mushimbwe</t>
  </si>
  <si>
    <t>T510EBY</t>
  </si>
  <si>
    <t>T510EBY =&gt; IDLING. At 06.02.2026 12:50:46 it moved with speed 0 km/h near 'R708, Pwani, Kisarawe, Tanzania, 24.19 km from Dar Es Salaam'.</t>
  </si>
  <si>
    <t>R708, 24.19 km from Dar Es Salaam</t>
  </si>
  <si>
    <t>T515EBY =&gt; IDLING. At 06.02.2026 00:19:14 it moved with speed 0 km/h near 'Rn1, Haut-Katanga, Democratic Republic of the Congo, 2.01 km from Kasumbalesa'.</t>
  </si>
  <si>
    <t>Rn1, 2.01 km from Kasumbalesa</t>
  </si>
  <si>
    <t>T569DYR</t>
  </si>
  <si>
    <t>T569DYR =&gt; IDLING. At 06.02.2026 11:59:08 it moved with speed 0 km/h near 'R708, Pwani, Kisarawe, Tanzania, 24.18 km from Dar Es Salaam'.</t>
  </si>
  <si>
    <t>R708, 24.18 km from Dar Es Salaam</t>
  </si>
  <si>
    <t>T576DYR =&gt; IDLING. At 06.02.2026 11:22:32 it moved with speed 0 km/h near 'Rn1, Haut-Katanga, Democratic Republic of the Congo, Kasumbalesa'.</t>
  </si>
  <si>
    <t>T577DTQ =&gt; IDLING. At 06.02.2026 10:19:54 it moved with speed 0 km/h near 'T1, Morogoro, Tanzania, Bwawani'.</t>
  </si>
  <si>
    <t>T581DYR =&gt; IDLING. At 06.02.2026 00:06:44 it moved with speed 0 km/h near 'Rn1, Haut-Katanga, Democratic Republic of the Congo, 2.01 km from Kasumbalesa'.</t>
  </si>
  <si>
    <t>T583DYR</t>
  </si>
  <si>
    <t>T583DYR =&gt; IDLING. At 06.02.2026 11:45:47 it moved with speed 0 km/h near 'Great North Road, Central Province, Zambia, Serenje'.</t>
  </si>
  <si>
    <t>T584DYR =&gt; IDLING. At 06.02.2026 10:21:01 it moved with speed 0 km/h near 'Rn1, Haut-Katanga, Democratic Republic of the Congo, 1.30 km from Kasumbalesa'.</t>
  </si>
  <si>
    <t>T595DTQ =&gt; IDLING. At 06.02.2026 09:38:39 it moved with speed 0 km/h near 'Rn1, Haut-Katanga, Democratic Republic of the Congo, 1.37 km from Kasumbalesa'.</t>
  </si>
  <si>
    <t>Rn1, 1.37 km from Kasumbalesa</t>
  </si>
  <si>
    <t>T598DTQ</t>
  </si>
  <si>
    <t>T598DTQ =&gt; IDLING. At 06.02.2026 12:02:20 it moved with speed 0 km/h near 'Great North Road, Central Province, Zambia, Serenje'.</t>
  </si>
  <si>
    <t>T645DHL =&gt; IDLING. At 06.02.2026 00:19:21 it moved with speed 0 km/h near 'Rn1, Haut-Katanga, Democratic Republic of the Congo, 2.00 km from Kasumbalesa'.</t>
  </si>
  <si>
    <t>Rn1, 2.00 km from Kasumbalesa</t>
  </si>
  <si>
    <t>T652DTQ =&gt; IDLING. At 06.02.2026 11:07:15 it moved with speed 0 km/h near 'T3, Copperbelt Province, Zambia, 4.87 km from Konkola'.</t>
  </si>
  <si>
    <t>T3, 4.87 km from Konkola</t>
  </si>
  <si>
    <t>T661DTQ =&gt; IDLING. At 06.02.2026 11:08:51 it moved with speed 0 km/h near 'Rn1, Haut-Katanga, Democratic Republic of the Congo, Kasumbalesa'.</t>
  </si>
  <si>
    <t>T679ECP</t>
  </si>
  <si>
    <t>T679ECP =&gt; IDLING. At 06.02.2026 14:17:00 it moved with speed 0 km/h near 'Great North Road, Muchinga Province, Zambia, 8.09 km from Mushimbwe'.</t>
  </si>
  <si>
    <t>Great North Road, 8.09 km from Mushimbwe</t>
  </si>
  <si>
    <t>T689DEB =&gt; IDLING. At 06.02.2026 13:44:44 it moved with speed 0 km/h near 'T3, Copperbelt Province, Zambia, 4.01 km from Momba'.</t>
  </si>
  <si>
    <t>T3, 4.01 km from Momba</t>
  </si>
  <si>
    <t>T703EBX</t>
  </si>
  <si>
    <t>T703EBX =&gt; IDLING. At 06.02.2026 11:41:30 it moved with speed 0 km/h near 'Ndola - Kitwe Dual-Carriageway, Copperbelt Province, Zambia, Ndola'.</t>
  </si>
  <si>
    <t>Ndola - Kitwe Dual-Carriageway, Ndola</t>
  </si>
  <si>
    <t>T712DYR</t>
  </si>
  <si>
    <t>T712DYR =&gt; IDLING. At 06.02.2026 13:01:09 it moved with speed 0 km/h near 'R708, Pwani, Kisarawe, Tanzania, 24.18 km from Dar Es Salaam'.</t>
  </si>
  <si>
    <t>T732DEC</t>
  </si>
  <si>
    <t>T732DEC =&gt; IDLING. At 06.02.2026 10:30:36 it moved with speed 0 km/h near 'Tanzam Road, Mbeya, Kalobe, Tanzania, 2.38 km from Mbeya'.</t>
  </si>
  <si>
    <t>T737DEB</t>
  </si>
  <si>
    <t>T737DEB =&gt; IDLING. At 06.02.2026 07:51:36 it moved with speed 0 km/h near 'Tanzania To Zambia Road, Iringa, Mufindi, Tanzania, 1.58 km from Ifunda'.</t>
  </si>
  <si>
    <t>Tanzania To Zambia Road, 1.58 km from Ifunda</t>
  </si>
  <si>
    <t>T738EBX</t>
  </si>
  <si>
    <t>T738EBX =&gt; IDLING. At 06.02.2026 17:09:58 it moved with speed 0 km/h near 'R708, Pwani, Kisarawe, Tanzania, 24.30 km from Dar Es Salaam'.</t>
  </si>
  <si>
    <t>R708, 24.30 km from Dar Es Salaam</t>
  </si>
  <si>
    <t>T747DEB =&gt; IDLING. At 06.02.2026 12:34:54 it moved with speed 0 km/h near 'Rn1, Haut-Katanga, Democratic Republic of the Congo, Kasumbalesa'.</t>
  </si>
  <si>
    <t>T756EBX =&gt; IDLING. At 06.02.2026 10:46:09 it moved with speed 0 km/h near 'T3, Copperbelt Province, Zambia, 6.59 km from Bancroft'.</t>
  </si>
  <si>
    <t>T3, 6.59 km from Bancroft</t>
  </si>
  <si>
    <t>T766DYR =&gt; IDLING. At 06.02.2026 10:28:24 it moved with speed 0 km/h near 'Rn1, Haut-Katanga, Democratic Republic of the Congo, 1.26 km from Kasumbalesa'.</t>
  </si>
  <si>
    <t>Rn1, 1.26 km from Kasumbalesa</t>
  </si>
  <si>
    <t>T772DYR</t>
  </si>
  <si>
    <t>T772DYR =&gt; IDLING. At 06.02.2026 11:30:58 it moved with speed 0 km/h near 'Great North Road, Central Province, Zambia, Serenje'.</t>
  </si>
  <si>
    <t>T773EBW =&gt; IDLING. At 06.02.2026 09:18:57 it moved with speed 0 km/h near 'Rn1, Haut-Katanga, Democratic Republic of the Congo, Baya'.</t>
  </si>
  <si>
    <t>Rn1, Baya</t>
  </si>
  <si>
    <t>T779EBW =&gt; IDLING. At 06.02.2026 08:16:35 it moved with speed 0 km/h near 'T1, Njombe, Tanzania, Wanging’ombe'.</t>
  </si>
  <si>
    <t>T1, Wanging’ombe</t>
  </si>
  <si>
    <t>T788DYR =&gt; IDLING. At 06.02.2026 16:26:17 it moved with speed 0 km/h near 'Ndola - Kitwe Dual-Carriageway, Copperbelt Province, Zambia, 33.24 km from Ndola'.</t>
  </si>
  <si>
    <t>T793DYR =&gt; IDLING. At 06.02.2026 16:20:39 it moved with speed 0 km/h near 'Route De La Mine Deziwa, Lualaba, Democratic Republic of the Congo, 5.73 km from Kisenda'.</t>
  </si>
  <si>
    <t>Route De La Mine Deziwa, 5.73 km from Kisenda</t>
  </si>
  <si>
    <t>T793EBW =&gt; IDLING. At 06.02.2026 09:14:40 it moved with speed 0 km/h near 'Rn1, Haut-Katanga, Democratic Republic of the Congo, 28.46 km from Lubumbashi'.</t>
  </si>
  <si>
    <t>Rn1, 28.46 km from Lubumbashi</t>
  </si>
  <si>
    <t>T810EBW</t>
  </si>
  <si>
    <t>T810EBW =&gt; IDLING. At 06.02.2026 12:21:54 it moved with speed 0 km/h near 'Great North Road, Central Province, Zambia, 11.43 km from Kanona'.</t>
  </si>
  <si>
    <t>Great North Road, 11.43 km from Kanona</t>
  </si>
  <si>
    <t>T821EBW =&gt; IDLING. At 06.02.2026 16:58:57 it moved with speed 0 km/h near 'Mufulira Road, Ndola, Copperbelt Province, Zambia'.</t>
  </si>
  <si>
    <t>T839EBY</t>
  </si>
  <si>
    <t>T839EBY =&gt; IDLING. At 06.02.2026 07:17:18 it moved with speed 0 km/h near 'Tanzania To Zambia Road, Iringa, Mufindi, Tanzania, Kinyanambo'.</t>
  </si>
  <si>
    <t>Tanzania To Zambia Road, Kinyanambo</t>
  </si>
  <si>
    <t>T871EBW</t>
  </si>
  <si>
    <t>T871EBW =&gt; IDLING. At 06.02.2026 08:06:59 it moved with speed 0 km/h near 'T1, Mbeya, Tanzania, Makwenje'.</t>
  </si>
  <si>
    <t>T913EBW</t>
  </si>
  <si>
    <t>T913EBW =&gt; IDLING. At 06.02.2026 09:43:22 it moved with speed 0 km/h near 'R708, Pwani, Kisarawe, Tanzania, Dar Es Salaam'.</t>
  </si>
  <si>
    <t>T915EBW =&gt; IDLING. At 06.02.2026 07:25:04 it moved with speed 0 km/h near 'Ndola - Kitwe Dual-Carriageway, Copperbelt Province, Zambia, 33.24 km from Ndola'.</t>
  </si>
  <si>
    <t>T946EBW</t>
  </si>
  <si>
    <t>T946EBW =&gt; IDLING. At 06.02.2026 12:12:34 it moved with speed 0 km/h near 'R708, Pwani, Kisarawe, Tanzania, 24.19 km from Dar Es Salaam'.</t>
  </si>
  <si>
    <t>T951DSX</t>
  </si>
  <si>
    <t>T951DSX =&gt; IDLING. At 06.02.2026 08:23:59 it moved with speed 0 km/h near 'Ndola - Kitwe Dual-Carriageway, Copperbelt Province, Zambia, 33.24 km from Ndola'.</t>
  </si>
  <si>
    <t>T953DSX</t>
  </si>
  <si>
    <t>T953DSX =&gt; IDLING. At 06.02.2026 12:42:46 it moved with speed 0 km/h near 'Great North Road, Muchinga Province, Zambia, 6.90 km from Two Leopards'.</t>
  </si>
  <si>
    <t>Great North Road, 6.90 km from Two Leopards</t>
  </si>
  <si>
    <t>T957DSX =&gt; IDLING. At 06.02.2026 06:27:45 it moved with speed 0 km/h near 'Ndola - Kitwe Dual-Carriageway, Copperbelt Province, Zambia, 33.29 km from Ndola'.</t>
  </si>
  <si>
    <t>Ndola - Kitwe Dual-Carriageway, 33.29 km from Ndola</t>
  </si>
  <si>
    <t>T967EBW</t>
  </si>
  <si>
    <t>T967EBW =&gt; IDLING. At 06.02.2026 10:46:13 it moved with speed 0 km/h near 'Ndola - Kitwe Dual-Carriageway, Copperbelt Province, Zambia, 33.22 km from Ndola'.</t>
  </si>
  <si>
    <t>Ndola - Kitwe Dual-Carriageway, 33.22 km from Ndola</t>
  </si>
  <si>
    <t>T977EBW</t>
  </si>
  <si>
    <t>T977EBW =&gt; IDLING. At 06.02.2026 14:54:55 it moved with speed 0 km/h near 'Rn1, Haut-Katanga, Democratic Republic of the Congo, 3.72 km from Kasumbalesa'.</t>
  </si>
  <si>
    <t>Rn1, 3.72 km from Kasumbalesa</t>
  </si>
  <si>
    <t>T988EBW</t>
  </si>
  <si>
    <t>T988EBW =&gt; IDLING. At 06.02.2026 14:12:21 it moved with speed 0 km/h near 'Great North Road, Muchinga Province, Zambia, 8.05 km from Mushimbwe'.</t>
  </si>
  <si>
    <t>Great North Road, 8.05 km from Mushimbwe</t>
  </si>
  <si>
    <t>T994EBW</t>
  </si>
  <si>
    <t>T994EBW =&gt; IDLING. At 06.02.2026 11:43:41 it moved with speed 0 km/h near 'Ndola - Kitwe Dual-Carriageway, Copperbelt Province, Zambia, 29.58 km from Ndola'.</t>
  </si>
  <si>
    <t>Ndola - Kitwe Dual-Carriageway, 29.58 km from Ndola</t>
  </si>
  <si>
    <t>2026-02-07</t>
  </si>
  <si>
    <t>T104EBX =&gt; IDLING. At 07.02.2026 08:39:39 it moved with speed 0 km/h near 'T3, Copperbelt Province, Zambia, 1.85 km from Momba'.</t>
  </si>
  <si>
    <t>T3, 1.85 km from Momba</t>
  </si>
  <si>
    <t>T126EBX</t>
  </si>
  <si>
    <t>T126EBX =&gt; IDLING. At 07.02.2026 08:01:21 it moved with speed 0 km/h near 'T3, Copperbelt Province, Zambia, 2.90 km from Momba'.</t>
  </si>
  <si>
    <t>T3, 2.90 km from Momba</t>
  </si>
  <si>
    <t>T149EBX =&gt; IDLING. At 07.02.2026 08:29:27 it moved with speed 0 km/h near 'T3, Copperbelt Province, Zambia, 1.88 km from Momba'.</t>
  </si>
  <si>
    <t>T3, 1.88 km from Momba</t>
  </si>
  <si>
    <t>T153EBX =&gt; IDLING. At 07.02.2026 08:49:17 it moved with speed 0 km/h near 'T3, Copperbelt Province, Zambia, 6.32 km from Bancroft'.</t>
  </si>
  <si>
    <t>T3, 6.32 km from Bancroft</t>
  </si>
  <si>
    <t>T269EBX</t>
  </si>
  <si>
    <t>T269EBX =&gt; IDLING. At 07.02.2026 10:37:45 it moved with speed 0 km/h near 'Great North Road, Central Province, Zambia, Serenje'.</t>
  </si>
  <si>
    <t>T318EBX =&gt; IDLING. At 07.02.2026 08:48:50 it moved with speed 0 km/h near 'T3, Copperbelt Province, Zambia, 6.29 km from Bancroft'.</t>
  </si>
  <si>
    <t>T3, 6.29 km from Bancroft</t>
  </si>
  <si>
    <t>T327EBX =&gt; IDLING. At 07.02.2026 10:39:45 it moved with speed 0 km/h near 'Great North Road, Central Province, Zambia, Serenje'.</t>
  </si>
  <si>
    <t>T376ECN</t>
  </si>
  <si>
    <t>T376ECN =&gt; IDLING. At 07.02.2026 08:57:43 it moved with speed 0 km/h near 'Iringa Road, Iringa, Tanzania, 1.22 km from Ruaha Mbuyumi'.</t>
  </si>
  <si>
    <t>Iringa Road, 1.22 km from Ruaha Mbuyumi</t>
  </si>
  <si>
    <t>T403ECN =&gt; IDLING. At 07.02.2026 08:37:42 it moved with speed 0 km/h near 'T3, Copperbelt Province, Zambia, 1.86 km from Momba'.</t>
  </si>
  <si>
    <t>T3, 1.86 km from Momba</t>
  </si>
  <si>
    <t>T406DHG</t>
  </si>
  <si>
    <t>T406DHG =&gt; IDLING. At 07.02.2026 09:11:07 it moved with speed 0 km/h near 'Great North Road, Central Province, Zambia, Serenje'.</t>
  </si>
  <si>
    <t>T410DHE =&gt; IDLING. At 07.02.2026 10:43:52 it moved with speed 0 km/h near 'Great North Road, Muchinga Province, Zambia, 2.27 km from Mukwikile'.</t>
  </si>
  <si>
    <t>Great North Road, 2.27 km from Mukwikile</t>
  </si>
  <si>
    <t>T420DHE =&gt; IDLING. At 07.02.2026 11:27:15 it moved with speed 0 km/h near 'T3, Copperbelt Province, Zambia, 4.64 km from Momba'.</t>
  </si>
  <si>
    <t>T436DHG</t>
  </si>
  <si>
    <t>T436DHG =&gt; IDLING. At 07.02.2026 07:56:56 it moved with speed 0 km/h near 'T1, Njombe, Tanzania, Igawa'.</t>
  </si>
  <si>
    <t>T496DYR</t>
  </si>
  <si>
    <t>T496DYR =&gt; IDLING. At 07.02.2026 10:41:35 it moved with speed 0 km/h near 'Great North Road, Central Province, Zambia, Serenje'.</t>
  </si>
  <si>
    <t>T511EBY =&gt; IDLING. At 07.02.2026 10:44:26 it moved with speed 0 km/h near 'T3, Copperbelt Province, Zambia, 7.01 km from Konkola'.</t>
  </si>
  <si>
    <t>T3, 7.01 km from Konkola</t>
  </si>
  <si>
    <t>T561DYR =&gt; IDLING. At 07.02.2026 12:58:53 it moved with speed 0 km/h near 'Rn1, Haut-Katanga, Democratic Republic of the Congo, 3.75 km from Kasumbalesa'.</t>
  </si>
  <si>
    <t>T588DTQ</t>
  </si>
  <si>
    <t>T588DTQ =&gt; IDLING. At 07.02.2026 14:22:42 it moved with speed 0 km/h near 'Rn1, Haut-Katanga, Democratic Republic of the Congo, 5.01 km from Kasumbalesa'.</t>
  </si>
  <si>
    <t>Rn1, 5.01 km from Kasumbalesa</t>
  </si>
  <si>
    <t>T638DHL</t>
  </si>
  <si>
    <t>T638DHL =&gt; IDLING. At 07.02.2026 13:39:32 it moved with speed 0 km/h near 'Rn1, Haut-Katanga, Democratic Republic of the Congo, 5.02 km from Kasumbalesa'.</t>
  </si>
  <si>
    <t>Rn1, 5.02 km from Kasumbalesa</t>
  </si>
  <si>
    <t>T643DHL</t>
  </si>
  <si>
    <t>T643DHL =&gt; IDLING. At 07.02.2026 14:08:22 it moved with speed 0 km/h near 'Rn1, Haut-Katanga, Democratic Republic of the Congo, 4.01 km from Kasumbalesa'.</t>
  </si>
  <si>
    <t>Rn1, 4.01 km from Kasumbalesa</t>
  </si>
  <si>
    <t>T677EBX</t>
  </si>
  <si>
    <t>T677EBX =&gt; IDLING. At 07.02.2026 13:22:45 it moved with speed 0 km/h near 'Iringa Road, Morogoro, Tanzania, Melela Mlandizi'.</t>
  </si>
  <si>
    <t>Iringa Road, Melela Mlandizi</t>
  </si>
  <si>
    <t>T684EBX =&gt; IDLING. At 07.02.2026 11:42:24 it moved with speed 0 km/h near 'Great North Road, Central Province, Zambia, 3.30 km from Mkushi'.</t>
  </si>
  <si>
    <t>Great North Road, 3.30 km from Mkushi</t>
  </si>
  <si>
    <t>T688DEB</t>
  </si>
  <si>
    <t>T688DEB =&gt; IDLING. At 07.02.2026 08:59:59 it moved with speed 0 km/h near 'T1, Pwani, Bagamoyo, Tanzania, 3.35 km from Vigwaza'.</t>
  </si>
  <si>
    <t>T1, 3.35 km from Vigwaza</t>
  </si>
  <si>
    <t>T689DEB =&gt; IDLING. At 07.02.2026 05:49:07 it moved with speed 0 km/h near 'T3, Copperbelt Province, Zambia, 4.90 km from Momba'.</t>
  </si>
  <si>
    <t>T3, 4.90 km from Momba</t>
  </si>
  <si>
    <t>T699EBX =&gt; IDLING. At 07.02.2026 08:30:57 it moved with speed 0 km/h near 'T3, Copperbelt Province, Zambia, 1.76 km from Momba'.</t>
  </si>
  <si>
    <t>T3, 1.76 km from Momba</t>
  </si>
  <si>
    <t>T711DEB =&gt; IDLING. At 07.02.2026 11:42:17 it moved with speed 0 km/h near 'Great North Road, Central Province, Zambia, 3.29 km from Mkushi'.</t>
  </si>
  <si>
    <t>Great North Road, 3.29 km from Mkushi</t>
  </si>
  <si>
    <t>T714EBX =&gt; IDLING. At 07.02.2026 08:01:01 it moved with speed 0 km/h near 'T3, Copperbelt Province, Zambia, 2.96 km from Momba'.</t>
  </si>
  <si>
    <t>T3, 2.96 km from Momba</t>
  </si>
  <si>
    <t>T719EBX =&gt; IDLING. At 07.02.2026 08:30:56 it moved with speed 0 km/h near 'T3, Copperbelt Province, Zambia, 1.76 km from Momba'.</t>
  </si>
  <si>
    <t>T727DYR</t>
  </si>
  <si>
    <t>T727DYR =&gt; IDLING. At 07.02.2026 16:12:07 it moved with speed 0 km/h near 'Rn1, Haut-Katanga, Democratic Republic of the Congo, 8.90 km from Lwambo'.</t>
  </si>
  <si>
    <t>Rn1, 8.90 km from Lwambo</t>
  </si>
  <si>
    <t>T764DYR</t>
  </si>
  <si>
    <t>T764DYR =&gt; IDLING. At 07.02.2026 15:59:47 it moved with speed 0 km/h near 'Rn1, Haut-Katanga, Democratic Republic of the Congo, 8.76 km from Lwambo'.</t>
  </si>
  <si>
    <t>Rn1, 8.76 km from Lwambo</t>
  </si>
  <si>
    <t>T767EBW</t>
  </si>
  <si>
    <t>T767EBW =&gt; IDLING. At 07.02.2026 09:29:39 it moved with speed 0 km/h near 'Iringa Road, Iringa, Tanzania, 1.33 km from Ruaha Mbuyumi'.</t>
  </si>
  <si>
    <t>Iringa Road, 1.33 km from Ruaha Mbuyumi</t>
  </si>
  <si>
    <t>T774DYR =&gt; IDLING. At 07.02.2026 00:09:40 it moved with speed 0 km/h near 'Rn1, Haut-Katanga, Democratic Republic of the Congo, 1.69 km from Kasumbalesa'.</t>
  </si>
  <si>
    <t>Rn1, 1.69 km from Kasumbalesa</t>
  </si>
  <si>
    <t>T779EBW =&gt; IDLING. At 07.02.2026 06:24:25 it moved with speed 0 km/h near 'Regional Hospital Road, Mbeya, Nzovwe, Tanzania, 2.40 km from Mbeya'.</t>
  </si>
  <si>
    <t>Regional Hospital Road, 2.40 km from Mbeya</t>
  </si>
  <si>
    <t>T791DYR =&gt; IDLING. At 07.02.2026 14:42:21 it moved with speed 0 km/h near 'Iringa Road, Morogoro, Kilosa, Tanzania, Kikwaraza'.</t>
  </si>
  <si>
    <t>T838EBY =&gt; IDLING. At 07.02.2026 08:39:14 it moved with speed 0 km/h near 'Tanzam Road, Mbeya, Mbozi, Tanzania, Mbalizi'.</t>
  </si>
  <si>
    <t>T858EBY =&gt; IDLING. At 07.02.2026 14:18:19 it moved with speed 0 km/h near 'Mwandosya Road, Mbeya, Ilomba, Tanzania, 2.00 km from Ituha'.</t>
  </si>
  <si>
    <t>Mwandosya Road, 2.00 km from Ituha</t>
  </si>
  <si>
    <t>T871EBW =&gt; IDLING. At 07.02.2026 15:59:51 it moved with speed 0 km/h near 'T1, Morogoro, Tanzania'.</t>
  </si>
  <si>
    <t>Morogoro, T1</t>
  </si>
  <si>
    <t>T915EBW =&gt; IDLING. At 07.02.2026 08:34:17 it moved with speed 0 km/h near 'T3, Copperbelt Province, Zambia, 4.53 km from Momba'.</t>
  </si>
  <si>
    <t>T3, 4.53 km from Momba</t>
  </si>
  <si>
    <t>T921EBW =&gt; IDLING. At 07.02.2026 07:40:31 it moved with speed 0 km/h near 'Rn1, Haut-Katanga, Democratic Republic of the Congo, 1.86 km from Kasumbalesa'.</t>
  </si>
  <si>
    <t>Rn1, 1.86 km from Kasumbalesa</t>
  </si>
  <si>
    <t>T941EBW =&gt; IDLING. At 07.02.2026 07:58:55 it moved with speed 0 km/h near 'T3, Copperbelt Province, Zambia, 2.99 km from Momba'.</t>
  </si>
  <si>
    <t>T3, 2.99 km from Momba</t>
  </si>
  <si>
    <t>T957DSX =&gt; IDLING. At 07.02.2026 08:00:59 it moved with speed 0 km/h near 'T3, Copperbelt Province, Zambia, 2.94 km from Momba'.</t>
  </si>
  <si>
    <t>T3, 2.94 km from Momba</t>
  </si>
  <si>
    <t>T967EBW =&gt; IDLING. At 07.02.2026 08:29:07 it moved with speed 0 km/h near 'T3, Copperbelt Province, Zambia, 1.79 km from Momba'.</t>
  </si>
  <si>
    <t>T3, 1.79 km from Momba</t>
  </si>
  <si>
    <t>T994EBW =&gt; IDLING. At 07.02.2026 08:13:07 it moved with speed 0 km/h near 'T3, Copperbelt Province, Zambia, 5.02 km from Bancroft'.</t>
  </si>
  <si>
    <t>T3, 5.02 km from Bancroft</t>
  </si>
  <si>
    <t>2026-02-08</t>
  </si>
  <si>
    <t>T129EBX =&gt; IDLING. At 08.02.2026 07:16:50 it moved with speed 0 km/h near 'T3, Copperbelt Province, Zambia, 5.31 km from Bancroft'.</t>
  </si>
  <si>
    <t>T3, 5.31 km from Bancroft</t>
  </si>
  <si>
    <t>T166EBX =&gt; IDLING. At 08.02.2026 10:27:33 it moved with speed 0 km/h near 'T3, Copperbelt Province, Zambia, 1.93 km from Chililabombwe'.</t>
  </si>
  <si>
    <t>T3, 1.93 km from Chililabombwe</t>
  </si>
  <si>
    <t>T190EBX</t>
  </si>
  <si>
    <t>T190EBX =&gt; IDLING. At 08.02.2026 12:15:44 it moved with speed 0 km/h near 'T1, Mbeya, Tanzania, Kongolo Mkola'.</t>
  </si>
  <si>
    <t>T232EBX =&gt; IDLING. At 08.02.2026 11:01:05 it moved with speed 0 km/h near 'T1, Morogoro, Tanzania, 1.24 km from Bwawani'.</t>
  </si>
  <si>
    <t>T1, 1.24 km from Bwawani</t>
  </si>
  <si>
    <t>T278EBY</t>
  </si>
  <si>
    <t>T278EBY =&gt; IDLING. At 08.02.2026 10:10:21 it moved with speed 0 km/h near 'T1, Mbeya, Tanzania, Makwenje'.</t>
  </si>
  <si>
    <t>T315EBX</t>
  </si>
  <si>
    <t>T315EBX =&gt; IDLING. At 08.02.2026 12:19:16 it moved with speed 0 km/h near 'Great North Road, Muchinga Province, Zambia, 2.23 km from Chisoso'.</t>
  </si>
  <si>
    <t>Great North Road, 2.23 km from Chisoso</t>
  </si>
  <si>
    <t>T318EBX =&gt; IDLING. At 08.02.2026 07:53:49 it moved with speed 0 km/h near 'T3, Copperbelt Province, Zambia, 4.97 km from Momba'.</t>
  </si>
  <si>
    <t>T343EBX</t>
  </si>
  <si>
    <t>T343EBX =&gt; IDLING. At 08.02.2026 10:27:05 it moved with speed 0 km/h near 'T3, Copperbelt Province, Zambia, 6.19 km from Bancroft'.</t>
  </si>
  <si>
    <t>T3, 6.19 km from Bancroft</t>
  </si>
  <si>
    <t>T376ECN =&gt; IDLING. At 08.02.2026 12:22:53 it moved with speed 0 km/h near 'T1, Mbeya, Tanzania, Kongolo Mkola'.</t>
  </si>
  <si>
    <t>T379ECN =&gt; IDLING. At 08.02.2026 10:46:01 it moved with speed 0 km/h near 'T1, Mbeya, Mbozi, Tanzania, 5.47 km from Ivugula'.</t>
  </si>
  <si>
    <t>T1, 5.47 km from Ivugula</t>
  </si>
  <si>
    <t>T403ECN =&gt; IDLING. At 08.02.2026 08:43:51 it moved with speed 0 km/h near 'T3, Copperbelt Province, Zambia, 4.85 km from Konkola'.</t>
  </si>
  <si>
    <t>T3, 4.85 km from Konkola</t>
  </si>
  <si>
    <t>T496DYR =&gt; IDLING. At 08.02.2026 11:10:53 it moved with speed 0 km/h near 'Great North Road, Muchinga Province, Zambia, 5.30 km from Two Leopards'.</t>
  </si>
  <si>
    <t>Great North Road, 5.30 km from Two Leopards</t>
  </si>
  <si>
    <t>T521EBY</t>
  </si>
  <si>
    <t>T521EBY =&gt; IDLING. At 08.02.2026 10:17:55 it moved with speed 0 km/h near 'Great North Road, Muchinga Province, Zambia, Mkasi'.</t>
  </si>
  <si>
    <t>T579DTQ =&gt; IDLING. At 08.02.2026 02:00:29 it moved with speed 0 km/h near 'Rn1, Haut-Katanga, Democratic Republic of the Congo, Mununu'.</t>
  </si>
  <si>
    <t>Rn1, Mununu</t>
  </si>
  <si>
    <t>T634DHL =&gt; IDLING. At 08.02.2026 13:49:27 it moved with speed 0 km/h near 'Rs614, Haut-Katanga, Democratic Republic of the Congo, 3.67 km from Lumba'.</t>
  </si>
  <si>
    <t>Rs614, 3.67 km from Lumba</t>
  </si>
  <si>
    <t>T660DTQ =&gt; IDLING. At 08.02.2026 13:52:28 it moved with speed 0 km/h near 'Rs614, Haut-Katanga, Democratic Republic of the Congo, 3.68 km from Lumba'.</t>
  </si>
  <si>
    <t>Rs614, 3.68 km from Lumba</t>
  </si>
  <si>
    <t>T663DTQ =&gt; IDLING. At 08.02.2026 11:44:15 it moved with speed 0 km/h near 'Rs614, Haut-Katanga, Democratic Republic of the Congo, 5.76 km from Mukumbi'.</t>
  </si>
  <si>
    <t>Rs614, 5.76 km from Mukumbi</t>
  </si>
  <si>
    <t>T677EBX =&gt; IDLING. At 08.02.2026 08:08:37 it moved with speed 0 km/h near 'Iringa Road, Iringa, Tanzania, Ruaha Mbuyumi'.</t>
  </si>
  <si>
    <t>T684EBX =&gt; IDLING. At 08.02.2026 10:51:35 it moved with speed 0 km/h near 'T3, Copperbelt Province, Zambia, 6.85 km from Bancroft'.</t>
  </si>
  <si>
    <t>T3, 6.85 km from Bancroft</t>
  </si>
  <si>
    <t>T711DEB =&gt; IDLING. At 08.02.2026 09:19:07 it moved with speed 0 km/h near 'T3, Copperbelt Province, Zambia, 4.49 km from Chingola'.</t>
  </si>
  <si>
    <t>T3, 4.49 km from Chingola</t>
  </si>
  <si>
    <t>T719EBX =&gt; IDLING. At 08.02.2026 08:56:15 it moved with speed 0 km/h near 'T3, Copperbelt Province, Zambia, 4.67 km from Konkola'.</t>
  </si>
  <si>
    <t>T744EBX</t>
  </si>
  <si>
    <t>T744EBX =&gt; IDLING. At 08.02.2026 10:07:00 it moved with speed 0 km/h near 'Tanzania To Zambia Road, Iringa, Mufindi, Tanzania, Tanangozi'.</t>
  </si>
  <si>
    <t>Tanzania To Zambia Road, Tanangozi</t>
  </si>
  <si>
    <t>T758EBX</t>
  </si>
  <si>
    <t>T758EBX =&gt; IDLING. At 08.02.2026 09:15:52 it moved with speed 0 km/h near 'T1, Mbeya, Uyole, Tanzania, Imezu'.</t>
  </si>
  <si>
    <t>T1, Imezu</t>
  </si>
  <si>
    <t>T762EBW</t>
  </si>
  <si>
    <t>T762EBW =&gt; IDLING. At 08.02.2026 07:41:07 it moved with speed 0 km/h near 'Great North Road, Muchinga Province, Zambia, 5.44 km from Nakonde'.</t>
  </si>
  <si>
    <t>Great North Road, 5.44 km from Nakonde</t>
  </si>
  <si>
    <t>T764DYR =&gt; IDLING. At 08.02.2026 13:50:14 it moved with speed 0 km/h near 'Rs614, Haut-Katanga, Democratic Republic of the Congo, 3.67 km from Lumba'.</t>
  </si>
  <si>
    <t>T767EBW =&gt; IDLING. At 08.02.2026 12:17:59 it moved with speed 0 km/h near 'T1, Mbeya, Tanzania, Kongolo Mkola'.</t>
  </si>
  <si>
    <t>T768DYR</t>
  </si>
  <si>
    <t>T768DYR =&gt; IDLING. At 08.02.2026 10:02:10 it moved with speed 0 km/h near 'Rs614, Haut-Katanga, Democratic Republic of the Congo, 5.76 km from Mukumbi'.</t>
  </si>
  <si>
    <t>T788DYR =&gt; IDLING. At 08.02.2026 07:54:15 it moved with speed 0 km/h near 'T3, Copperbelt Province, Zambia, 4.94 km from Momba'.</t>
  </si>
  <si>
    <t>T3, 4.94 km from Momba</t>
  </si>
  <si>
    <t>T798EBW</t>
  </si>
  <si>
    <t>T798EBW =&gt; IDLING. At 08.02.2026 10:06:30 it moved with speed 0 km/h near 'Tanzania To Zambia Road, Iringa, Mufindi, Tanzania, Tanangozi'.</t>
  </si>
  <si>
    <t>T810EBW =&gt; IDLING. At 08.02.2026 10:27:38 it moved with speed 0 km/h near 'T3, Copperbelt Province, Zambia, 1.91 km from Chililabombwe'.</t>
  </si>
  <si>
    <t>T3, 1.91 km from Chililabombwe</t>
  </si>
  <si>
    <t>T849EBY</t>
  </si>
  <si>
    <t>T849EBY =&gt; IDLING. At 08.02.2026 13:03:03 it moved with speed 0 km/h near 'T1, Mbeya, Tanzania, Mambi'.</t>
  </si>
  <si>
    <t>T1, Mambi</t>
  </si>
  <si>
    <t>T850EBY =&gt; IDLING. At 08.02.2026 10:08:36 it moved with speed 0 km/h near 'Tanzania To Zambia Road, Iringa, Mufindi, Tanzania, Tanangozi'.</t>
  </si>
  <si>
    <t>T868EBW =&gt; IDLING. At 08.02.2026 10:44:47 it moved with speed 0 km/h near 'T1, Mbeya, Mbozi, Tanzania, 5.50 km from Ivugula'.</t>
  </si>
  <si>
    <t>T1, 5.50 km from Ivugula</t>
  </si>
  <si>
    <t>T873EBW</t>
  </si>
  <si>
    <t>T873EBW =&gt; IDLING. At 08.02.2026 10:29:19 it moved with speed 0 km/h near 'T3, Copperbelt Province, Zambia, 1.91 km from Chililabombwe'.</t>
  </si>
  <si>
    <t>T876EBW</t>
  </si>
  <si>
    <t>T876EBW =&gt; IDLING. At 08.02.2026 10:57:01 it moved with speed 0 km/h near 'Great North Road, Muchinga Province, Zambia, 5.31 km from Two Leopards'.</t>
  </si>
  <si>
    <t>Great North Road, 5.31 km from Two Leopards</t>
  </si>
  <si>
    <t>T899DYR</t>
  </si>
  <si>
    <t>T899DYR =&gt; IDLING. At 08.02.2026 13:49:43 it moved with speed 0 km/h near 'Rs614, Haut-Katanga, Democratic Republic of the Congo, 3.68 km from Lumba'.</t>
  </si>
  <si>
    <t>T905EBW</t>
  </si>
  <si>
    <t>T905EBW =&gt; IDLING. At 08.02.2026 07:56:17 it moved with speed 0 km/h near 'T1, Mbeya, Tanzania, Makwenje'.</t>
  </si>
  <si>
    <t>T907EBW =&gt; IDLING. At 08.02.2026 08:39:01 it moved with speed 0 km/h near 'T1, Mbeya, Tanzania, Ilolo'.</t>
  </si>
  <si>
    <t>T939EBW</t>
  </si>
  <si>
    <t>T939EBW =&gt; IDLING. At 08.02.2026 06:55:07 it moved with speed 0 km/h near 'Iringa Road, Iringa, Tanzania, Ruaha Mbuyumi'.</t>
  </si>
  <si>
    <t>T954DSX =&gt; IDLING. At 08.02.2026 13:48:45 it moved with speed 0 km/h near 'Rs614, Haut-Katanga, Democratic Republic of the Congo, 3.66 km from Lumba'.</t>
  </si>
  <si>
    <t>Rs614, 3.66 km from Lumba</t>
  </si>
  <si>
    <t>T955EBW</t>
  </si>
  <si>
    <t>T955EBW =&gt; IDLING. At 08.02.2026 08:10:26 it moved with speed 0 km/h near 'T1, Mbeya, Tanzania, Makwenje'.</t>
  </si>
  <si>
    <t>T967EBW =&gt; IDLING. At 08.02.2026 09:38:02 it moved with speed 0 km/h near 'T3, Copperbelt Province, Zambia, 4.59 km from Konkola'.</t>
  </si>
  <si>
    <t>T3, 4.59 km from Konkola</t>
  </si>
  <si>
    <t>T989EBW</t>
  </si>
  <si>
    <t>T989EBW =&gt; IDLING. At 08.02.2026 09:50:52 it moved with speed 0 km/h near 'Ndola - Kitwe Dual-Carriageway, Copperbelt Province, Zambia, 33.19 km from Ndola'.</t>
  </si>
  <si>
    <t>2026-02-09</t>
  </si>
  <si>
    <t>T127EBX =&gt; IDLING. At 09.02.2026 09:28:25 it moved with speed 0 km/h near 'Route De Likasi, Lubumbashi, Haut-Katanga, Democratic Republic of the Congo'.</t>
  </si>
  <si>
    <t>Lubumbashi, Route De Likasi</t>
  </si>
  <si>
    <t>T168EBX</t>
  </si>
  <si>
    <t>T168EBX =&gt; IDLING. At 09.02.2026 14:51:27 it moved with speed 0 km/h near 'R708, Pwani, Kisarawe, Tanzania, 24.31 km from Dar Es Salaam'.</t>
  </si>
  <si>
    <t>R708, 24.31 km from Dar Es Salaam</t>
  </si>
  <si>
    <t>T241EBX</t>
  </si>
  <si>
    <t>T241EBX =&gt; IDLING. At 09.02.2026 13:36:04 it moved with speed 0 km/h near 'T1, Morogoro, Tanzania, Bwawani'.</t>
  </si>
  <si>
    <t>T250EBX =&gt; IDLING. At 09.02.2026 12:03:25 it moved with speed 0 km/h near 'R708, Pwani, Kisarawe, Tanzania, 24.24 km from Dar Es Salaam'.</t>
  </si>
  <si>
    <t>R708, 24.24 km from Dar Es Salaam</t>
  </si>
  <si>
    <t>T259EBY</t>
  </si>
  <si>
    <t>T259EBY =&gt; IDLING. At 09.02.2026 11:16:04 it moved with speed 0 km/h near 'Iringa Road, Iringa, Tanzania, 1.19 km from Ruaha Mbuyumi'.</t>
  </si>
  <si>
    <t>Iringa Road, 1.19 km from Ruaha Mbuyumi</t>
  </si>
  <si>
    <t>T271EBY =&gt; IDLING. At 09.02.2026 10:50:15 it moved with speed 0 km/h near 'Iringa Road, Lundamatwe, Iringa, Tanzania'.</t>
  </si>
  <si>
    <t>T342DHG</t>
  </si>
  <si>
    <t>T342DHG =&gt; IDLING. At 09.02.2026 14:22:13 it moved with speed 0 km/h near 'Ndola - Kitwe Dual-Carriageway, Copperbelt Province, Zambia, 33.19 km from Ndola'.</t>
  </si>
  <si>
    <t>T392ECN =&gt; IDLING. At 09.02.2026 07:48:23 it moved with speed 0 km/h near 'T1, Morogoro, Tanzania, Bwawani'.</t>
  </si>
  <si>
    <t>T396ECN</t>
  </si>
  <si>
    <t>T396ECN =&gt; IDLING. At 09.02.2026 10:53:32 it moved with speed 0 km/h near 'Iringa Road, Lundamatwe, Iringa, Tanzania'.</t>
  </si>
  <si>
    <t>T435DHG =&gt; IDLING. At 09.02.2026 09:23:53 it moved with speed 0 km/h near 'Route De Likasi, Lubumbashi, Haut-Katanga, Democratic Republic of the Congo'.</t>
  </si>
  <si>
    <t>T441DHG</t>
  </si>
  <si>
    <t>T441DHG =&gt; IDLING. At 09.02.2026 09:49:23 it moved with speed 0 km/h near 'Great North Road, Central Province, Zambia, 17.89 km from Mkushi River'.</t>
  </si>
  <si>
    <t>Great North Road, 17.89 km from Mkushi River</t>
  </si>
  <si>
    <t>T497DYR</t>
  </si>
  <si>
    <t>T497DYR =&gt; IDLING. At 09.02.2026 16:03:51 it moved with speed 0 km/h near 'T1, Morogoro, Tanzania, Bwawani'.</t>
  </si>
  <si>
    <t>T498DYR</t>
  </si>
  <si>
    <t>T498DYR =&gt; IDLING. At 09.02.2026 12:47:46 it moved with speed 0 km/h near 'Route De Likasi, Lubumbashi, Haut-Katanga, Democratic Republic of the Congo'.</t>
  </si>
  <si>
    <t>T509EBY</t>
  </si>
  <si>
    <t>T509EBY =&gt; IDLING. At 09.02.2026 11:12:49 it moved with speed 0 km/h near 'R708, Pwani, Kisarawe, Tanzania, 24.27 km from Dar Es Salaam'.</t>
  </si>
  <si>
    <t>R708, 24.27 km from Dar Es Salaam</t>
  </si>
  <si>
    <t>T512EBY =&gt; IDLING. At 09.02.2026 09:25:57 it moved with speed 0 km/h near 'Route De Likasi, Lubumbashi, Haut-Katanga, Democratic Republic of the Congo'.</t>
  </si>
  <si>
    <t>T561DYR =&gt; IDLING. At 09.02.2026 09:21:41 it moved with speed 0 km/h near 'Route De Likasi, Lubumbashi, Haut-Katanga, Democratic Republic of the Congo'.</t>
  </si>
  <si>
    <t>T579DTQ =&gt; IDLING. At 09.02.2026 05:51:46 it moved with speed 0 km/h near 'Rn1, Haut-Katanga, Democratic Republic of the Congo, Mununu'.</t>
  </si>
  <si>
    <t>T588DTQ =&gt; IDLING. At 09.02.2026 09:24:34 it moved with speed 0 km/h near 'Route De Likasi, Lubumbashi, Haut-Katanga, Democratic Republic of the Congo'.</t>
  </si>
  <si>
    <t>T638DEB</t>
  </si>
  <si>
    <t>T638DEB =&gt; IDLING. At 09.02.2026 12:46:48 it moved with speed 0 km/h near 'Route De Likasi, Lubumbashi, Haut-Katanga, Democratic Republic of the Congo'.</t>
  </si>
  <si>
    <t>T638DHL =&gt; IDLING. At 09.02.2026 10:50:53 it moved with speed 0 km/h near 'Rn39, Lualaba, Democratic Republic of the Congo, 5.59 km from Kisenda'.</t>
  </si>
  <si>
    <t>Rn39, 5.59 km from Kisenda</t>
  </si>
  <si>
    <t>T643DHL =&gt; IDLING. At 09.02.2026 09:30:32 it moved with speed 0 km/h near 'Route De Likasi, Lubumbashi, Haut-Katanga, Democratic Republic of the Congo'.</t>
  </si>
  <si>
    <t>T704EBX</t>
  </si>
  <si>
    <t>T704EBX =&gt; IDLING. At 09.02.2026 10:50:24 it moved with speed 0 km/h near 'R708, Pwani, Kisarawe, Tanzania, 24.25 km from Dar Es Salaam'.</t>
  </si>
  <si>
    <t>R708, 24.25 km from Dar Es Salaam</t>
  </si>
  <si>
    <t>T708EBX</t>
  </si>
  <si>
    <t>T708EBX =&gt; IDLING. At 09.02.2026 12:18:49 it moved with speed 0 km/h near 'T1, Morogoro, Tanzania, Bwawani'.</t>
  </si>
  <si>
    <t>T717DEB</t>
  </si>
  <si>
    <t>T717DEB =&gt; IDLING. At 09.02.2026 08:43:56 it moved with speed 0 km/h near 'T1, Pwani, Bagamoyo, Tanzania, Pera'.</t>
  </si>
  <si>
    <t>T1, Pera</t>
  </si>
  <si>
    <t>T742EBX</t>
  </si>
  <si>
    <t>T742EBX =&gt; IDLING. At 09.02.2026 06:35:13 it moved with speed 0 km/h near 'Dar Es Salaam Road, Morogoro, Tanzania'.</t>
  </si>
  <si>
    <t>Morogoro, Dar Es Salaam Road</t>
  </si>
  <si>
    <t>T772DYR =&gt; IDLING. At 09.02.2026 09:50:38 it moved with speed 0 km/h near 'Tanzam Road, Mbeya, Kalobe, Tanzania, 2.81 km from Mbeya'.</t>
  </si>
  <si>
    <t>Tanzam Road, 2.81 km from Mbeya</t>
  </si>
  <si>
    <t>T791EBW</t>
  </si>
  <si>
    <t>T791EBW =&gt; IDLING. At 09.02.2026 11:08:15 it moved with speed 0 km/h near 'Iringa Road, Morogoro, Tanzania, 3.18 km from Kipera'.</t>
  </si>
  <si>
    <t>Iringa Road, 3.18 km from Kipera</t>
  </si>
  <si>
    <t>T797DYR =&gt; IDLING. At 09.02.2026 13:58:35 it moved with speed 0 km/h near 'Rn1, Haut-Katanga, Democratic Republic of the Congo, 1.43 km from Kasumbalesa'.</t>
  </si>
  <si>
    <t>Rn1, 1.43 km from Kasumbalesa</t>
  </si>
  <si>
    <t>T798DYR</t>
  </si>
  <si>
    <t>T798DYR =&gt; IDLING. At 09.02.2026 10:02:16 it moved with speed 0 km/h near 'Great North Road, Central Province, Zambia, 12.44 km from Ndabala'.</t>
  </si>
  <si>
    <t>Great North Road, 12.44 km from Ndabala</t>
  </si>
  <si>
    <t>T876EBY</t>
  </si>
  <si>
    <t>T876EBY =&gt; IDLING. At 09.02.2026 15:28:39 it moved with speed 0 km/h near 'Ndola - Kitwe Dual-Carriageway, Copperbelt Province, Zambia, 33.22 km from Ndola'.</t>
  </si>
  <si>
    <t>T887EBW</t>
  </si>
  <si>
    <t>T887EBW =&gt; IDLING. At 09.02.2026 11:05:32 it moved with speed 0 km/h near 'Iringa Road, Morogoro, Kilosa, Tanzania, Kikwaraza'.</t>
  </si>
  <si>
    <t>T905EBW =&gt; IDLING. At 09.02.2026 08:39:13 it moved with speed 0 km/h near 'Iringa Road, Lundamatwe, Iringa, Tanzania'.</t>
  </si>
  <si>
    <t>T907EBW =&gt; IDLING. At 09.02.2026 13:58:30 it moved with speed 0 km/h near 'T1, Morogoro, Tanzania'.</t>
  </si>
  <si>
    <t>T955EBW =&gt; IDLING. At 09.02.2026 08:39:59 it moved with speed 0 km/h near 'Iringa Road, Lundamatwe, Iringa, Tanzania'.</t>
  </si>
  <si>
    <t>T975EBW</t>
  </si>
  <si>
    <t>T975EBW =&gt; IDLING. At 09.02.2026 09:52:28 it moved with speed 0 km/h near 'Iringa Road, Morogoro, Kilosa, Tanzania, Kikwaraza'.</t>
  </si>
  <si>
    <t>T144EBX</t>
  </si>
  <si>
    <t>2026-02-10</t>
  </si>
  <si>
    <t>T144EBX =&gt; IDLING. At 10.02.2026 09:24:23 it moved with speed 0 km/h near 'T1, Pwani, Bagamoyo, Tanzania, 3.40 km from Vigwaza'.</t>
  </si>
  <si>
    <t>T1, 3.40 km from Vigwaza</t>
  </si>
  <si>
    <t>T170EBX =&gt; IDLING. At 10.02.2026 11:57:17 it moved with speed 0 km/h near 'Rn1, Haut-Katanga, Democratic Republic of the Congo, 25.06 km from Lubumbashi'.</t>
  </si>
  <si>
    <t>Rn1, 25.06 km from Lubumbashi</t>
  </si>
  <si>
    <t>T172EBX =&gt; IDLING. At 10.02.2026 12:11:53 it moved with speed 0 km/h near 'Rn1, Haut-Katanga, Democratic Republic of the Congo, 25.32 km from Lubumbashi'.</t>
  </si>
  <si>
    <t>Rn1, 25.32 km from Lubumbashi</t>
  </si>
  <si>
    <t>T186EBX</t>
  </si>
  <si>
    <t>T186EBX =&gt; IDLING. At 10.02.2026 13:59:02 it moved with speed 0 km/h near 'Tanzania To Zambia Road, Iringa, Tanzania, Ipogolo'.</t>
  </si>
  <si>
    <t>Tanzania To Zambia Road, Ipogolo</t>
  </si>
  <si>
    <t>T261DDJ =&gt; IDLING. At 10.02.2026 11:03:42 it moved with speed 0 km/h near 'Fisenge Bypass, Ndola, Copperbelt Province, Zambia'.</t>
  </si>
  <si>
    <t>T338DHG =&gt; IDLING. At 10.02.2026 10:37:43 it moved with speed 0 km/h near 'Rn1, Haut-Katanga, Democratic Republic of the Congo, 1.44 km from Kasumbalesa'.</t>
  </si>
  <si>
    <t>Rn1, 1.44 km from Kasumbalesa</t>
  </si>
  <si>
    <t>T341DHG =&gt; IDLING. At 10.02.2026 09:43:27 it moved with speed 0 km/h near 'Great North Road, Central Province, Zambia, 15.16 km from Muchinka'.</t>
  </si>
  <si>
    <t>Great North Road, 15.16 km from Muchinka</t>
  </si>
  <si>
    <t>T341EBX</t>
  </si>
  <si>
    <t>T341EBX =&gt; IDLING. At 10.02.2026 10:04:43 it moved with speed 0 km/h near 'R708, Pwani, Kisarawe, Tanzania, 24.16 km from Dar Es Salaam'.</t>
  </si>
  <si>
    <t>R708, 24.16 km from Dar Es Salaam</t>
  </si>
  <si>
    <t>T373DHG =&gt; IDLING. At 10.02.2026 09:57:22 it moved with speed 0 km/h near 'Rn1, Haut-Katanga, Democratic Republic of the Congo, 1.76 km from Kasumbalesa'.</t>
  </si>
  <si>
    <t>Rn1, 1.76 km from Kasumbalesa</t>
  </si>
  <si>
    <t>T403DHT</t>
  </si>
  <si>
    <t>T403DHT =&gt; IDLING. At 10.02.2026 11:02:20 it moved with speed 0 km/h near 'T1, Pwani, Bagamoyo, Tanzania, 3.54 km from Vigwaza'.</t>
  </si>
  <si>
    <t>T1, 3.54 km from Vigwaza</t>
  </si>
  <si>
    <t>T412DHG =&gt; IDLING. At 10.02.2026 10:00:32 it moved with speed 0 km/h near 'Fisenge Bypass, Copperbelt Province, Zambia, 12.58 km from Ndola'.</t>
  </si>
  <si>
    <t>Fisenge Bypass, 12.58 km from Ndola</t>
  </si>
  <si>
    <t>T419DHE</t>
  </si>
  <si>
    <t>T419DHE =&gt; IDLING. At 10.02.2026 09:10:10 it moved with speed 0 km/h near 'Iringa Road, Morogoro, Kilosa, Tanzania, 1.95 km from Mikumi'.</t>
  </si>
  <si>
    <t>Iringa Road, 1.95 km from Mikumi</t>
  </si>
  <si>
    <t>T420DHE =&gt; IDLING. At 10.02.2026 13:05:36 it moved with speed 0 km/h near 'Rn1, Haut-Katanga, Democratic Republic of the Congo, 1.56 km from Kasumbalesa'.</t>
  </si>
  <si>
    <t>Rn1, 1.56 km from Kasumbalesa</t>
  </si>
  <si>
    <t>T431DHG =&gt; IDLING. At 10.02.2026 10:49:39 it moved with speed 0 km/h near 'Rn1, Haut-Katanga, Democratic Republic of the Congo, Kasumbalesa'.</t>
  </si>
  <si>
    <t>T521EBY =&gt; IDLING. At 10.02.2026 17:21:15 it moved with speed 0 km/h near 'Mufulira Road, Ndola, Copperbelt Province, Zambia'.</t>
  </si>
  <si>
    <t>T568DYR</t>
  </si>
  <si>
    <t>T568DYR =&gt; IDLING. At 10.02.2026 09:39:36 it moved with speed 0 km/h near 'Route De La Mine Deziwa, Lualaba, Democratic Republic of the Congo, 5.80 km from Kisenda'.</t>
  </si>
  <si>
    <t>Route De La Mine Deziwa, 5.80 km from Kisenda</t>
  </si>
  <si>
    <t>T575DYR =&gt; IDLING. At 10.02.2026 11:05:51 it moved with speed 0 km/h near 'Ndola - Kitwe Dual-Carriageway, Copperbelt Province, Zambia, 33.21 km from Ndola'.</t>
  </si>
  <si>
    <t>T579DTQ =&gt; IDLING. At 10.02.2026 04:42:03 it moved with speed 0 km/h near 'Rn1, Haut-Katanga, Democratic Republic of the Congo, Mununu'.</t>
  </si>
  <si>
    <t>T581DTQ =&gt; IDLING. At 10.02.2026 09:58:14 it moved with speed 0 km/h near 'Rn1, Haut-Katanga, Democratic Republic of the Congo, 1.83 km from Kasumbalesa'.</t>
  </si>
  <si>
    <t>Rn1, 1.83 km from Kasumbalesa</t>
  </si>
  <si>
    <t>T591DTQ</t>
  </si>
  <si>
    <t>T591DTQ =&gt; IDLING. At 10.02.2026 09:33:57 it moved with speed 0 km/h near 'T1, Pwani, Bagamoyo, Tanzania, Msolwa'.</t>
  </si>
  <si>
    <t>T1, Msolwa</t>
  </si>
  <si>
    <t>T633DTQ</t>
  </si>
  <si>
    <t>T633DTQ =&gt; IDLING. At 10.02.2026 09:12:40 it moved with speed 0 km/h near 'Route De La Mine Deziwa, Lualaba, Democratic Republic of the Congo, 5.85 km from Kisenda'.</t>
  </si>
  <si>
    <t>Route De La Mine Deziwa, 5.85 km from Kisenda</t>
  </si>
  <si>
    <t>T650DTQ</t>
  </si>
  <si>
    <t>T650DTQ =&gt; IDLING. At 10.02.2026 09:23:52 it moved with speed 0 km/h near 'Route De La Mine Deziwa, Lualaba, Democratic Republic of the Congo, 6.14 km from Kisenda'.</t>
  </si>
  <si>
    <t>Route De La Mine Deziwa, 6.14 km from Kisenda</t>
  </si>
  <si>
    <t>T689DEB =&gt; IDLING. At 10.02.2026 11:14:47 it moved with speed 0 km/h near 'Rn1, Haut-Katanga, Democratic Republic of the Congo, Kasumbalesa'.</t>
  </si>
  <si>
    <t>T708EBX =&gt; IDLING. At 10.02.2026 07:44:09 it moved with speed 0 km/h near 'Iringa Road, Iringa, Tanzania, 1.22 km from Ruaha Mbuyumi'.</t>
  </si>
  <si>
    <t>T717DEB =&gt; IDLING. At 10.02.2026 09:35:20 it moved with speed 0 km/h near 'Iringa Road, Morogoro, Tanzania, 3.62 km from Melela Camp'.</t>
  </si>
  <si>
    <t>Iringa Road, 3.62 km from Melela Camp</t>
  </si>
  <si>
    <t>T728DYR =&gt; IDLING. At 10.02.2026 11:13:19 it moved with speed 0 km/h near 'T1, Pwani, Bagamoyo, Tanzania, 3.43 km from Vigwaza'.</t>
  </si>
  <si>
    <t>T1, 3.43 km from Vigwaza</t>
  </si>
  <si>
    <t>T742EBX =&gt; IDLING. At 10.02.2026 13:24:04 it moved with speed 0 km/h near 'T1, Mbeya, Tanzania, Ilolo'.</t>
  </si>
  <si>
    <t>T748EBX</t>
  </si>
  <si>
    <t>T748EBX =&gt; IDLING. At 10.02.2026 08:52:56 it moved with speed 0 km/h near 'Dar Es Salaam Road, Morogoro, Tanzania'.</t>
  </si>
  <si>
    <t>T762EBW =&gt; IDLING. At 10.02.2026 09:44:33 it moved with speed 0 km/h near 'Great North Road, Central Province, Zambia, 15.11 km from Muchinka'.</t>
  </si>
  <si>
    <t>Great North Road, 15.11 km from Muchinka</t>
  </si>
  <si>
    <t>T767DYR =&gt; IDLING. At 10.02.2026 10:40:32 it moved with speed 0 km/h near 'T1, Morogoro, Tanzania, Bwawani'.</t>
  </si>
  <si>
    <t>T768EBW</t>
  </si>
  <si>
    <t>T768EBW =&gt; IDLING. At 10.02.2026 08:02:10 it moved with speed 0 km/h near 'T1, Mbeya, Tanzania, Kongolo Mkola'.</t>
  </si>
  <si>
    <t>T781EBW</t>
  </si>
  <si>
    <t>T781EBW =&gt; IDLING. At 10.02.2026 09:37:38 it moved with speed 0 km/h near 'Tanzam Road, Mbeya, Mbozi, Tanzania, Mbalizi'.</t>
  </si>
  <si>
    <t>T788DYR =&gt; IDLING. At 10.02.2026 08:13:38 it moved with speed 0 km/h near 'T3, Copperbelt Province, Zambia, 7.13 km from Konkola'.</t>
  </si>
  <si>
    <t>T3, 7.13 km from Konkola</t>
  </si>
  <si>
    <t>T797DYR =&gt; IDLING. At 10.02.2026 09:56:10 it moved with speed 0 km/h near 'Rn1, Haut-Katanga, Democratic Republic of the Congo, 1.86 km from Kasumbalesa'.</t>
  </si>
  <si>
    <t>T817EBW =&gt; IDLING. At 10.02.2026 12:01:47 it moved with speed 0 km/h near 'Rn1, Lualaba, Democratic Republic of the Congo, Kaidi'.</t>
  </si>
  <si>
    <t>Rn1, Kaidi</t>
  </si>
  <si>
    <t>T844EBY</t>
  </si>
  <si>
    <t>T844EBY =&gt; IDLING. At 10.02.2026 14:23:59 it moved with speed 0 km/h near 'Iringa Road, Iringa, Tanzania, Ruaha Mbuyumi'.</t>
  </si>
  <si>
    <t>T864EBY</t>
  </si>
  <si>
    <t>T864EBY =&gt; IDLING. At 10.02.2026 07:23:19 it moved with speed 0 km/h near 'T1, Mbeya, Tanzania, 1.19 km from Mangere'.</t>
  </si>
  <si>
    <t>T1, 1.19 km from Mangere</t>
  </si>
  <si>
    <t>T867EBY =&gt; IDLING. At 10.02.2026 08:34:17 it moved with speed 0 km/h near 'Great North Road, Muchinga Province, Zambia, 6.30 km from Mukwikile'.</t>
  </si>
  <si>
    <t>Great North Road, 6.30 km from Mukwikile</t>
  </si>
  <si>
    <t>T876EBY =&gt; IDLING. At 10.02.2026 07:41:31 it moved with speed 0 km/h near 'T3, Copperbelt Province, Zambia, 4.58 km from Konkola'.</t>
  </si>
  <si>
    <t>T3, 4.58 km from Konkola</t>
  </si>
  <si>
    <t>T887EBW =&gt; IDLING. At 10.02.2026 17:22:38 it moved with speed 0 km/h near 'T1, Mbeya, Tanzania, Makwenje'.</t>
  </si>
  <si>
    <t>T891EBW</t>
  </si>
  <si>
    <t>T891EBW =&gt; IDLING. At 10.02.2026 14:53:25 it moved with speed 0 km/h near 'T1, Mbeya, Tanzania, Kongolo Mkola'.</t>
  </si>
  <si>
    <t>T930EBW =&gt; IDLING. At 10.02.2026 08:42:14 it moved with speed 0 km/h near 'Great North Road, Muchinga Province, Zambia, 6.28 km from Mukwikile'.</t>
  </si>
  <si>
    <t>Great North Road, 6.28 km from Mukwikile</t>
  </si>
  <si>
    <t>T951DSX =&gt; IDLING. At 10.02.2026 11:11:32 it moved with speed 0 km/h near 'Rn1, Haut-Katanga, Democratic Republic of the Congo, Kasumbalesa'.</t>
  </si>
  <si>
    <t>T953EBW</t>
  </si>
  <si>
    <t>T953EBW =&gt; IDLING. At 10.02.2026 09:12:25 it moved with speed 0 km/h near 'R708, Pwani, Kisarawe, Tanzania, 24.19 km from Dar Es Salaam'.</t>
  </si>
  <si>
    <t>T996EBW</t>
  </si>
  <si>
    <t>T996EBW =&gt; IDLING. At 10.02.2026 12:04:00 it moved with speed 0 km/h near 'Tanzania To Zambia Road, Iringa, Tanzania, Ipogolo'.</t>
  </si>
  <si>
    <t>T109EBX</t>
  </si>
  <si>
    <t>2026-02-11</t>
  </si>
  <si>
    <t>T109EBX =&gt; IDLING. At 11.02.2026 11:20:15 it moved with speed 0 km/h near 'Great North Road, Central Province, Zambia, Serenje'.</t>
  </si>
  <si>
    <t>T154EBX</t>
  </si>
  <si>
    <t>T154EBX =&gt; IDLING. At 11.02.2026 14:12:08 it moved with speed 0 km/h near 'Rn1, Lualaba, Democratic Republic of the Congo, 1.09 km from Kaidi'.</t>
  </si>
  <si>
    <t>Rn1, 1.09 km from Kaidi</t>
  </si>
  <si>
    <t>T175EBX</t>
  </si>
  <si>
    <t>T175EBX =&gt; IDLING. At 11.02.2026 14:13:15 it moved with speed 0 km/h near 'Rn1, Lualaba, Democratic Republic of the Congo, 1.23 km from Kaidi'.</t>
  </si>
  <si>
    <t>Rn1, 1.23 km from Kaidi</t>
  </si>
  <si>
    <t>T186EBX =&gt; IDLING. At 11.02.2026 10:27:03 it moved with speed 0 km/h near 'T1, Njombe, Tanzania, Igawa'.</t>
  </si>
  <si>
    <t>T224EBX</t>
  </si>
  <si>
    <t>T224EBX =&gt; IDLING. At 11.02.2026 06:58:27 it moved with speed 0 km/h near 'T1, Mbeya, Tanzania, Makwenje'.</t>
  </si>
  <si>
    <t>T259EBY =&gt; IDLING. At 11.02.2026 07:09:06 it moved with speed 0 km/h near 'Tanzam Road, Mbeya, Kalobe, Tanzania, 2.28 km from Mbeya'.</t>
  </si>
  <si>
    <t>Tanzam Road, 2.28 km from Mbeya</t>
  </si>
  <si>
    <t>T275EBY</t>
  </si>
  <si>
    <t>T275EBY =&gt; IDLING. At 11.02.2026 10:17:14 it moved with speed 0 km/h near 'T1, Pwani, Bagamoyo, Tanzania, 3.15 km from Vigwaza'.</t>
  </si>
  <si>
    <t>T1, 3.15 km from Vigwaza</t>
  </si>
  <si>
    <t>T337ECN =&gt; IDLING. At 11.02.2026 15:07:18 it moved with speed 0 km/h near 'Rs614, Haut-Katanga, Democratic Republic of the Congo, 3.88 km from Lumba'.</t>
  </si>
  <si>
    <t>Rs614, 3.88 km from Lumba</t>
  </si>
  <si>
    <t>T341DHG =&gt; IDLING. At 11.02.2026 09:28:53 it moved with speed 0 km/h near 'Ndola - Kitwe Dual-Carriageway, Copperbelt Province, Zambia, 33.18 km from Ndola'.</t>
  </si>
  <si>
    <t>T342DHG =&gt; IDLING. At 11.02.2026 17:19:52 it moved with speed 0 km/h near 'Rn1, Haut-Katanga, Democratic Republic of the Congo, Kasumbalesa'.</t>
  </si>
  <si>
    <t>T402ECN =&gt; IDLING. At 11.02.2026 13:52:41 it moved with speed 0 km/h near 'Great North Road, Central Province, Zambia, Serenje'.</t>
  </si>
  <si>
    <t>T435DHG =&gt; IDLING. At 11.02.2026 10:18:50 it moved with speed 0 km/h near 'Route De La Mine Deziwa, Lualaba, Democratic Republic of the Congo, 5.76 km from Kisenda'.</t>
  </si>
  <si>
    <t>T492DYR</t>
  </si>
  <si>
    <t>T492DYR =&gt; IDLING. At 11.02.2026 11:04:36 it moved with speed 0 km/h near 'Iringa Road, Morogoro, Tanzania, 3.18 km from Kipera'.</t>
  </si>
  <si>
    <t>T495DYR</t>
  </si>
  <si>
    <t>T495DYR =&gt; IDLING. At 11.02.2026 08:10:43 it moved with speed 0 km/h near 'Tanzam Road, Mbeya, Kalobe, Tanzania, 2.32 km from Mbeya'.</t>
  </si>
  <si>
    <t>Tanzam Road, 2.32 km from Mbeya</t>
  </si>
  <si>
    <t>T526EBY =&gt; IDLING. At 11.02.2026 13:55:00 it moved with speed 0 km/h near 'Great North Road, Central Province, Zambia, Serenje'.</t>
  </si>
  <si>
    <t>T561DYR =&gt; IDLING. At 11.02.2026 10:13:21 it moved with speed 0 km/h near 'Route De La Mine Deziwa, Lualaba, Democratic Republic of the Congo, 5.75 km from Kisenda'.</t>
  </si>
  <si>
    <t>Route De La Mine Deziwa, 5.75 km from Kisenda</t>
  </si>
  <si>
    <t>T566DYR =&gt; IDLING. At 11.02.2026 14:44:26 it moved with speed 0 km/h near 'Rn1, Haut-Katanga, Democratic Republic of the Congo, 4.22 km from Kasumbalesa'.</t>
  </si>
  <si>
    <t>Rn1, 4.22 km from Kasumbalesa</t>
  </si>
  <si>
    <t>T579DTQ =&gt; IDLING. At 11.02.2026 03:31:10 it moved with speed 0 km/h near 'Rn1, Haut-Katanga, Democratic Republic of the Congo, Mununu'.</t>
  </si>
  <si>
    <t>T588DTQ =&gt; IDLING. At 11.02.2026 10:25:28 it moved with speed 0 km/h near 'Route De La Mine Deziwa, Lualaba, Democratic Republic of the Congo, 5.73 km from Kisenda'.</t>
  </si>
  <si>
    <t>T598DTQ =&gt; IDLING. At 11.02.2026 07:57:38 it moved with speed 0 km/h near 'T1, Mbeya, Tanzania, Makwenje'.</t>
  </si>
  <si>
    <t>T601DTQ</t>
  </si>
  <si>
    <t>T601DTQ =&gt; IDLING. At 11.02.2026 10:19:39 it moved with speed 0 km/h near 'Route De La Mine Deziwa, Lualaba, Democratic Republic of the Congo, 5.75 km from Kisenda'.</t>
  </si>
  <si>
    <t>T679ECP =&gt; IDLING. At 11.02.2026 07:56:16 it moved with speed 0 km/h near 'T1, Mbeya, Tanzania, Makwenje'.</t>
  </si>
  <si>
    <t>T711EBX</t>
  </si>
  <si>
    <t>T711EBX =&gt; IDLING. At 11.02.2026 14:11:37 it moved with speed 0 km/h near 'Rn1, Lualaba, Democratic Republic of the Congo, 1.12 km from Kaidi'.</t>
  </si>
  <si>
    <t>Rn1, 1.12 km from Kaidi</t>
  </si>
  <si>
    <t>T717DEB =&gt; IDLING. At 11.02.2026 07:40:50 it moved with speed 0 km/h near 'Iringa Road, Lundamatwe, Iringa, Tanzania'.</t>
  </si>
  <si>
    <t>T727EBX</t>
  </si>
  <si>
    <t>T727EBX =&gt; IDLING. At 11.02.2026 12:02:53 it moved with speed 0 km/h near 'Great North Road, Central Province, Zambia, Serenje'.</t>
  </si>
  <si>
    <t>T732DEC =&gt; IDLING. At 11.02.2026 09:40:15 it moved with speed 0 km/h near 'Ndola - Kitwe Dual-Carriageway, Copperbelt Province, Zambia, 33.22 km from Ndola'.</t>
  </si>
  <si>
    <t>T745EBX</t>
  </si>
  <si>
    <t>T745EBX =&gt; IDLING. At 11.02.2026 14:11:13 it moved with speed 0 km/h near 'Rn1, Lualaba, Democratic Republic of the Congo, 1.08 km from Kaidi'.</t>
  </si>
  <si>
    <t>Rn1, 1.08 km from Kaidi</t>
  </si>
  <si>
    <t>T762EBW =&gt; IDLING. At 11.02.2026 09:20:18 it moved with speed 0 km/h near 'Ndola - Kitwe Dual-Carriageway, Copperbelt Province, Zambia, 33.18 km from Ndola'.</t>
  </si>
  <si>
    <t>T772DYR =&gt; IDLING. At 11.02.2026 12:45:12 it moved with speed 0 km/h near 'Dar Es Salaam Road, Morogoro, Tanzania'.</t>
  </si>
  <si>
    <t>T791EBW =&gt; IDLING. At 11.02.2026 08:04:52 it moved with speed 0 km/h near 'Regional Hospital Road, Mbeya, Nzovwe, Tanzania, 2.42 km from Mbeya'.</t>
  </si>
  <si>
    <t>T804DYR =&gt; IDLING. At 11.02.2026 10:57:11 it moved with speed 0 km/h near 'Morogoro Main Road, Pwani, Kibaha, Tanzania, 1.08 km from Miyomboni'.</t>
  </si>
  <si>
    <t>Morogoro Main Road, 1.08 km from Miyomboni</t>
  </si>
  <si>
    <t>T870EBW</t>
  </si>
  <si>
    <t>T870EBW =&gt; IDLING. At 11.02.2026 14:12:50 it moved with speed 0 km/h near 'Rn1, Lualaba, Democratic Republic of the Congo, 1.14 km from Kaidi'.</t>
  </si>
  <si>
    <t>Rn1, 1.14 km from Kaidi</t>
  </si>
  <si>
    <t>T887EBW =&gt; IDLING. At 11.02.2026 07:14:06 it moved with speed 0 km/h near 'Tanzam Road, Mbeya, Kalobe, Tanzania, 2.37 km from Mbeya'.</t>
  </si>
  <si>
    <t>Tanzam Road, 2.37 km from Mbeya</t>
  </si>
  <si>
    <t>T988EBW =&gt; IDLING. At 11.02.2026 08:06:24 it moved with speed 0 km/h near 'T1, Mbeya, Tanzania, Makwenje'.</t>
  </si>
  <si>
    <t>T148EBX</t>
  </si>
  <si>
    <t>2026-02-12</t>
  </si>
  <si>
    <t>T148EBX =&gt; IDLING. At 12.02.2026 16:46:20 it moved with speed 0 km/h near 'Iringa Road, Iringa, Tanzania, Ruaha Mbuyumi'.</t>
  </si>
  <si>
    <t>T165EBX =&gt; IDLING. At 12.02.2026 17:20:38 it moved with speed 0 km/h near 'Ndola - Kitwe Dual-Carriageway, Copperbelt Province, Zambia, 33.18 km from Ndola'.</t>
  </si>
  <si>
    <t>T175EBX =&gt; IDLING. At 12.02.2026 07:53:26 it moved with speed 0 km/h near 'Rn1, Haut-Katanga, Democratic Republic of the Congo, 1.18 km from Mbalaka'.</t>
  </si>
  <si>
    <t>Rn1, 1.18 km from Mbalaka</t>
  </si>
  <si>
    <t>T256EBX =&gt; IDLING. At 12.02.2026 07:03:44 it moved with speed 0 km/h near 'Tanzania To Zambia Road, Iringa, Mufindi, Tanzania, Tanangozi'.</t>
  </si>
  <si>
    <t>T267DDJ =&gt; IDLING. At 12.02.2026 12:16:20 it moved with speed 0 km/h near 'Rn1, Haut-Katanga, Democratic Republic of the Congo, 3.98 km from Kasumbalesa'.</t>
  </si>
  <si>
    <t>Rn1, 3.98 km from Kasumbalesa</t>
  </si>
  <si>
    <t>T273EBY</t>
  </si>
  <si>
    <t>T273EBY =&gt; IDLING. At 12.02.2026 11:25:50 it moved with speed 0 km/h near 'Tanzam Road, Mbeya, Kalobe, Tanzania, 2.33 km from Mbeya'.</t>
  </si>
  <si>
    <t>T276DDJ</t>
  </si>
  <si>
    <t>T276DDJ =&gt; IDLING. At 12.02.2026 16:59:41 it moved with speed 0 km/h near 'Iringa Road, Iringa, Tanzania, Mtandika 'B''.</t>
  </si>
  <si>
    <t>Iringa Road, Mtandika 'B'</t>
  </si>
  <si>
    <t>T318EBY =&gt; IDLING. At 12.02.2026 17:19:44 it moved with speed 0 km/h near 'Ndola - Kitwe Dual-Carriageway, Copperbelt Province, Zambia, 33.16 km from Ndola'.</t>
  </si>
  <si>
    <t>T331DHG</t>
  </si>
  <si>
    <t>T331DHG =&gt; IDLING. At 12.02.2026 09:22:45 it moved with speed 0 km/h near 'Route De La Mine Deziwa, Lualaba, Democratic Republic of the Congo, 5.71 km from Kisenda'.</t>
  </si>
  <si>
    <t>Route De La Mine Deziwa, 5.71 km from Kisenda</t>
  </si>
  <si>
    <t>T333DHG</t>
  </si>
  <si>
    <t>T333DHG =&gt; IDLING. At 12.02.2026 10:19:28 it moved with speed 0 km/h near 'Great North Road, Central Province, Zambia, Serenje'.</t>
  </si>
  <si>
    <t>T381ECN =&gt; IDLING. At 12.02.2026 10:32:57 it moved with speed 0 km/h near 'Great North Road, Central Province, Zambia, Serenje'.</t>
  </si>
  <si>
    <t>T388ECN =&gt; IDLING. At 12.02.2026 17:41:53 it moved with speed 0 km/h near 'Ndola - Kitwe Dual-Carriageway, Copperbelt Province, Zambia, 33.21 km from Ndola'.</t>
  </si>
  <si>
    <t>T403DHG</t>
  </si>
  <si>
    <t>T403DHG =&gt; IDLING. At 12.02.2026 15:23:50 it moved with speed 0 km/h near 'Iringa Road, Iringa, Tanzania, Ruaha Mbuyumi'.</t>
  </si>
  <si>
    <t>T413DHE =&gt; IDLING. At 12.02.2026 15:09:42 it moved with speed 0 km/h near 'M16, Copperbelt Province, Zambia, 6.43 km from Kalulushi'.</t>
  </si>
  <si>
    <t>M16, 6.43 km from Kalulushi</t>
  </si>
  <si>
    <t>T416DCT</t>
  </si>
  <si>
    <t>T416DCT =&gt; IDLING. At 12.02.2026 09:59:51 it moved with speed 0 km/h near 'Route De La Mine Deziwa, Lualaba, Democratic Republic of the Congo, 5.71 km from Kisenda'.</t>
  </si>
  <si>
    <t>T419DHE =&gt; IDLING. At 12.02.2026 09:18:35 it moved with speed 0 km/h near 'Tanzam Road, Mbeya, Kalobe, Tanzania, 2.32 km from Mbeya'.</t>
  </si>
  <si>
    <t>T438DHG</t>
  </si>
  <si>
    <t>T438DHG =&gt; IDLING. At 12.02.2026 10:24:36 it moved with speed 0 km/h near 'Route De La Mine Deziwa, Lualaba, Democratic Republic of the Congo, 5.71 km from Kisenda'.</t>
  </si>
  <si>
    <t>T496DYR =&gt; IDLING. At 12.02.2026 17:32:48 it moved with speed 0 km/h near 'T1, Mbeya, Tanzania, Makwenje'.</t>
  </si>
  <si>
    <t>T571DYR =&gt; IDLING. At 12.02.2026 08:14:49 it moved with speed 0 km/h near 'Rn1, Haut-Katanga, Democratic Republic of the Congo, 25.59 km from Lubumbashi'.</t>
  </si>
  <si>
    <t>Rn1, 25.59 km from Lubumbashi</t>
  </si>
  <si>
    <t>T579DTQ =&gt; IDLING. At 12.02.2026 00:18:24 it moved with speed 0 km/h near 'Rn1, Haut-Katanga, Democratic Republic of the Congo, Mununu'.</t>
  </si>
  <si>
    <t>T591DTQ =&gt; IDLING. At 12.02.2026 07:39:02 it moved with speed 0 km/h near 'Regional Hospital Road, Mbeya, Nzovwe, Tanzania, 2.42 km from Mbeya'.</t>
  </si>
  <si>
    <t>T593DTQ</t>
  </si>
  <si>
    <t>T593DTQ =&gt; IDLING. At 12.02.2026 14:31:39 it moved with speed 0 km/h near 'T1, Njombe, Tanzania, Igawa'.</t>
  </si>
  <si>
    <t>T595DTQ =&gt; IDLING. At 12.02.2026 12:14:46 it moved with speed 0 km/h near 'Rn1, Haut-Katanga, Democratic Republic of the Congo, 3.95 km from Kasumbalesa'.</t>
  </si>
  <si>
    <t>Rn1, 3.95 km from Kasumbalesa</t>
  </si>
  <si>
    <t>T596DTQ =&gt; IDLING. At 12.02.2026 09:59:50 it moved with speed 0 km/h near 'Route De La Mine Deziwa, Lualaba, Democratic Republic of the Congo, 5.71 km from Kisenda'.</t>
  </si>
  <si>
    <t>T598DTQ =&gt; IDLING. At 12.02.2026 09:55:28 it moved with speed 0 km/h near 'Iringa Road, Iringa, Tanzania, Ruaha Mbuyumi'.</t>
  </si>
  <si>
    <t>T599DTQ =&gt; IDLING. At 12.02.2026 11:31:04 it moved with speed 0 km/h near 'Great North Road, Muchinga Province, Zambia, Chinunda'.</t>
  </si>
  <si>
    <t>T640DEB</t>
  </si>
  <si>
    <t>T640DEB =&gt; IDLING. At 12.02.2026 09:00:52 it moved with speed 0 km/h near 'Tanzania To Zambia Road, Iringa, Mufindi, Tanzania, Mafinga'.</t>
  </si>
  <si>
    <t>Tanzania To Zambia Road, Mafinga</t>
  </si>
  <si>
    <t>T696DEB</t>
  </si>
  <si>
    <t>T696DEB =&gt; IDLING. At 12.02.2026 08:56:47 it moved with speed 0 km/h near 'T1, Mbeya, Mbozi, Tanzania, 7.83 km from Idiga Songwe'.</t>
  </si>
  <si>
    <t>T1, 7.83 km from Idiga Songwe</t>
  </si>
  <si>
    <t>T703EBX =&gt; IDLING. At 12.02.2026 16:23:51 it moved with speed 0 km/h near 'Rs614, Haut-Katanga, Democratic Republic of the Congo, 3.92 km from Lumba'.</t>
  </si>
  <si>
    <t>Rs614, 3.92 km from Lumba</t>
  </si>
  <si>
    <t>T711EBX =&gt; IDLING. At 12.02.2026 07:53:07 it moved with speed 0 km/h near 'Rn1, Haut-Katanga, Democratic Republic of the Congo, 1.23 km from Mbalaka'.</t>
  </si>
  <si>
    <t>Rn1, 1.23 km from Mbalaka</t>
  </si>
  <si>
    <t>T745EBX =&gt; IDLING. At 12.02.2026 08:25:25 it moved with speed 0 km/h near 'Rn1, Haut-Katanga, Democratic Republic of the Congo, 2.18 km from Mbalaka'.</t>
  </si>
  <si>
    <t>Rn1, 2.18 km from Mbalaka</t>
  </si>
  <si>
    <t>T746DEB =&gt; IDLING. At 12.02.2026 10:00:29 it moved with speed 0 km/h near 'Route De La Mine Deziwa, Lualaba, Democratic Republic of the Congo, 5.71 km from Kisenda'.</t>
  </si>
  <si>
    <t>T770DYR</t>
  </si>
  <si>
    <t>T770DYR =&gt; IDLING. At 12.02.2026 08:37:42 it moved with speed 0 km/h near 'Ndola - Kitwe Dual-Carriageway, Copperbelt Province, Zambia, 33.20 km from Ndola'.</t>
  </si>
  <si>
    <t>T816DDS</t>
  </si>
  <si>
    <t>T816DDS =&gt; IDLING. At 12.02.2026 11:44:46 it moved with speed 0 km/h near 'M1, Northern Province, Zambia, 10.04 km from Senga Hill'.</t>
  </si>
  <si>
    <t>M1, 10.04 km from Senga Hill</t>
  </si>
  <si>
    <t>T821EBW =&gt; IDLING. At 12.02.2026 16:19:26 it moved with speed 0 km/h near 'Rs614, Haut-Katanga, Democratic Republic of the Congo, 3.92 km from Lumba'.</t>
  </si>
  <si>
    <t>T839EBY =&gt; IDLING. At 12.02.2026 06:26:46 it moved with speed 0 km/h near 'Great North Road, Muchinga Province, Zambia, 5.43 km from Nakonde'.</t>
  </si>
  <si>
    <t>Great North Road, 5.43 km from Nakonde</t>
  </si>
  <si>
    <t>T870EBW =&gt; IDLING. At 12.02.2026 08:29:11 it moved with speed 0 km/h near 'Rn1, Haut-Katanga, Democratic Republic of the Congo, 2.16 km from Mbalaka'.</t>
  </si>
  <si>
    <t>Rn1, 2.16 km from Mbalaka</t>
  </si>
  <si>
    <t>T959DSX =&gt; IDLING. At 12.02.2026 12:18:46 it moved with speed 0 km/h near 'Rn1, Haut-Katanga, Democratic Republic of the Congo, 3.97 km from Kasumbalesa'.</t>
  </si>
  <si>
    <t>Rn1, 3.97 km from Kasumbalesa</t>
  </si>
  <si>
    <t>T988EBW =&gt; IDLING. At 12.02.2026 09:29:31 it moved with speed 0 km/h near 'Iringa Road, Iringa, Tanzania, Ruaha Mbuyumi'.</t>
  </si>
  <si>
    <t>T147EBX</t>
  </si>
  <si>
    <t>2026-02-13</t>
  </si>
  <si>
    <t>T147EBX =&gt; IDLING. At 13.02.2026 10:07:27 it moved with speed 0 km/h near 'Great North Road, Muchinga Province, Zambia, 6.07 km from Amosi Pumba'.</t>
  </si>
  <si>
    <t>Great North Road, 6.07 km from Amosi Pumba</t>
  </si>
  <si>
    <t>T224EBX =&gt; IDLING. At 13.02.2026 16:48:31 it moved with speed 0 km/h near 'Great North Road, Muchinga Province, Zambia, Chisoso'.</t>
  </si>
  <si>
    <t>Great North Road, Chisoso</t>
  </si>
  <si>
    <t>T256EBX =&gt; IDLING. At 13.02.2026 07:19:15 it moved with speed 0 km/h near 'T1, Morogoro, Tanzania'.</t>
  </si>
  <si>
    <t>T276DDJ =&gt; IDLING. At 13.02.2026 09:57:40 it moved with speed 0 km/h near 'Tanzania To Zambia Road, Iringa, Mufindi, Tanzania, 1.91 km from Kinyanambo'.</t>
  </si>
  <si>
    <t>Tanzania To Zambia Road, 1.91 km from Kinyanambo</t>
  </si>
  <si>
    <t>T331DHG =&gt; IDLING. At 13.02.2026 13:41:10 it moved with speed 0 km/h near 'Route De La Mine Deziwa, Lualaba, Democratic Republic of the Congo, 6.76 km from Kisenda'.</t>
  </si>
  <si>
    <t>Route De La Mine Deziwa, 6.76 km from Kisenda</t>
  </si>
  <si>
    <t>T381ECN =&gt; IDLING. At 13.02.2026 08:18:07 it moved with speed 0 km/h near 'Great North Road, Muchinga Province, Zambia, 7.40 km from Godfrey Kunda'.</t>
  </si>
  <si>
    <t>Great North Road, 7.40 km from Godfrey Kunda</t>
  </si>
  <si>
    <t>T397ECN</t>
  </si>
  <si>
    <t>T397ECN =&gt; IDLING. At 13.02.2026 12:10:19 it moved with speed 0 km/h near 'Tanzania To Zambia Road, Iringa, Mufindi, Tanzania, 3.43 km from Mafinga'.</t>
  </si>
  <si>
    <t>Tanzania To Zambia Road, 3.43 km from Mafinga</t>
  </si>
  <si>
    <t>T407DHE =&gt; IDLING. At 13.02.2026 08:58:08 it moved with speed 0 km/h near 'T1, Mbeya, Tanzania, Mangere'.</t>
  </si>
  <si>
    <t>T1, Mangere</t>
  </si>
  <si>
    <t>T411ECN =&gt; IDLING. At 13.02.2026 16:32:20 it moved with speed 0 km/h near 'T1, Pwani, Bagamoyo, Tanzania, 3.21 km from Vigwaza'.</t>
  </si>
  <si>
    <t>T1, 3.21 km from Vigwaza</t>
  </si>
  <si>
    <t>T444DHG</t>
  </si>
  <si>
    <t>T444DHG =&gt; IDLING. At 13.02.2026 08:06:58 it moved with speed 0 km/h near 'Dar Es Salaam Road, Morogoro, Tanzania'.</t>
  </si>
  <si>
    <t>T491DYR =&gt; IDLING. At 13.02.2026 12:02:33 it moved with speed 0 km/h near 'T1, Pwani, Bagamoyo, Tanzania, 3.31 km from Vigwaza'.</t>
  </si>
  <si>
    <t>T1, 3.31 km from Vigwaza</t>
  </si>
  <si>
    <t>T579DTQ =&gt; IDLING. At 13.02.2026 01:55:30 it moved with speed 0 km/h near 'Rn1, Haut-Katanga, Democratic Republic of the Congo, Mununu'.</t>
  </si>
  <si>
    <t>T604DTQ</t>
  </si>
  <si>
    <t>T604DTQ =&gt; IDLING. At 13.02.2026 10:16:01 it moved with speed 0 km/h near 'Iringa Road, Iringa, Tanzania, 1.27 km from Ruaha Mbuyumi'.</t>
  </si>
  <si>
    <t>Iringa Road, 1.27 km from Ruaha Mbuyumi</t>
  </si>
  <si>
    <t>T684EBX =&gt; IDLING. At 13.02.2026 07:29:55 it moved with speed 0 km/h near 'Rn1, Haut-Katanga, Democratic Republic of the Congo, 5.34 km from Kasumbalesa'.</t>
  </si>
  <si>
    <t>Rn1, 5.34 km from Kasumbalesa</t>
  </si>
  <si>
    <t>T710EBX</t>
  </si>
  <si>
    <t>T710EBX =&gt; IDLING. At 13.02.2026 10:04:54 it moved with speed 0 km/h near 'Great North Road, Muchinga Province, Zambia, 6.05 km from Amosi Pumba'.</t>
  </si>
  <si>
    <t>Great North Road, 6.05 km from Amosi Pumba</t>
  </si>
  <si>
    <t>T712DYR =&gt; IDLING. At 13.02.2026 16:34:39 it moved with speed 0 km/h near 'T1, Pwani, Bagamoyo, Tanzania, 3.13 km from Vigwaza'.</t>
  </si>
  <si>
    <t>T1, 3.13 km from Vigwaza</t>
  </si>
  <si>
    <t>T717EBX</t>
  </si>
  <si>
    <t>T717EBX =&gt; IDLING. At 13.02.2026 07:48:36 it moved with speed 0 km/h near 'Tanzam Road, Mbeya, Mbozi, Tanzania, Mbalizi'.</t>
  </si>
  <si>
    <t>T737EBX</t>
  </si>
  <si>
    <t>T737EBX =&gt; IDLING. At 13.02.2026 13:50:22 it moved with speed 0 km/h near 'T1, Mbeya, Uyole, Tanzania, Itewe'.</t>
  </si>
  <si>
    <t>T1, Itewe</t>
  </si>
  <si>
    <t>T785EBW</t>
  </si>
  <si>
    <t>T785EBW =&gt; IDLING. At 13.02.2026 10:43:43 it moved with speed 0 km/h near 'Great North Road, Central Province, Zambia, Serenje'.</t>
  </si>
  <si>
    <t>T803DYR</t>
  </si>
  <si>
    <t>T803DYR =&gt; IDLING. At 13.02.2026 12:45:31 it moved with speed 0 km/h near 'T1, Njombe, Tanzania, Igando'.</t>
  </si>
  <si>
    <t>T1, Igando</t>
  </si>
  <si>
    <t>T804EBW</t>
  </si>
  <si>
    <t>T804EBW =&gt; IDLING. At 13.02.2026 11:31:28 it moved with speed 0 km/h near 'Great North Road, Central Province, Zambia, Serenje'.</t>
  </si>
  <si>
    <t>T840EBY</t>
  </si>
  <si>
    <t>T840EBY =&gt; IDLING. At 13.02.2026 12:13:12 it moved with speed 0 km/h near 'Tanzania To Zambia Road, Iringa, Mufindi, Tanzania, 3.41 km from Mafinga'.</t>
  </si>
  <si>
    <t>Tanzania To Zambia Road, 3.41 km from Mafinga</t>
  </si>
  <si>
    <t>T913EBW =&gt; IDLING. At 13.02.2026 16:03:17 it moved with speed 0 km/h near 'T1, Pwani, Bagamoyo, Tanzania, Ruvu Darajani'.</t>
  </si>
  <si>
    <t>T1, Ruvu Darajani</t>
  </si>
  <si>
    <t>T930EBW =&gt; IDLING. At 13.02.2026 16:45:59 it moved with speed 0 km/h near 'Iringa Road, Lundamatwe, Iringa, Tanzania'.</t>
  </si>
  <si>
    <t>T946EBW =&gt; IDLING. At 13.02.2026 16:35:08 it moved with speed 0 km/h near 'T1, Pwani, Bagamoyo, Tanzania, 3.16 km from Vigwaza'.</t>
  </si>
  <si>
    <t>T1, 3.16 km from Vigwaza</t>
  </si>
  <si>
    <t>2026-02-14</t>
  </si>
  <si>
    <t>T148EBX =&gt; IDLING. At 14.02.2026 08:42:03 it moved with speed 0 km/h near 'Tanzam Road, Mbeya, Kalobe, Tanzania, 2.32 km from Mbeya'.</t>
  </si>
  <si>
    <t>T233EBX</t>
  </si>
  <si>
    <t>T233EBX =&gt; IDLING. At 14.02.2026 08:41:53 it moved with speed 0 km/h near 'Rn39, Kolwezi, Lualaba, Democratic Republic of the Congo'.</t>
  </si>
  <si>
    <t>T235EBX</t>
  </si>
  <si>
    <t>T235EBX =&gt; IDLING. At 14.02.2026 11:11:19 it moved with speed 0 km/h near 'Route De La Mine Deziwa, Lualaba, Democratic Republic of the Congo, 5.78 km from Kisenda'.</t>
  </si>
  <si>
    <t>Route De La Mine Deziwa, 5.78 km from Kisenda</t>
  </si>
  <si>
    <t>T263DDJ =&gt; IDLING. At 14.02.2026 08:48:20 it moved with speed 0 km/h near 'Great North Road, Muchinga Province, Zambia, 5.47 km from Mwezo'.</t>
  </si>
  <si>
    <t>Great North Road, 5.47 km from Mwezo</t>
  </si>
  <si>
    <t>T276DDJ =&gt; IDLING. At 14.02.2026 10:20:52 it moved with speed 0 km/h near 'Tanzam Road, Mbeya, Kalobe, Tanzania, 2.40 km from Mbeya'.</t>
  </si>
  <si>
    <t>T311EBX</t>
  </si>
  <si>
    <t>T311EBX =&gt; IDLING. At 14.02.2026 12:54:18 it moved with speed 0 km/h near 'Great North Road, Muchinga Province, Zambia, 5.34 km from Two Leopards'.</t>
  </si>
  <si>
    <t>Great North Road, 5.34 km from Two Leopards</t>
  </si>
  <si>
    <t>T315EBX =&gt; IDLING. At 14.02.2026 12:53:51 it moved with speed 0 km/h near 'Iringa Road, Iringa, Tanzania, Ruaha Mbuyumi'.</t>
  </si>
  <si>
    <t>T328EBY =&gt; IDLING. At 14.02.2026 09:05:13 it moved with speed 0 km/h near 'Tanzania To Zambia Road, Iringa, Mufindi, Tanzania, 1.91 km from Ifunda'.</t>
  </si>
  <si>
    <t>Tanzania To Zambia Road, 1.91 km from Ifunda</t>
  </si>
  <si>
    <t>T350DHG</t>
  </si>
  <si>
    <t>T350DHG =&gt; IDLING. At 14.02.2026 18:01:44 it moved with speed 0 km/h near 'Great North Road, Central Province, Zambia, 3.21 km from Mkushi'.</t>
  </si>
  <si>
    <t>Great North Road, 3.21 km from Mkushi</t>
  </si>
  <si>
    <t>T403DHG =&gt; IDLING. At 14.02.2026 09:33:35 it moved with speed 0 km/h near 'T1, Mbeya, Tanzania, Kongolo Mkola'.</t>
  </si>
  <si>
    <t>T411ECN =&gt; IDLING. At 14.02.2026 09:23:38 it moved with speed 0 km/h near 'Iringa Road, Morogoro, Tanzania, 3.17 km from Kipera'.</t>
  </si>
  <si>
    <t>Iringa Road, 3.17 km from Kipera</t>
  </si>
  <si>
    <t>T416DCT =&gt; IDLING. At 14.02.2026 09:42:11 it moved with speed 0 km/h near 'Route De La Mine Deziwa, Lualaba, Democratic Republic of the Congo, 6.07 km from Kisenda'.</t>
  </si>
  <si>
    <t>Route De La Mine Deziwa, 6.07 km from Kisenda</t>
  </si>
  <si>
    <t>T424DHG =&gt; IDLING. At 14.02.2026 17:57:03 it moved with speed 0 km/h near 'T1, Pwani, Bagamoyo, Tanzania, 2.99 km from Vigwaza'.</t>
  </si>
  <si>
    <t>T1, 2.99 km from Vigwaza</t>
  </si>
  <si>
    <t>T435DHG =&gt; IDLING. At 14.02.2026 08:40:02 it moved with speed 0 km/h near 'Rn39, Kolwezi, Lualaba, Democratic Republic of the Congo'.</t>
  </si>
  <si>
    <t>T494DYR =&gt; IDLING. At 14.02.2026 12:16:00 it moved with speed 0 km/h near 'Great North Road, Muchinga Province, Zambia, 3.48 km from Isoka'.</t>
  </si>
  <si>
    <t>Great North Road, 3.48 km from Isoka</t>
  </si>
  <si>
    <t>T498DYR =&gt; IDLING. At 14.02.2026 09:33:09 it moved with speed 0 km/h near 'Route De La Mine Deziwa, Lualaba, Democratic Republic of the Congo, 5.82 km from Kisenda'.</t>
  </si>
  <si>
    <t>Route De La Mine Deziwa, 5.82 km from Kisenda</t>
  </si>
  <si>
    <t>T499DYR =&gt; IDLING. At 14.02.2026 07:37:26 it moved with speed 0 km/h near 'Rn39, Kolwezi, Lualaba, Democratic Republic of the Congo'.</t>
  </si>
  <si>
    <t>T510EBY =&gt; IDLING. At 14.02.2026 09:21:54 it moved with speed 0 km/h near 'Iringa Road, Morogoro, Tanzania, 3.18 km from Kipera'.</t>
  </si>
  <si>
    <t>T512DTR =&gt; IDLING. At 14.02.2026 12:05:37 it moved with speed 0 km/h near 'Great North Road, Muchinga Province, Zambia, 3.77 km from Isoka'.</t>
  </si>
  <si>
    <t>Great North Road, 3.77 km from Isoka</t>
  </si>
  <si>
    <t>T524EBY</t>
  </si>
  <si>
    <t>T524EBY =&gt; IDLING. At 14.02.2026 08:39:50 it moved with speed 0 km/h near 'Rn39, Kolwezi, Lualaba, Democratic Republic of the Congo'.</t>
  </si>
  <si>
    <t>T527EBY =&gt; IDLING. At 14.02.2026 07:19:14 it moved with speed 0 km/h near 'Rn1, Haut-Katanga, Democratic Republic of the Congo, 1.95 km from Kasumbalesa'.</t>
  </si>
  <si>
    <t>Rn1, 1.95 km from Kasumbalesa</t>
  </si>
  <si>
    <t>T569DYR =&gt; IDLING. At 14.02.2026 14:17:19 it moved with speed 0 km/h near 'Iringa Road, Iringa, Tanzania, 1.31 km from Ruaha Mbuyumi'.</t>
  </si>
  <si>
    <t>Iringa Road, 1.31 km from Ruaha Mbuyumi</t>
  </si>
  <si>
    <t>T572DYR =&gt; IDLING. At 14.02.2026 08:12:48 it moved with speed 0 km/h near 'T2, Tanga, Handeni, Tanzania, Segera'.</t>
  </si>
  <si>
    <t>T2, Segera</t>
  </si>
  <si>
    <t>T578DYR</t>
  </si>
  <si>
    <t>T578DYR =&gt; IDLING. At 14.02.2026 11:34:16 it moved with speed 0 km/h near 'Route De La Mine Deziwa, Lualaba, Democratic Republic of the Congo, 5.75 km from Kisenda'.</t>
  </si>
  <si>
    <t>T587DTQ</t>
  </si>
  <si>
    <t>T587DTQ =&gt; IDLING. At 14.02.2026 09:02:03 it moved with speed 0 km/h near 'Route De La Mine Deziwa, Lualaba, Democratic Republic of the Congo, 5.73 km from Kisenda'.</t>
  </si>
  <si>
    <t>T588DTQ =&gt; IDLING. At 14.02.2026 08:40:55 it moved with speed 0 km/h near 'Rn39, Kolwezi, Lualaba, Democratic Republic of the Congo'.</t>
  </si>
  <si>
    <t>T589DYR</t>
  </si>
  <si>
    <t>T589DYR =&gt; IDLING. At 14.02.2026 09:02:48 it moved with speed 0 km/h near 'Route De La Mine Deziwa, Lualaba, Democratic Republic of the Congo, 5.75 km from Kisenda'.</t>
  </si>
  <si>
    <t>T601DTQ =&gt; IDLING. At 14.02.2026 09:35:43 it moved with speed 0 km/h near 'Route De La Mine Deziwa, Lualaba, Democratic Republic of the Congo, 5.74 km from Kisenda'.</t>
  </si>
  <si>
    <t>Route De La Mine Deziwa, 5.74 km from Kisenda</t>
  </si>
  <si>
    <t>T663DTQ =&gt; IDLING. At 14.02.2026 09:55:13 it moved with speed 0 km/h near 'Rs614, Haut-Katanga, Democratic Republic of the Congo, 3.66 km from Lumba'.</t>
  </si>
  <si>
    <t>T676EBX</t>
  </si>
  <si>
    <t>T676EBX =&gt; IDLING. At 14.02.2026 11:27:04 it moved with speed 0 km/h near 'Great North Road, Muchinga Province, Zambia, 5.33 km from Two Leopards'.</t>
  </si>
  <si>
    <t>Great North Road, 5.33 km from Two Leopards</t>
  </si>
  <si>
    <t>T680EBX</t>
  </si>
  <si>
    <t>T680EBX =&gt; IDLING. At 14.02.2026 11:48:04 it moved with speed 0 km/h near 'Great North Road, Muchinga Province, Zambia, 5.38 km from Two Leopards'.</t>
  </si>
  <si>
    <t>Great North Road, 5.38 km from Two Leopards</t>
  </si>
  <si>
    <t>T712DYR =&gt; IDLING. At 14.02.2026 09:22:40 it moved with speed 0 km/h near 'Iringa Road, Morogoro, Tanzania, 3.18 km from Kipera'.</t>
  </si>
  <si>
    <t>T722EBX</t>
  </si>
  <si>
    <t>T722EBX =&gt; IDLING. At 14.02.2026 08:14:13 it moved with speed 0 km/h near 'Ndola - Kitwe Dual-Carriageway, Copperbelt Province, Zambia, 33.22 km from Ndola'.</t>
  </si>
  <si>
    <t>T723DYR =&gt; IDLING. At 14.02.2026 11:39:20 it moved with speed 0 km/h near 'Route De La Mine Deziwa, Lualaba, Democratic Republic of the Congo, 5.81 km from Kisenda'.</t>
  </si>
  <si>
    <t>Route De La Mine Deziwa, 5.81 km from Kisenda</t>
  </si>
  <si>
    <t>T749DEB =&gt; IDLING. At 14.02.2026 10:49:09 it moved with speed 0 km/h near 'Great North Road, Muchinga Province, Zambia, 4.36 km from Isoka'.</t>
  </si>
  <si>
    <t>Great North Road, 4.36 km from Isoka</t>
  </si>
  <si>
    <t>T774EBW</t>
  </si>
  <si>
    <t>T774EBW =&gt; IDLING. At 14.02.2026 08:12:24 it moved with speed 0 km/h near 'T2, Tanga, Handeni, Tanzania, Segera'.</t>
  </si>
  <si>
    <t>T778DYR =&gt; IDLING. At 14.02.2026 17:15:25 it moved with speed 1 km/h near 'Tanzam Road, Mbeya, Kalobe, Tanzania, 2.35 km from Mbeya'.</t>
  </si>
  <si>
    <t>Tanzam Road, 2.35 km from Mbeya</t>
  </si>
  <si>
    <t>T779EBW =&gt; IDLING. At 14.02.2026 14:54:18 it moved with speed 0 km/h near 'Ndola - Kitwe Dual-Carriageway, Copperbelt Province, Zambia, 33.23 km from Ndola'.</t>
  </si>
  <si>
    <t>T797DDS</t>
  </si>
  <si>
    <t>T797DDS =&gt; IDLING. At 14.02.2026 11:23:58 it moved with speed 0 km/h near 'Ndola - Kitwe Dual-Carriageway, Copperbelt Province, Zambia, 33.20 km from Ndola'.</t>
  </si>
  <si>
    <t>T817EBW =&gt; IDLING. At 14.02.2026 11:32:15 it moved with speed 0 km/h near 'Ndola - Kitwe Dual-Carriageway, Copperbelt Province, Zambia, 33.25 km from Ndola'.</t>
  </si>
  <si>
    <t>Ndola - Kitwe Dual-Carriageway, 33.25 km from Ndola</t>
  </si>
  <si>
    <t>T840EBY =&gt; IDLING. At 14.02.2026 11:42:25 it moved with speed 0 km/h near 'T1, Morogoro, Tanzania, Mikese'.</t>
  </si>
  <si>
    <t>T1, Mikese</t>
  </si>
  <si>
    <t>T913EBW =&gt; IDLING. At 14.02.2026 09:17:28 it moved with speed 0 km/h near 'Iringa Road, Morogoro, Tanzania, 3.24 km from Kipera'.</t>
  </si>
  <si>
    <t>Iringa Road, 3.24 km from Kipera</t>
  </si>
  <si>
    <t>T930EBW =&gt; IDLING. At 14.02.2026 11:31:19 it moved with speed 0 km/h near 'T1, Morogoro, Tanzania'.</t>
  </si>
  <si>
    <t>T933EBW =&gt; IDLING. At 14.02.2026 01:24:03 it moved with speed 0 km/h near 'Iringa Road, Morogoro, Kilosa, Tanzania, Tambuka Reli'.</t>
  </si>
  <si>
    <t>Iringa Road, Tambuka Reli</t>
  </si>
  <si>
    <t>T942DSX</t>
  </si>
  <si>
    <t>T942DSX =&gt; IDLING. At 14.02.2026 12:17:19 it moved with speed 0 km/h near 'Rs614, Haut-Katanga, Democratic Republic of the Congo, 3.62 km from Lumba'.</t>
  </si>
  <si>
    <t>Rs614, 3.62 km from Lumba</t>
  </si>
  <si>
    <t>T946EBW =&gt; IDLING. At 14.02.2026 09:23:14 it moved with speed 0 km/h near 'Iringa Road, Morogoro, Tanzania, 3.25 km from Kipera'.</t>
  </si>
  <si>
    <t>Iringa Road, 3.25 km from Kipera</t>
  </si>
  <si>
    <t>T964EBW =&gt; IDLING. At 14.02.2026 07:34:59 it moved with speed 0 km/h near 'Rn39, Kolwezi, Lualaba, Democratic Republic of the Congo'.</t>
  </si>
  <si>
    <t>2026-02-15</t>
  </si>
  <si>
    <t>T183EBX =&gt; IDLING. At 15.02.2026 08:18:25 it moved with speed 0 km/h near 'T1, Njombe, Tanzania, Igawa'.</t>
  </si>
  <si>
    <t>T219EBX</t>
  </si>
  <si>
    <t>T219EBX =&gt; IDLING. At 15.02.2026 10:45:52 it moved with speed 0 km/h near 'Ndola - Kitwe Dual-Carriageway, Copperbelt Province, Zambia, 33.21 km from Ndola'.</t>
  </si>
  <si>
    <t>T233EBX =&gt; IDLING. At 15.02.2026 02:23:06 it moved with speed 0 km/h near 'Rn1, Haut-Katanga, Democratic Republic of the Congo, 1.06 km from Kasumbalesa'.</t>
  </si>
  <si>
    <t>Rn1, 1.06 km from Kasumbalesa</t>
  </si>
  <si>
    <t>T259EBY =&gt; IDLING. At 15.02.2026 15:23:22 it moved with speed 0 km/h near 'Ndola - Kitwe Dual-Carriageway, Copperbelt Province, Zambia, 33.18 km from Ndola'.</t>
  </si>
  <si>
    <t>T266EBX =&gt; IDLING. At 15.02.2026 16:33:27 it moved with speed 0 km/h near 'T1, Mbeya, Tanzania, Kongolo Mkola'.</t>
  </si>
  <si>
    <t>T267EBX</t>
  </si>
  <si>
    <t>T267EBX =&gt; IDLING. At 15.02.2026 09:28:29 it moved with speed 0 km/h near 'Iringa Road, Morogoro, Tanzania, 3.23 km from Kipera'.</t>
  </si>
  <si>
    <t>Iringa Road, 3.23 km from Kipera</t>
  </si>
  <si>
    <t>T272EBX =&gt; IDLING. At 15.02.2026 08:39:57 it moved with speed 0 km/h near 'Tanzania To Zambia Road, Iringa, Mufindi, Tanzania, Ifunda'.</t>
  </si>
  <si>
    <t>Tanzania To Zambia Road, Ifunda</t>
  </si>
  <si>
    <t>T315EBX =&gt; IDLING. At 15.02.2026 10:15:32 it moved with speed 0 km/h near 'Iringa Road, Morogoro, Tanzania, 2.49 km from Mangaye'.</t>
  </si>
  <si>
    <t>Iringa Road, 2.49 km from Mangaye</t>
  </si>
  <si>
    <t>T328EBY =&gt; IDLING. At 15.02.2026 08:01:41 it moved with speed 0 km/h near 'T1, Morogoro, Tanzania, Bwawani'.</t>
  </si>
  <si>
    <t>T333DHG =&gt; IDLING. At 15.02.2026 12:02:18 it moved with speed 0 km/h near 'Great North Road, Muchinga Province, Zambia, Mutumbo'.</t>
  </si>
  <si>
    <t>T335ECN =&gt; IDLING. At 15.02.2026 18:04:45 it moved with speed 0 km/h near 'Tanzam Road, Mbeya, Kalobe, Tanzania, 2.37 km from Mbeya'.</t>
  </si>
  <si>
    <t>T341EBX =&gt; IDLING. At 15.02.2026 12:24:14 it moved with speed 0 km/h near 'T1, Njombe, Tanzania, Igawa'.</t>
  </si>
  <si>
    <t>T350DHG =&gt; IDLING. At 15.02.2026 13:34:11 it moved with speed 0 km/h near 'Ndola - Kitwe Dual-Carriageway, Copperbelt Province, Zambia, 33.24 km from Ndola'.</t>
  </si>
  <si>
    <t>T357DHG</t>
  </si>
  <si>
    <t>T357DHG =&gt; IDLING. At 15.02.2026 11:03:16 it moved with speed 0 km/h near 'Ndola - Kitwe Dual-Carriageway, Copperbelt Province, Zambia, 33.28 km from Ndola'.</t>
  </si>
  <si>
    <t>Ndola - Kitwe Dual-Carriageway, 33.28 km from Ndola</t>
  </si>
  <si>
    <t>T401DHT</t>
  </si>
  <si>
    <t>T401DHT =&gt; IDLING. At 15.02.2026 10:58:03 it moved with speed 0 km/h near 'Ndola - Kitwe Dual-Carriageway, Copperbelt Province, Zambia, 33.22 km from Ndola'.</t>
  </si>
  <si>
    <t>T405DHG =&gt; IDLING. At 15.02.2026 13:58:43 it moved with speed 0 km/h near 'Route De La Mine Deziwa, Lualaba, Democratic Republic of the Congo, 6.07 km from Kisenda'.</t>
  </si>
  <si>
    <t>T416DHG =&gt; IDLING. At 15.02.2026 11:19:48 it moved with speed 0 km/h near 'Rn1, Haut-Katanga, Democratic Republic of the Congo, 1.47 km from Kasumbalesa'.</t>
  </si>
  <si>
    <t>Rn1, 1.47 km from Kasumbalesa</t>
  </si>
  <si>
    <t>T435DHG =&gt; IDLING. At 15.02.2026 02:25:33 it moved with speed 0 km/h near 'Rn1, Haut-Katanga, Democratic Republic of the Congo, Kasumbalesa'.</t>
  </si>
  <si>
    <t>T518DEB</t>
  </si>
  <si>
    <t>T518DEB =&gt; IDLING. At 15.02.2026 11:57:37 it moved with speed 0 km/h near 'Ndola - Kitwe Dual-Carriageway, Copperbelt Province, Zambia, 33.25 km from Ndola'.</t>
  </si>
  <si>
    <t>T521EBY =&gt; IDLING. At 15.02.2026 15:43:52 it moved with speed 0 km/h near 'Rs614, Haut-Katanga, Democratic Republic of the Congo, 4.27 km from Mukumbi'.</t>
  </si>
  <si>
    <t>Rs614, 4.27 km from Mukumbi</t>
  </si>
  <si>
    <t>T524EBY =&gt; IDLING. At 15.02.2026 02:19:22 it moved with speed 0 km/h near 'Rn1, Haut-Katanga, Democratic Republic of the Congo, 1.42 km from Kasumbalesa'.</t>
  </si>
  <si>
    <t>Rn1, 1.42 km from Kasumbalesa</t>
  </si>
  <si>
    <t>T561DYR =&gt; IDLING. At 15.02.2026 00:29:32 it moved with speed 0 km/h near 'Rn1, Haut-Katanga, Democratic Republic of the Congo, 2.25 km from Kasumbalesa'.</t>
  </si>
  <si>
    <t>Rn1, 2.25 km from Kasumbalesa</t>
  </si>
  <si>
    <t>T569DYR =&gt; IDLING. At 15.02.2026 18:04:53 it moved with speed 0 km/h near 'Tanzam Road, Mbeya, Kalobe, Tanzania, 2.31 km from Mbeya'.</t>
  </si>
  <si>
    <t>T572DYR =&gt; IDLING. At 15.02.2026 09:16:22 it moved with speed 0 km/h near 'Iringa Road, Morogoro, Tanzania, Doma'.</t>
  </si>
  <si>
    <t>Iringa Road, Doma</t>
  </si>
  <si>
    <t>T578DTQ</t>
  </si>
  <si>
    <t>T578DTQ =&gt; IDLING. At 15.02.2026 10:58:03 it moved with speed 0 km/h near 'Ndola - Kitwe Dual-Carriageway, Copperbelt Province, Zambia, 33.28 km from Ndola'.</t>
  </si>
  <si>
    <t>T580DTQ =&gt; IDLING. At 15.02.2026 10:23:30 it moved with speed 0 km/h near 'Tanzam Road, Mbeya, Kalobe, Tanzania, 2.37 km from Mbeya'.</t>
  </si>
  <si>
    <t>T581DYR =&gt; IDLING. At 15.02.2026 08:37:26 it moved with speed 0 km/h near 'Route De La Mine Deziwa, Lualaba, Democratic Republic of the Congo, 5.76 km from Kisenda'.</t>
  </si>
  <si>
    <t>T588DTQ =&gt; IDLING. At 15.02.2026 02:23:59 it moved with speed 0 km/h near 'Rn1, Haut-Katanga, Democratic Republic of the Congo, Kasumbalesa'.</t>
  </si>
  <si>
    <t>T600DTQ =&gt; IDLING. At 15.02.2026 11:21:18 it moved with speed 0 km/h near 'Rn1, Haut-Katanga, Democratic Republic of the Congo, 1.45 km from Kasumbalesa'.</t>
  </si>
  <si>
    <t>T663DTQ =&gt; IDLING. At 15.02.2026 14:20:06 it moved with speed 0 km/h near 'Rs614, Haut-Katanga, Democratic Republic of the Congo, 3.64 km from Lumba'.</t>
  </si>
  <si>
    <t>Rs614, 3.64 km from Lumba</t>
  </si>
  <si>
    <t>T696DEB =&gt; IDLING. At 15.02.2026 10:15:57 it moved with speed 0 km/h near 'Iringa Road, Morogoro, Tanzania, 2.50 km from Mangaye'.</t>
  </si>
  <si>
    <t>Iringa Road, 2.50 km from Mangaye</t>
  </si>
  <si>
    <t>T702EBX</t>
  </si>
  <si>
    <t>T702EBX =&gt; IDLING. At 15.02.2026 08:50:08 it moved with speed 0 km/h near 'T1, Mbeya, Tanzania, Kongolo Mkola'.</t>
  </si>
  <si>
    <t>T704DYR =&gt; IDLING. At 15.02.2026 06:52:36 it moved with speed 0 km/h near 'T1, Njombe, Makete, Tanzania, 1.27 km from Kimani'.</t>
  </si>
  <si>
    <t>T1, 1.27 km from Kimani</t>
  </si>
  <si>
    <t>T731DYR</t>
  </si>
  <si>
    <t>T731DYR =&gt; IDLING. At 15.02.2026 09:35:53 it moved with speed 0 km/h near 'Tanzam Road, Mbeya, Kalobe, Tanzania, 2.37 km from Mbeya'.</t>
  </si>
  <si>
    <t>T734EBX =&gt; IDLING. At 15.02.2026 08:31:19 it moved with speed 0 km/h near 'Iringa Road, Lundamatwe, Iringa, Tanzania'.</t>
  </si>
  <si>
    <t>T742EBX =&gt; IDLING. At 15.02.2026 11:10:48 it moved with speed 0 km/h near 'Ndola - Kitwe Dual-Carriageway, Copperbelt Province, Zambia, 33.29 km from Ndola'.</t>
  </si>
  <si>
    <t>T754DEB</t>
  </si>
  <si>
    <t>T754DEB =&gt; IDLING. At 15.02.2026 10:04:27 it moved with speed 0 km/h near 'Great North Road, Muchinga Province, Zambia, Chisoso'.</t>
  </si>
  <si>
    <t>T795DDS =&gt; IDLING. At 15.02.2026 11:05:14 it moved with speed 0 km/h near 'Ndola - Kitwe Dual-Carriageway, Copperbelt Province, Zambia, 33.27 km from Ndola'.</t>
  </si>
  <si>
    <t>T819EBW</t>
  </si>
  <si>
    <t>T819EBW =&gt; IDLING. At 15.02.2026 19:03:26 it moved with speed 0 km/h near 'Tanzam Road, Mbeya, Kalobe, Tanzania, 2.29 km from Mbeya'.</t>
  </si>
  <si>
    <t>Tanzam Road, 2.29 km from Mbeya</t>
  </si>
  <si>
    <t>T842EBY =&gt; IDLING. At 15.02.2026 12:41:45 it moved with speed 0 km/h near 'T1, Morogoro, Tanzania, Bwawani'.</t>
  </si>
  <si>
    <t>T849EBY =&gt; IDLING. At 15.02.2026 11:21:58 it moved with speed 0 km/h near 'Ndola - Kitwe Dual-Carriageway, Copperbelt Province, Zambia, 33.30 km from Ndola'.</t>
  </si>
  <si>
    <t>Ndola - Kitwe Dual-Carriageway, 33.30 km from Ndola</t>
  </si>
  <si>
    <t>T864EBY =&gt; IDLING. At 15.02.2026 15:26:02 it moved with speed 0 km/h near 'Ndola - Kitwe Dual-Carriageway, Copperbelt Province, Zambia, 33.32 km from Ndola'.</t>
  </si>
  <si>
    <t>Ndola - Kitwe Dual-Carriageway, 33.32 km from Ndola</t>
  </si>
  <si>
    <t>T871EBW =&gt; IDLING. At 15.02.2026 11:24:43 it moved with speed 0 km/h near 'T1, Pwani, Bagamoyo, Tanzania, 3.23 km from Vigwaza'.</t>
  </si>
  <si>
    <t>T1, 3.23 km from Vigwaza</t>
  </si>
  <si>
    <t>T899EBW</t>
  </si>
  <si>
    <t>T899EBW =&gt; IDLING. At 15.02.2026 08:24:40 it moved with speed 0 km/h near 'Iringa Road, Iringa, Tanzania, Ruaha Mbuyumi'.</t>
  </si>
  <si>
    <t>T956DSX =&gt; IDLING. At 15.02.2026 11:41:06 it moved with speed 0 km/h near 'Route De La Mine Deziwa, Lualaba, Democratic Republic of the Congo, 5.76 km from Kisenda'.</t>
  </si>
  <si>
    <t>T996EBW =&gt; IDLING. At 15.02.2026 14:08:03 it moved with speed 0 km/h near 'Great North Road, Muchinga Province, Zambia, 5.30 km from Mwezo'.</t>
  </si>
  <si>
    <t>Great North Road, 5.30 km from Mwezo</t>
  </si>
  <si>
    <t>T180EBX</t>
  </si>
  <si>
    <t>2026-02-16</t>
  </si>
  <si>
    <t>T180EBX =&gt; IDLING. At 16.02.2026 08:01:49 it moved with speed 0 km/h near 'Great North Road, Central Province, Zambia, 10.29 km from Tanemeka'.</t>
  </si>
  <si>
    <t>Great North Road, 10.29 km from Tanemeka</t>
  </si>
  <si>
    <t>T182EBX</t>
  </si>
  <si>
    <t>T182EBX =&gt; IDLING. At 16.02.2026 08:04:18 it moved with speed 0 km/h near 'Great North Road, Central Province, Zambia, 10.36 km from Tanemeka'.</t>
  </si>
  <si>
    <t>Great North Road, 10.36 km from Tanemeka</t>
  </si>
  <si>
    <t>T233EBX =&gt; IDLING. At 16.02.2026 08:47:43 it moved with speed 0 km/h near 'M3, Luapula Province, Zambia, 5.61 km from Mansa'.</t>
  </si>
  <si>
    <t>M3, 5.61 km from Mansa</t>
  </si>
  <si>
    <t>T267DDJ =&gt; IDLING. At 16.02.2026 10:36:25 it moved with speed 0 km/h near 'Rn39, Lualaba, Democratic Republic of the Congo, 5.96 km from Kazembe'.</t>
  </si>
  <si>
    <t>Rn39, 5.96 km from Kazembe</t>
  </si>
  <si>
    <t>T299DCT</t>
  </si>
  <si>
    <t>T299DCT =&gt; IDLING. At 16.02.2026 08:03:59 it moved with speed 0 km/h near 'Great North Road, Central Province, Zambia, 10.41 km from Tanemeka'.</t>
  </si>
  <si>
    <t>Great North Road, 10.41 km from Tanemeka</t>
  </si>
  <si>
    <t>T308EBX</t>
  </si>
  <si>
    <t>T308EBX =&gt; IDLING. At 16.02.2026 11:39:13 it moved with speed 0 km/h near 'T1, Njombe, Tanzania, 1.62 km from Nyololo'.</t>
  </si>
  <si>
    <t>T1, 1.62 km from Nyololo</t>
  </si>
  <si>
    <t>T325EBX</t>
  </si>
  <si>
    <t>T325EBX =&gt; IDLING. At 16.02.2026 10:59:31 it moved with speed 0 km/h near 'Iringa Road, Morogoro, Tanzania, Doma'.</t>
  </si>
  <si>
    <t>T329ECN</t>
  </si>
  <si>
    <t>T329ECN =&gt; IDLING. At 16.02.2026 14:26:05 it moved with speed 0 km/h near 'Iringa Road, Morogoro, Kilosa, Tanzania, Kikwaraza'.</t>
  </si>
  <si>
    <t>T331DHG =&gt; IDLING. At 16.02.2026 10:15:05 it moved with speed 0 km/h near 'M3, Luapula Province, Zambia, 2.72 km from Chembe'.</t>
  </si>
  <si>
    <t>M3, 2.72 km from Chembe</t>
  </si>
  <si>
    <t>T332EBX</t>
  </si>
  <si>
    <t>T332EBX =&gt; IDLING. At 16.02.2026 11:24:14 it moved with speed 0 km/h near 'T3, Copperbelt Province, Zambia, 7.00 km from Konkola'.</t>
  </si>
  <si>
    <t>T3, 7.00 km from Konkola</t>
  </si>
  <si>
    <t>T339EBX</t>
  </si>
  <si>
    <t>T339EBX =&gt; IDLING. At 16.02.2026 08:03:13 it moved with speed 0 km/h near 'Great North Road, Central Province, Zambia, 10.38 km from Tanemeka'.</t>
  </si>
  <si>
    <t>Great North Road, 10.38 km from Tanemeka</t>
  </si>
  <si>
    <t>T405DHG =&gt; IDLING. At 16.02.2026 10:44:16 it moved with speed 0 km/h near 'Rn39, Lualaba, Democratic Republic of the Congo, 4.91 km from Kazembe'.</t>
  </si>
  <si>
    <t>Rn39, 4.91 km from Kazembe</t>
  </si>
  <si>
    <t>T414DHG</t>
  </si>
  <si>
    <t>T414DHG =&gt; IDLING. At 16.02.2026 11:19:13 it moved with speed 0 km/h near 'Great North Road, Muchinga Province, Zambia, 5.28 km from Two Leopards'.</t>
  </si>
  <si>
    <t>Great North Road, 5.28 km from Two Leopards</t>
  </si>
  <si>
    <t>T415DHE</t>
  </si>
  <si>
    <t>T415DHE =&gt; IDLING. At 16.02.2026 12:33:14 it moved with speed 0 km/h near 'Rn1, Haut-Katanga, Democratic Republic of the Congo, 1.86 km from Kasumbalesa'.</t>
  </si>
  <si>
    <t>T416DCT =&gt; IDLING. At 16.02.2026 10:14:11 it moved with speed 0 km/h near 'M3, Luapula Province, Zambia, 2.77 km from Chembe'.</t>
  </si>
  <si>
    <t>M3, 2.77 km from Chembe</t>
  </si>
  <si>
    <t>T439DHG =&gt; IDLING. At 16.02.2026 18:04:02 it moved with speed 0 km/h near 'Rn1, Haut-Katanga, Democratic Republic of the Congo, 1.54 km from Kasumbalesa'.</t>
  </si>
  <si>
    <t>Rn1, 1.54 km from Kasumbalesa</t>
  </si>
  <si>
    <t>T494DYR =&gt; IDLING. At 16.02.2026 13:43:36 it moved with speed 0 km/h near 'Ndola - Kitwe Dual-Carriageway, Copperbelt Province, Zambia, 33.18 km from Ndola'.</t>
  </si>
  <si>
    <t>T510EBY =&gt; IDLING. At 16.02.2026 00:45:57 it moved with speed 0 km/h near 'Tanzam Road, Mbeya, Kalobe, Tanzania, 2.37 km from Mbeya'.</t>
  </si>
  <si>
    <t>T512DTR =&gt; IDLING. At 16.02.2026 13:43:33 it moved with speed 0 km/h near 'Ndola - Kitwe Dual-Carriageway, Copperbelt Province, Zambia, 33.18 km from Ndola'.</t>
  </si>
  <si>
    <t>T512EBY =&gt; IDLING. At 16.02.2026 10:15:57 it moved with speed 0 km/h near 'M3, Luapula Province, Zambia, 2.79 km from Chembe'.</t>
  </si>
  <si>
    <t>M3, 2.79 km from Chembe</t>
  </si>
  <si>
    <t>T520EBY</t>
  </si>
  <si>
    <t>T520EBY =&gt; IDLING. At 16.02.2026 08:19:05 it moved with speed 0 km/h near 'Ndola - Kitwe Dual-Carriageway, Copperbelt Province, Zambia, 33.09 km from Ndola'.</t>
  </si>
  <si>
    <t>Ndola - Kitwe Dual-Carriageway, 33.09 km from Ndola</t>
  </si>
  <si>
    <t>T564DEB</t>
  </si>
  <si>
    <t>T564DEB =&gt; IDLING. At 16.02.2026 11:29:25 it moved with speed 0 km/h near 'Great North Road, Central Province, Zambia, Serenje'.</t>
  </si>
  <si>
    <t>T576DYR =&gt; IDLING. At 16.02.2026 14:59:12 it moved with speed 0 km/h near 'Route De La Mine Deziwa, Lualaba, Democratic Republic of the Congo, 5.76 km from Kisenda'.</t>
  </si>
  <si>
    <t>T581DYR =&gt; IDLING. At 16.02.2026 10:39:47 it moved with speed 0 km/h near 'Rn39, Lualaba, Democratic Republic of the Congo, 4.89 km from Kazembe'.</t>
  </si>
  <si>
    <t>Rn39, 4.89 km from Kazembe</t>
  </si>
  <si>
    <t>T583DTQ</t>
  </si>
  <si>
    <t>T583DTQ =&gt; IDLING. At 16.02.2026 16:38:56 it moved with speed 0 km/h near 'Ndola - Kitwe Dual-Carriageway, Copperbelt Province, Zambia, 33.19 km from Ndola'.</t>
  </si>
  <si>
    <t>T586DYR =&gt; IDLING. At 16.02.2026 08:57:37 it moved with speed 0 km/h near 'Morogoro Main Road, Pwani, Kibaha, Tanzania, Ugindoni'.</t>
  </si>
  <si>
    <t>Morogoro Main Road, Ugindoni</t>
  </si>
  <si>
    <t>T588DYR =&gt; IDLING. At 16.02.2026 10:12:29 it moved with speed 0 km/h near 'Route De Likasi, Lubumbashi, Haut-Katanga, Democratic Republic of the Congo'.</t>
  </si>
  <si>
    <t>T596DTQ =&gt; IDLING. At 16.02.2026 10:14:32 it moved with speed 0 km/h near 'M3, Luapula Province, Zambia, 2.75 km from Chembe'.</t>
  </si>
  <si>
    <t>M3, 2.75 km from Chembe</t>
  </si>
  <si>
    <t>T645DHL =&gt; IDLING. At 16.02.2026 10:37:34 it moved with speed 0 km/h near 'Rn39, Lualaba, Democratic Republic of the Congo, 5.94 km from Kazembe'.</t>
  </si>
  <si>
    <t>Rn39, 5.94 km from Kazembe</t>
  </si>
  <si>
    <t>T661DTQ =&gt; IDLING. At 16.02.2026 17:59:11 it moved with speed 0 km/h near 'Rn1, Haut-Katanga, Democratic Republic of the Congo, 5.28 km from Sumbilili'.</t>
  </si>
  <si>
    <t>Rn1, 5.28 km from Sumbilili</t>
  </si>
  <si>
    <t>T689DEB =&gt; IDLING. At 16.02.2026 18:12:52 it moved with speed 0 km/h near 'Rn1, Haut-Katanga, Democratic Republic of the Congo, 5.30 km from Sumbilili'.</t>
  </si>
  <si>
    <t>Rn1, 5.30 km from Sumbilili</t>
  </si>
  <si>
    <t>T709EBX</t>
  </si>
  <si>
    <t>T709EBX =&gt; IDLING. At 16.02.2026 08:03:38 it moved with speed 0 km/h near 'Great North Road, Central Province, Zambia, 10.36 km from Tanemeka'.</t>
  </si>
  <si>
    <t>T728EBX =&gt; IDLING. At 16.02.2026 16:22:02 it moved with speed 0 km/h near 'Mufulira Road, Ndola, Copperbelt Province, Zambia'.</t>
  </si>
  <si>
    <t>T746DEB =&gt; IDLING. At 16.02.2026 10:15:08 it moved with speed 0 km/h near 'M3, Luapula Province, Zambia, 2.78 km from Chembe'.</t>
  </si>
  <si>
    <t>M3, 2.78 km from Chembe</t>
  </si>
  <si>
    <t>T754EBX</t>
  </si>
  <si>
    <t>T754EBX =&gt; IDLING. At 16.02.2026 08:04:40 it moved with speed 0 km/h near 'Great North Road, Central Province, Zambia, 10.43 km from Tanemeka'.</t>
  </si>
  <si>
    <t>Great North Road, 10.43 km from Tanemeka</t>
  </si>
  <si>
    <t>T774DYR =&gt; IDLING. At 16.02.2026 17:48:43 it moved with speed 0 km/h near 'Rn1, Haut-Katanga, Democratic Republic of the Congo, 5.29 km from Sumbilili'.</t>
  </si>
  <si>
    <t>Rn1, 5.29 km from Sumbilili</t>
  </si>
  <si>
    <t>T774EBW =&gt; IDLING. At 16.02.2026 08:23:42 it moved with speed 0 km/h near 'Tanzam Road, Mbeya, Ilomba, Tanzania, Soweto Street - Mbeya'.</t>
  </si>
  <si>
    <t>Tanzam Road, Soweto Street - Mbeya</t>
  </si>
  <si>
    <t>T797EBW</t>
  </si>
  <si>
    <t>T797EBW =&gt; IDLING. At 16.02.2026 08:22:29 it moved with speed 0 km/h near 'Ndola - Kitwe Dual-Carriageway, Copperbelt Province, Zambia, 33.19 km from Ndola'.</t>
  </si>
  <si>
    <t>T802DYR</t>
  </si>
  <si>
    <t>T802DYR =&gt; IDLING. At 16.02.2026 12:51:30 it moved with speed 0 km/h near 'Rn1, Haut-Katanga, Democratic Republic of the Congo, 1.73 km from Kasumbalesa'.</t>
  </si>
  <si>
    <t>Rn1, 1.73 km from Kasumbalesa</t>
  </si>
  <si>
    <t>T835EBY =&gt; IDLING. At 16.02.2026 09:17:09 it moved with speed 0 km/h near 'Tanzania To Zambia Road, Iringa, Mufindi, Tanzania, 1.78 km from Ifunda'.</t>
  </si>
  <si>
    <t>Tanzania To Zambia Road, 1.78 km from Ifunda</t>
  </si>
  <si>
    <t>T878EBY</t>
  </si>
  <si>
    <t>T878EBY =&gt; IDLING. At 16.02.2026 08:06:20 it moved with speed 0 km/h near 'Great North Road, Central Province, Zambia, 10.42 km from Tanemeka'.</t>
  </si>
  <si>
    <t>Great North Road, 10.42 km from Tanemeka</t>
  </si>
  <si>
    <t>T882EBW</t>
  </si>
  <si>
    <t>T882EBW =&gt; IDLING. At 16.02.2026 08:23:04 it moved with speed 0 km/h near 'Ndola - Kitwe Dual-Carriageway, Copperbelt Province, Zambia, 33.24 km from Ndola'.</t>
  </si>
  <si>
    <t>T965EBW</t>
  </si>
  <si>
    <t>T965EBW =&gt; IDLING. At 16.02.2026 09:15:04 it moved with speed 0 km/h near 'Tanzania To Zambia Road, Iringa, Mufindi, Tanzania, 1.80 km from Ifunda'.</t>
  </si>
  <si>
    <t>Tanzania To Zambia Road, 1.80 km from Ifunda</t>
  </si>
  <si>
    <t>T990EBW</t>
  </si>
  <si>
    <t>T990EBW =&gt; IDLING. At 16.02.2026 10:49:48 it moved with speed 0 km/h near 'Great North Road, Muchinga Province, Zambia, 12.67 km from Sebuloni'.</t>
  </si>
  <si>
    <t>Great North Road, 12.67 km from Sebuloni</t>
  </si>
  <si>
    <t>2026-02-17</t>
  </si>
  <si>
    <t>T261EBX =&gt; IDLING. At 17.02.2026 06:47:27 it moved with speed 0 km/h near 'T1, Morogoro, Tanzania, Bwawani'.</t>
  </si>
  <si>
    <t>T263DDJ =&gt; IDLING. At 17.02.2026 19:08:13 it moved with speed 0 km/h near 'Rn1, Haut-Katanga, Democratic Republic of the Congo, Kasumbalesa'.</t>
  </si>
  <si>
    <t>T326ECN</t>
  </si>
  <si>
    <t>T326ECN =&gt; IDLING. At 17.02.2026 07:04:31 it moved with speed 0 km/h near 'Iringa Road, Morogoro, Kilosa, Tanzania, 13.45 km from Igagala'.</t>
  </si>
  <si>
    <t>Iringa Road, 13.45 km from Igagala</t>
  </si>
  <si>
    <t>T331EBX =&gt; IDLING. At 17.02.2026 07:38:55 it moved with speed 0 km/h near 'Great North Road, Central Province, Zambia, Serenje'.</t>
  </si>
  <si>
    <t>T336DHG</t>
  </si>
  <si>
    <t>T336DHG =&gt; IDLING. At 17.02.2026 08:32:55 it moved with speed 0 km/h near 'Ndola - Kitwe Dual-Carriageway, Copperbelt Province, Zambia, 33.19 km from Ndola'.</t>
  </si>
  <si>
    <t>T337EBX</t>
  </si>
  <si>
    <t>T337EBX =&gt; IDLING. At 17.02.2026 10:27:33 it moved with speed 0 km/h near 'Iringa Road, Lundamatwe, Iringa, Tanzania'.</t>
  </si>
  <si>
    <t>T340EBX</t>
  </si>
  <si>
    <t>T340EBX =&gt; IDLING. At 17.02.2026 09:50:13 it moved with speed 0 km/h near 'Rn1, Haut-Katanga, Democratic Republic of the Congo, 1.79 km from Sumbilili'.</t>
  </si>
  <si>
    <t>Rn1, 1.79 km from Sumbilili</t>
  </si>
  <si>
    <t>T360DHG</t>
  </si>
  <si>
    <t>T360DHG =&gt; IDLING. At 17.02.2026 10:37:13 it moved with speed 0 km/h near 'Rn39, Kolwezi, Lualaba, Democratic Republic of the Congo'.</t>
  </si>
  <si>
    <t>T379ECN =&gt; IDLING. At 17.02.2026 10:26:39 it moved with speed 0 km/h near 'Morogoro Main Road, Pwani, Kibaha, Tanzania, Kongowe'.</t>
  </si>
  <si>
    <t>Morogoro Main Road, Kongowe</t>
  </si>
  <si>
    <t>T389ECN</t>
  </si>
  <si>
    <t>T389ECN =&gt; IDLING. At 17.02.2026 09:43:35 it moved with speed 0 km/h near 'Iringa Road, Morogoro, Tanzania, Kitu'.</t>
  </si>
  <si>
    <t>Iringa Road, Kitu</t>
  </si>
  <si>
    <t>T413DHG =&gt; IDLING. At 17.02.2026 10:01:07 it moved with speed 0 km/h near 'Route De La Mine Deziwa, Lualaba, Democratic Republic of the Congo, 6.05 km from Kisenda'.</t>
  </si>
  <si>
    <t>Route De La Mine Deziwa, 6.05 km from Kisenda</t>
  </si>
  <si>
    <t>T424DHG =&gt; IDLING. At 17.02.2026 07:47:38 it moved with speed 0 km/h near 'Regional Hospital Road, Mbeya, Nzovwe, Tanzania, 2.46 km from Mbeya'.</t>
  </si>
  <si>
    <t>Regional Hospital Road, 2.46 km from Mbeya</t>
  </si>
  <si>
    <t>T431DHG =&gt; IDLING. At 17.02.2026 09:43:21 it moved with speed 0 km/h near 'Route De La Mine Deziwa, Lualaba, Democratic Republic of the Congo, 5.76 km from Kisenda'.</t>
  </si>
  <si>
    <t>T434DHG</t>
  </si>
  <si>
    <t>T434DHG =&gt; IDLING. At 17.02.2026 11:05:07 it moved with speed 0 km/h near 'Rn1, Haut-Katanga, Democratic Republic of the Congo, Sumbilili'.</t>
  </si>
  <si>
    <t>Rn1, Sumbilili</t>
  </si>
  <si>
    <t>T438DHG =&gt; IDLING. At 17.02.2026 07:09:37 it moved with speed 0 km/h near 'M3, Luapula Province, Zambia, 2.72 km from Chembe'.</t>
  </si>
  <si>
    <t>T494DYR =&gt; IDLING. At 17.02.2026 19:06:58 it moved with speed 0 km/h near 'Rn1, Haut-Katanga, Democratic Republic of the Congo, Kasumbalesa'.</t>
  </si>
  <si>
    <t>T512DTR =&gt; IDLING. At 17.02.2026 09:54:41 it moved with speed 0 km/h near 'T3, Copperbelt Province, Zambia, 7.01 km from Konkola'.</t>
  </si>
  <si>
    <t>T514DTR =&gt; IDLING. At 17.02.2026 08:17:29 it moved with speed 0 km/h near 'T1, Mbeya, Tanzania, 4.02 km from Makwenje'.</t>
  </si>
  <si>
    <t>T1, 4.02 km from Makwenje</t>
  </si>
  <si>
    <t>T525EBY</t>
  </si>
  <si>
    <t>T525EBY =&gt; IDLING. At 17.02.2026 08:42:45 it moved with speed 0 km/h near 'Dar - Mbeya Highway, Iringa, Tanzania, Ndiuka'.</t>
  </si>
  <si>
    <t>Dar - Mbeya Highway, Ndiuka</t>
  </si>
  <si>
    <t>T561DYR =&gt; IDLING. At 17.02.2026 10:10:43 it moved with speed 0 km/h near 'Regional Hospital Road, Mbeya, Nzovwe, Tanzania, 2.42 km from Mbeya'.</t>
  </si>
  <si>
    <t>T583DTQ =&gt; IDLING. At 17.02.2026 07:01:55 it moved with speed 0 km/h near 'M7, Copperbelt Province, Zambia, 4.52 km from Kitwe'.</t>
  </si>
  <si>
    <t>M7, 4.52 km from Kitwe</t>
  </si>
  <si>
    <t>T585DTQ =&gt; IDLING. At 17.02.2026 11:06:17 it moved with speed 0 km/h near 'Rn1, Haut-Katanga, Democratic Republic of the Congo, Sumbilili'.</t>
  </si>
  <si>
    <t>T589DTQ =&gt; IDLING. At 17.02.2026 09:45:51 it moved with speed 0 km/h near 'Route De La Mine Deziwa, Lualaba, Democratic Republic of the Congo, 5.75 km from Kisenda'.</t>
  </si>
  <si>
    <t>T661DTQ =&gt; IDLING. At 17.02.2026 01:57:10 it moved with speed 0 km/h near 'Rn1, Haut-Katanga, Democratic Republic of the Congo, 5.02 km from Sumbilili'.</t>
  </si>
  <si>
    <t>Rn1, 5.02 km from Sumbilili</t>
  </si>
  <si>
    <t>T704EBX =&gt; IDLING. At 17.02.2026 09:12:30 it moved with speed 0 km/h near 'T1, Morogoro, Tanzania, Mdaula'.</t>
  </si>
  <si>
    <t>T713DYR</t>
  </si>
  <si>
    <t>T713DYR =&gt; IDLING. At 17.02.2026 09:55:50 it moved with speed 0 km/h near 'T2, Tanga, Handeni, Tanzania, Michunguani'.</t>
  </si>
  <si>
    <t>T2, Michunguani</t>
  </si>
  <si>
    <t>T728DYR =&gt; IDLING. At 17.02.2026 15:54:06 it moved with speed 0 km/h near 'Ndola - Kitwe Dual-Carriageway, Copperbelt Province, Zambia, 33.23 km from Ndola'.</t>
  </si>
  <si>
    <t>T737DEB =&gt; IDLING. At 17.02.2026 08:34:45 it moved with speed 0 km/h near 'Ndola - Kitwe Dual-Carriageway, Copperbelt Province, Zambia, 33.19 km from Ndola'.</t>
  </si>
  <si>
    <t>T764DYR =&gt; IDLING. At 17.02.2026 09:49:35 it moved with speed 0 km/h near 'Rn1, Haut-Katanga, Democratic Republic of the Congo, 1.81 km from Sumbilili'.</t>
  </si>
  <si>
    <t>Rn1, 1.81 km from Sumbilili</t>
  </si>
  <si>
    <t>T768DYR =&gt; IDLING. At 17.02.2026 09:59:37 it moved with speed 0 km/h near 'Rn1, Haut-Katanga, Democratic Republic of the Congo, 1.55 km from Sumbilili'.</t>
  </si>
  <si>
    <t>Rn1, 1.55 km from Sumbilili</t>
  </si>
  <si>
    <t>T776EBW</t>
  </si>
  <si>
    <t>T776EBW =&gt; IDLING. At 17.02.2026 09:38:38 it moved with speed 0 km/h near 'Iringa Road, Morogoro, Tanzania, Kitu'.</t>
  </si>
  <si>
    <t>T793DYR =&gt; IDLING. At 17.02.2026 11:00:59 it moved with speed 0 km/h near 'Rn1, Haut-Katanga, Democratic Republic of the Congo, Sumbilili'.</t>
  </si>
  <si>
    <t>T797DYR =&gt; IDLING. At 17.02.2026 09:41:43 it moved with speed 0 km/h near 'Route De La Mine Deziwa, Lualaba, Democratic Republic of the Congo, 5.75 km from Kisenda'.</t>
  </si>
  <si>
    <t>T799EBW</t>
  </si>
  <si>
    <t>T799EBW =&gt; IDLING. At 17.02.2026 09:42:03 it moved with speed 0 km/h near 'T1, Mbeya, Tanzania, Ilolo'.</t>
  </si>
  <si>
    <t>T818EBW</t>
  </si>
  <si>
    <t>T818EBW =&gt; IDLING. At 17.02.2026 09:41:47 it moved with speed 0 km/h near 'Iringa Road, Iringa, Tanzania, Masukanzi'.</t>
  </si>
  <si>
    <t>Iringa Road, Masukanzi</t>
  </si>
  <si>
    <t>T850EBY =&gt; IDLING. At 17.02.2026 07:20:36 it moved with speed 0 km/h near 'T1, Pwani, Bagamoyo, Tanzania, 3.62 km from Vigwaza'.</t>
  </si>
  <si>
    <t>T1, 3.62 km from Vigwaza</t>
  </si>
  <si>
    <t>T856EBY</t>
  </si>
  <si>
    <t>T856EBY =&gt; IDLING. At 17.02.2026 14:19:47 it moved with speed 0 km/h near 'T1, Mbeya, Tanzania, Makwenje'.</t>
  </si>
  <si>
    <t>T868EBW =&gt; IDLING. At 17.02.2026 13:12:12 it moved with speed 0 km/h near 'T1, Morogoro, Tanzania, Mdaula'.</t>
  </si>
  <si>
    <t>T871EBW =&gt; IDLING. At 17.02.2026 16:33:29 it moved with speed 0 km/h near 'Tanzam Road, Mbeya, Kalobe, Tanzania, 2.33 km from Mbeya'.</t>
  </si>
  <si>
    <t>T877EBY</t>
  </si>
  <si>
    <t>T877EBY =&gt; IDLING. At 17.02.2026 11:03:30 it moved with speed 0 km/h near 'T1, Mbeya, Tanzania, Kongolo Mkola'.</t>
  </si>
  <si>
    <t>T882EBW =&gt; IDLING. At 17.02.2026 15:45:47 it moved with speed 0 km/h near 'Great North Road, Muchinga Province, Zambia, Mutumbo'.</t>
  </si>
  <si>
    <t>T892EBW =&gt; IDLING. At 17.02.2026 07:20:59 it moved with speed 0 km/h near 'T1, Morogoro, Tanzania, Bwawani'.</t>
  </si>
  <si>
    <t>T953DSX =&gt; IDLING. At 17.02.2026 11:42:42 it moved with speed 0 km/h near 'Tanzam Road, Mbeya, Kalobe, Tanzania, 2.39 km from Mbeya'.</t>
  </si>
  <si>
    <t>T954DSX =&gt; IDLING. At 17.02.2026 10:58:31 it moved with speed 0 km/h near 'Rn1, Haut-Katanga, Democratic Republic of the Congo, Sumbilili'.</t>
  </si>
  <si>
    <t>T956DSX =&gt; IDLING. At 17.02.2026 10:03:10 it moved with speed 0 km/h near 'Rn1, Haut-Katanga, Democratic Republic of the Congo, 1.49 km from Sumbilili'.</t>
  </si>
  <si>
    <t>Rn1, 1.49 km from Sumbilili</t>
  </si>
  <si>
    <t>T996EBW =&gt; IDLING. At 17.02.2026 19:08:03 it moved with speed 0 km/h near 'Great North Road, Muchinga Province, Zambia, 5.28 km from Mwezo'.</t>
  </si>
  <si>
    <t>Great North Road, 5.28 km from Mwezo</t>
  </si>
  <si>
    <t>2026-02-18</t>
  </si>
  <si>
    <t>T105EBX =&gt; IDLING. At 18.02.2026 10:39:03 it moved with speed 0 km/h near 'Dar - Mbeya Highway, Iringa, Tanzania, Ndiuka'.</t>
  </si>
  <si>
    <t>T144EBX =&gt; IDLING. At 18.02.2026 11:53:15 it moved with speed 0 km/h near 'Ndola - Kitwe Dual-Carriageway, Copperbelt Province, Zambia, 33.20 km from Ndola'.</t>
  </si>
  <si>
    <t>T147EBX =&gt; IDLING. At 18.02.2026 08:48:52 it moved with speed 0 km/h near 'Iringa Road, Morogoro, Kilosa, Tanzania, Kikwaraza'.</t>
  </si>
  <si>
    <t>T250EBX =&gt; IDLING. At 18.02.2026 07:59:49 it moved with speed 0 km/h near 'Iringa Road, Iringa, Tanzania, 4.25 km from Comfort'.</t>
  </si>
  <si>
    <t>Iringa Road, 4.25 km from Comfort</t>
  </si>
  <si>
    <t>T266EBX =&gt; IDLING. At 18.02.2026 08:19:32 it moved with speed 0 km/h near 'Iringa Road, Lundamatwe, Iringa, Tanzania'.</t>
  </si>
  <si>
    <t>T318EBY =&gt; IDLING. At 18.02.2026 09:20:17 it moved with speed 0 km/h near 'Rn1, Haut-Katanga, Democratic Republic of the Congo, 28.13 km from Lubumbashi'.</t>
  </si>
  <si>
    <t>Rn1, 28.13 km from Lubumbashi</t>
  </si>
  <si>
    <t>T337EBX =&gt; IDLING. At 18.02.2026 10:54:17 it moved with speed 0 km/h near 'Tanzam Road, Mbeya, Kalobe, Tanzania, 2.26 km from Mbeya'.</t>
  </si>
  <si>
    <t>Tanzam Road, 2.26 km from Mbeya</t>
  </si>
  <si>
    <t>T340EBX =&gt; IDLING. At 18.02.2026 09:20:01 it moved with speed 0 km/h near 'Rn36, Haut-Katanga, Democratic Republic of the Congo, Malashio'.</t>
  </si>
  <si>
    <t>T380ECN</t>
  </si>
  <si>
    <t>T380ECN =&gt; IDLING. At 18.02.2026 10:08:10 it moved with speed 0 km/h near 'Dar Es Salaam Road, Morogoro, Tanzania'.</t>
  </si>
  <si>
    <t>T385ECN</t>
  </si>
  <si>
    <t>T385ECN =&gt; IDLING. At 18.02.2026 07:46:06 it moved with speed 0 km/h near 'T1, Pwani, Bagamoyo, Tanzania, 3.36 km from Vigwaza'.</t>
  </si>
  <si>
    <t>T1, 3.36 km from Vigwaza</t>
  </si>
  <si>
    <t>T386ECN</t>
  </si>
  <si>
    <t>T386ECN =&gt; IDLING. At 18.02.2026 08:40:56 it moved with speed 0 km/h near 'Iringa Road, Morogoro, Kilosa, Tanzania, Kikwaraza'.</t>
  </si>
  <si>
    <t>T387ECN</t>
  </si>
  <si>
    <t>T387ECN =&gt; IDLING. At 18.02.2026 09:37:02 it moved with speed 0 km/h near 'T1, Njombe, Tanzania, Igawa'.</t>
  </si>
  <si>
    <t>T388ECN =&gt; IDLING. At 18.02.2026 09:10:51 it moved with speed 0 km/h near 'Rn1, Haut-Katanga, Democratic Republic of the Congo, 27.84 km from Lubumbashi'.</t>
  </si>
  <si>
    <t>Rn1, 27.84 km from Lubumbashi</t>
  </si>
  <si>
    <t>T434DHG =&gt; IDLING. At 18.02.2026 11:00:43 it moved with speed 0 km/h near 'M3, Luapula Province, Zambia, 2.92 km from Chembe'.</t>
  </si>
  <si>
    <t>M3, 2.92 km from Chembe</t>
  </si>
  <si>
    <t>T491DYR =&gt; IDLING. At 18.02.2026 07:32:28 it moved with speed 0 km/h near 'Regional Hospital Road, Mbeya, Nzovwe, Tanzania, 2.42 km from Mbeya'.</t>
  </si>
  <si>
    <t>T494DYR =&gt; IDLING. At 18.02.2026 12:14:13 it moved with speed 0 km/h near 'Rn1, Haut-Katanga, Democratic Republic of the Congo, 1.48 km from Kasumbalesa'.</t>
  </si>
  <si>
    <t>Rn1, 1.48 km from Kasumbalesa</t>
  </si>
  <si>
    <t>T509EBY =&gt; IDLING. At 18.02.2026 10:33:13 it moved with speed 0 km/h near 'Dar - Mbeya Highway, Iringa, Tanzania, Ndiuka'.</t>
  </si>
  <si>
    <t>T511EBY =&gt; IDLING. At 18.02.2026 08:27:48 it moved with speed 0 km/h near 'Route De La Mine Deziwa, Lualaba, Democratic Republic of the Congo, 5.76 km from Kisenda'.</t>
  </si>
  <si>
    <t>T512DTR =&gt; IDLING. At 18.02.2026 07:12:45 it moved with speed 0 km/h near 'Rn1, Haut-Katanga, Democratic Republic of the Congo, 1.28 km from Kasumbalesa'.</t>
  </si>
  <si>
    <t>Rn1, 1.28 km from Kasumbalesa</t>
  </si>
  <si>
    <t>T585DTQ =&gt; IDLING. At 18.02.2026 09:52:08 it moved with speed 0 km/h near 'Rn36, Haut-Katanga, Democratic Republic of the Congo, Malashio'.</t>
  </si>
  <si>
    <t>T586DTQ</t>
  </si>
  <si>
    <t>T586DTQ =&gt; IDLING. At 18.02.2026 12:02:38 it moved with speed 0 km/h near 'Rn1, Haut-Katanga, Democratic Republic of the Congo, 1.47 km from Kasumbalesa'.</t>
  </si>
  <si>
    <t>T586DYR =&gt; IDLING. At 18.02.2026 07:44:39 it moved with speed 0 km/h near 'T1, Mbeya, Uyole, Tanzania, 2.19 km from Itewe'.</t>
  </si>
  <si>
    <t>T1, 2.19 km from Itewe</t>
  </si>
  <si>
    <t>T590DTQ</t>
  </si>
  <si>
    <t>T590DTQ =&gt; IDLING. At 18.02.2026 12:12:03 it moved with speed 0 km/h near 'Rn1, Haut-Katanga, Democratic Republic of the Congo, 1.51 km from Kasumbalesa'.</t>
  </si>
  <si>
    <t>Rn1, 1.51 km from Kasumbalesa</t>
  </si>
  <si>
    <t>T660DTQ =&gt; IDLING. At 18.02.2026 09:30:46 it moved with speed 0 km/h near 'Rn36, Haut-Katanga, Democratic Republic of the Congo, Malashio'.</t>
  </si>
  <si>
    <t>T704EBX =&gt; IDLING. At 18.02.2026 10:37:32 it moved with speed 0 km/h near 'Dar - Mbeya Highway, Iringa, Tanzania, Ndiuka'.</t>
  </si>
  <si>
    <t>T717DEB =&gt; IDLING. At 18.02.2026 11:28:56 it moved with speed 0 km/h near 'Ndola - Kitwe Dual-Carriageway, Copperbelt Province, Zambia, 33.21 km from Ndola'.</t>
  </si>
  <si>
    <t>T727DYR =&gt; IDLING. At 18.02.2026 09:29:09 it moved with speed 0 km/h near 'Rn36, Haut-Katanga, Democratic Republic of the Congo, Malashio'.</t>
  </si>
  <si>
    <t>T737DEB =&gt; IDLING. At 18.02.2026 07:22:51 it moved with speed 0 km/h near 'Rn1, Haut-Katanga, Democratic Republic of the Congo, Kasumbalesa'.</t>
  </si>
  <si>
    <t>T741EBX</t>
  </si>
  <si>
    <t>T741EBX =&gt; IDLING. At 18.02.2026 14:04:00 it moved with speed 0 km/h near 'T1, Morogoro, Tanzania, Mikese'.</t>
  </si>
  <si>
    <t>T748EBX =&gt; IDLING. At 18.02.2026 07:08:58 it moved with speed 0 km/h near 'T13, Tanga, Muheza, Tanzania, 1.86 km from Pongwe Ward'.</t>
  </si>
  <si>
    <t>T13, 1.86 km from Pongwe Ward</t>
  </si>
  <si>
    <t>T749DEB =&gt; IDLING. At 18.02.2026 10:36:15 it moved with speed 0 km/h near 'Rn1, Haut-Katanga, Democratic Republic of the Congo, Kasumbalesa'.</t>
  </si>
  <si>
    <t>T750EBX</t>
  </si>
  <si>
    <t>T750EBX =&gt; IDLING. At 18.02.2026 10:16:03 it moved with speed 0 km/h near 'Tanzam Road, Mbeya, Kalobe, Tanzania, 2.29 km from Mbeya'.</t>
  </si>
  <si>
    <t>T791EBW =&gt; IDLING. At 18.02.2026 11:51:21 it moved with speed 0 km/h near 'Ndola - Kitwe Dual-Carriageway, Copperbelt Province, Zambia, 33.13 km from Ndola'.</t>
  </si>
  <si>
    <t>Ndola - Kitwe Dual-Carriageway, 33.13 km from Ndola</t>
  </si>
  <si>
    <t>T805DYR</t>
  </si>
  <si>
    <t>T805DYR =&gt; IDLING. At 18.02.2026 12:50:02 it moved with speed 0 km/h near 'Rn36, Haut-Katanga, Democratic Republic of the Congo, Malashio'.</t>
  </si>
  <si>
    <t>T816EBW =&gt; IDLING. At 18.02.2026 07:55:05 it moved with speed 0 km/h near 'Iringa Road, Iringa, Tanzania, 4.27 km from Comfort'.</t>
  </si>
  <si>
    <t>Iringa Road, 4.27 km from Comfort</t>
  </si>
  <si>
    <t>T818EBW =&gt; IDLING. At 18.02.2026 12:28:57 it moved with speed 0 km/h near 'T1, Morogoro, Tanzania, Bwawani'.</t>
  </si>
  <si>
    <t>T856EBY =&gt; IDLING. At 18.02.2026 10:50:02 it moved with speed 0 km/h near 'T1, Njombe, Tanzania, 1.37 km from Nyololo'.</t>
  </si>
  <si>
    <t>T1, 1.37 km from Nyololo</t>
  </si>
  <si>
    <t>T862EBY</t>
  </si>
  <si>
    <t>T862EBY =&gt; IDLING. At 18.02.2026 17:22:08 it moved with speed 0 km/h near 'Iringa Road, Lundamatwe, Iringa, Tanzania'.</t>
  </si>
  <si>
    <t>T868EBW =&gt; IDLING. At 18.02.2026 07:58:30 it moved with speed 0 km/h near 'Iringa Road, Iringa, Tanzania, 1.35 km from Ruaha Mbuyumi'.</t>
  </si>
  <si>
    <t>Iringa Road, 1.35 km from Ruaha Mbuyumi</t>
  </si>
  <si>
    <t>T873EBY</t>
  </si>
  <si>
    <t>T873EBY =&gt; IDLING. At 18.02.2026 10:15:17 it moved with speed 0 km/h near 'Iringa Road, Morogoro, Kilosa, Tanzania, Kikwaraza'.</t>
  </si>
  <si>
    <t>T899DYR =&gt; IDLING. At 18.02.2026 12:00:44 it moved with speed 0 km/h near 'M3, Luapula Province, Zambia, 7.48 km from Chembe'.</t>
  </si>
  <si>
    <t>M3, 7.48 km from Chembe</t>
  </si>
  <si>
    <t>T907EBW =&gt; IDLING. At 18.02.2026 13:56:05 it moved with speed 0 km/h near 'T1, Mbeya, Tanzania, Ilolo'.</t>
  </si>
  <si>
    <t>T927EBW</t>
  </si>
  <si>
    <t>T927EBW =&gt; IDLING. At 18.02.2026 06:49:38 it moved with speed 0 km/h near 'Iringa Road, Iringa, Tanzania, Ruaha Mbuyumi'.</t>
  </si>
  <si>
    <t>T932EBW</t>
  </si>
  <si>
    <t>T932EBW =&gt; IDLING. At 18.02.2026 10:44:29 it moved with speed 0 km/h near 'Ndola - Kitwe Dual-Carriageway, Copperbelt Province, Zambia, 33.22 km from Ndola'.</t>
  </si>
  <si>
    <t>T945DSX</t>
  </si>
  <si>
    <t>T945DSX =&gt; IDLING. At 18.02.2026 11:17:22 it moved with speed 0 km/h near 'Bagamoyo Road, Pwani, Bagamoyo, Tanzania, Zinga'.</t>
  </si>
  <si>
    <t>Bagamoyo Road, Zinga</t>
  </si>
  <si>
    <t>T953DSX =&gt; IDLING. At 18.02.2026 07:32:23 it moved with speed 0 km/h near 'Tanzam Road, Mbeya, Kalobe, Tanzania, 2.38 km from Mbeya'.</t>
  </si>
  <si>
    <t>T954DSX =&gt; IDLING. At 18.02.2026 11:54:55 it moved with speed 0 km/h near 'M3, Luapula Province, Zambia, 2.03 km from Chembe'.</t>
  </si>
  <si>
    <t>M3, 2.03 km from Chembe</t>
  </si>
  <si>
    <t>T956DSX =&gt; IDLING. At 18.02.2026 10:03:09 it moved with speed 0 km/h near 'Rn36, Haut-Katanga, Democratic Republic of the Congo, Malashio'.</t>
  </si>
  <si>
    <t>T977EBW =&gt; IDLING. At 18.02.2026 08:19:17 it moved with speed 0 km/h near 'Iringa Road, Lundamatwe, Iringa, Tanzania'.</t>
  </si>
  <si>
    <t>T996EBW =&gt; IDLING. At 18.02.2026 09:20:20 it moved with speed 0 km/h near 'Great North Road, Muchinga Province, Zambia, 5.27 km from Mwezo'.</t>
  </si>
  <si>
    <t>Great North Road, 5.27 km from Mwezo</t>
  </si>
  <si>
    <t>2026-02-19</t>
  </si>
  <si>
    <t>T105EBX =&gt; IDLING. At 19.02.2026 11:21:15 it moved with speed 0 km/h near 'Tanzam Road, Mbeya, Kalobe, Tanzania, 2.30 km from Mbeya'.</t>
  </si>
  <si>
    <t>Tanzam Road, 2.30 km from Mbeya</t>
  </si>
  <si>
    <t>T148EBX =&gt; IDLING. At 19.02.2026 19:30:29 it moved with speed 0 km/h near 'Great North Road, Central Province, Zambia, 17.89 km from Mkushi River'.</t>
  </si>
  <si>
    <t>T168EBX =&gt; IDLING. At 19.02.2026 08:13:23 it moved with speed 0 km/h near 'T1, Mbeya, Tanzania, Kongolo Mkola'.</t>
  </si>
  <si>
    <t>T183EBX =&gt; IDLING. At 19.02.2026 11:19:19 it moved with speed 0 km/h near 'Great North Road, Muchinga Province, Zambia, 5.28 km from Mwezo'.</t>
  </si>
  <si>
    <t>T191EBX</t>
  </si>
  <si>
    <t>T191EBX =&gt; IDLING. At 19.02.2026 10:35:47 it moved with speed 0 km/h near 'T1, Mbeya, Tanzania, Kongolo Mkola'.</t>
  </si>
  <si>
    <t>T221EBX</t>
  </si>
  <si>
    <t>T221EBX =&gt; IDLING. At 19.02.2026 14:56:59 it moved with speed 0 km/h near 'Rn1, Haut-Katanga, Democratic Republic of the Congo, 5.84 km from Sumbilili'.</t>
  </si>
  <si>
    <t>Rn1, 5.84 km from Sumbilili</t>
  </si>
  <si>
    <t>T224EBX =&gt; IDLING. At 19.02.2026 15:09:56 it moved with speed 0 km/h near 'Rn1, Haut-Katanga, Democratic Republic of the Congo, 4.45 km from Kasumbalesa'.</t>
  </si>
  <si>
    <t>Rn1, 4.45 km from Kasumbalesa</t>
  </si>
  <si>
    <t>T233EBX =&gt; IDLING. At 19.02.2026 10:15:14 it moved with speed 0 km/h near 'Tanzam Road, Mbeya, Kalobe, Tanzania, 2.37 km from Mbeya'.</t>
  </si>
  <si>
    <t>T250EBX =&gt; IDLING. At 19.02.2026 08:04:13 it moved with speed 0 km/h near 'T1, Mbeya, Tanzania, Kongolo Mkola'.</t>
  </si>
  <si>
    <t>T259EBY =&gt; IDLING. At 19.02.2026 15:42:56 it moved with speed 0 km/h near 'Rn1, Haut-Katanga, Democratic Republic of the Congo, 5.58 km from Kasumbalesa'.</t>
  </si>
  <si>
    <t>Rn1, 5.58 km from Kasumbalesa</t>
  </si>
  <si>
    <t>T267DDJ =&gt; IDLING. At 19.02.2026 11:25:53 it moved with speed 0 km/h near 'Rn1, Haut-Katanga, Democratic Republic of the Congo, 4.77 km from Kasumbalesa'.</t>
  </si>
  <si>
    <t>Rn1, 4.77 km from Kasumbalesa</t>
  </si>
  <si>
    <t>T305EBX</t>
  </si>
  <si>
    <t>T305EBX =&gt; IDLING. At 19.02.2026 13:26:51 it moved with speed 0 km/h near 'T1, Morogoro, Tanzania, Mikese'.</t>
  </si>
  <si>
    <t>T327EBX =&gt; IDLING. At 19.02.2026 16:24:53 it moved with speed 0 km/h near 'R708, Pwani, Kisarawe, Tanzania, 24.38 km from Dar Es Salaam'.</t>
  </si>
  <si>
    <t>R708, 24.38 km from Dar Es Salaam</t>
  </si>
  <si>
    <t>T332ECN</t>
  </si>
  <si>
    <t>T332ECN =&gt; IDLING. At 19.02.2026 09:23:52 it moved with speed 0 km/h near 'Dar Es Salaam Road, Morogoro, Tanzania'.</t>
  </si>
  <si>
    <t>T336EBX =&gt; IDLING. At 19.02.2026 09:26:13 it moved with speed 0 km/h near 'Rn1, Haut-Katanga, Democratic Republic of the Congo, 3.89 km from Kasumbalesa'.</t>
  </si>
  <si>
    <t>Rn1, 3.89 km from Kasumbalesa</t>
  </si>
  <si>
    <t>T342DHG =&gt; IDLING. At 19.02.2026 09:52:46 it moved with speed 0 km/h near 'Route De La Mine Deziwa, Lualaba, Democratic Republic of the Congo, 6.16 km from Kisenda'.</t>
  </si>
  <si>
    <t>Route De La Mine Deziwa, 6.16 km from Kisenda</t>
  </si>
  <si>
    <t>T378ECN</t>
  </si>
  <si>
    <t>T378ECN =&gt; IDLING. At 19.02.2026 07:46:42 it moved with speed 0 km/h near 'T1, Mbeya, Mbozi, Tanzania, Mlowo'.</t>
  </si>
  <si>
    <t>T1, Mlowo</t>
  </si>
  <si>
    <t>T379ECN =&gt; IDLING. At 19.02.2026 16:15:08 it moved with speed 0 km/h near 'Tanzam Road, Mbeya, Kalobe, Tanzania, 2.31 km from Mbeya'.</t>
  </si>
  <si>
    <t>T381ECN =&gt; IDLING. At 19.02.2026 11:07:12 it moved with speed 0 km/h near 'T1, Pwani, Bagamoyo, Tanzania, Msolwa'.</t>
  </si>
  <si>
    <t>T396ECN =&gt; IDLING. At 19.02.2026 10:33:04 it moved with speed 0 km/h near 'T1, Mbeya, Tanzania, Kongolo Mkola'.</t>
  </si>
  <si>
    <t>T427DHG =&gt; IDLING. At 19.02.2026 09:25:06 it moved with speed 0 km/h near 'Rn1, Haut-Katanga, Democratic Republic of the Congo, 3.78 km from Kasumbalesa'.</t>
  </si>
  <si>
    <t>Rn1, 3.78 km from Kasumbalesa</t>
  </si>
  <si>
    <t>T443DHG</t>
  </si>
  <si>
    <t>T443DHG =&gt; IDLING. At 19.02.2026 15:47:51 it moved with speed 0 km/h near 'Rn1, Haut-Katanga, Democratic Republic of the Congo, Kasumbalesa'.</t>
  </si>
  <si>
    <t>T499DYR =&gt; IDLING. At 19.02.2026 11:27:41 it moved with speed 0 km/h near 'Great North Road, Central Province, Zambia, Serenje'.</t>
  </si>
  <si>
    <t>T509EBY =&gt; IDLING. At 19.02.2026 08:32:48 it moved with speed 0 km/h near 'T1, Mbeya, Tanzania, Makwenje'.</t>
  </si>
  <si>
    <t>T512EBY =&gt; IDLING. At 19.02.2026 07:40:37 it moved with speed 0 km/h near 'T1, Mbeya, Tanzania, Makwenje'.</t>
  </si>
  <si>
    <t>T572DEB =&gt; IDLING. At 19.02.2026 09:25:28 it moved with speed 0 km/h near 'Route De La Mine Deziwa, Lualaba, Democratic Republic of the Congo, 5.77 km from Kisenda'.</t>
  </si>
  <si>
    <t>Route De La Mine Deziwa, 5.77 km from Kisenda</t>
  </si>
  <si>
    <t>T585DTQ =&gt; IDLING. At 19.02.2026 12:32:31 it moved with speed 0 km/h near 'M3, Northern Province, Zambia, 12.62 km from Chitoshi'.</t>
  </si>
  <si>
    <t>M3, 12.62 km from Chitoshi</t>
  </si>
  <si>
    <t>T588DTQ =&gt; IDLING. At 19.02.2026 11:15:07 it moved with speed 0 km/h near 'T1, Mbeya, Uyole, Tanzania, Itewe'.</t>
  </si>
  <si>
    <t>T592DTQ</t>
  </si>
  <si>
    <t>T592DTQ =&gt; IDLING. At 19.02.2026 11:26:41 it moved with speed 0 km/h near 'Great North Road, Central Province, Zambia, Serenje'.</t>
  </si>
  <si>
    <t>T661DTQ =&gt; IDLING. At 19.02.2026 15:53:29 it moved with speed 0 km/h near 'Route De La Mine Deziwa, Lualaba, Democratic Republic of the Congo, 5.76 km from Kisenda'.</t>
  </si>
  <si>
    <t>T676EBX =&gt; IDLING. At 19.02.2026 10:17:52 it moved with speed 0 km/h near 'Iringa Road, Morogoro, Tanzania, 4.45 km from Mtipule'.</t>
  </si>
  <si>
    <t>Iringa Road, 4.45 km from Mtipule</t>
  </si>
  <si>
    <t>T713DYR =&gt; IDLING. At 19.02.2026 14:19:50 it moved with speed 0 km/h near 'Tanzam Road, Mbeya, Kalobe, Tanzania, 2.27 km from Mbeya'.</t>
  </si>
  <si>
    <t>Tanzam Road, 2.27 km from Mbeya</t>
  </si>
  <si>
    <t>T744EBX =&gt; IDLING. At 19.02.2026 14:39:51 it moved with speed 0 km/h near 'T1, Mbeya, Tanzania, Makwenje'.</t>
  </si>
  <si>
    <t>T746DEB =&gt; IDLING. At 19.02.2026 10:01:21 it moved with speed 0 km/h near 'Tanzam Road, Mbeya, Kalobe, Tanzania, 2.65 km from Mbeya'.</t>
  </si>
  <si>
    <t>Tanzam Road, 2.65 km from Mbeya</t>
  </si>
  <si>
    <t>T772DYR =&gt; IDLING. At 19.02.2026 08:57:28 it moved with speed 0 km/h near 'T1, Morogoro, Tanzania, 1.28 km from Ubenazomozi'.</t>
  </si>
  <si>
    <t>T1, 1.28 km from Ubenazomozi</t>
  </si>
  <si>
    <t>T793DDS</t>
  </si>
  <si>
    <t>T793DDS =&gt; IDLING. At 19.02.2026 11:26:17 it moved with speed 0 km/h near 'T1, Mbeya, Uyole, Tanzania, Itewe'.</t>
  </si>
  <si>
    <t>T798EBW =&gt; IDLING. At 19.02.2026 08:10:51 it moved with speed 1 km/h near 'T1, Mbeya, Tanzania, Kongolo Mkola'.</t>
  </si>
  <si>
    <t>T804EBW =&gt; IDLING. At 19.02.2026 10:04:18 it moved with speed 0 km/h near 'Iringa Road, Morogoro, Tanzania, 1.15 km from Doma'.</t>
  </si>
  <si>
    <t>Iringa Road, 1.15 km from Doma</t>
  </si>
  <si>
    <t>T805DYR =&gt; IDLING. At 19.02.2026 10:53:50 it moved with speed 0 km/h near 'M3, Northern Province, Zambia, 4.57 km from Luwingu'.</t>
  </si>
  <si>
    <t>M3, 4.57 km from Luwingu</t>
  </si>
  <si>
    <t>T816EBW =&gt; IDLING. At 19.02.2026 11:13:52 it moved with speed 0 km/h near 'Regional Hospital Road, Mbeya, Nzovwe, Tanzania, 2.43 km from Mbeya'.</t>
  </si>
  <si>
    <t>Regional Hospital Road, 2.43 km from Mbeya</t>
  </si>
  <si>
    <t>T850EBY =&gt; IDLING. At 19.02.2026 08:14:28 it moved with speed 0 km/h near 'T1, Mbeya, Tanzania, Kongolo Mkola'.</t>
  </si>
  <si>
    <t>T868EBW =&gt; IDLING. At 19.02.2026 13:08:47 it moved with speed 0 km/h near 'T1, Mbeya, Tanzania, Kongolo Mkola'.</t>
  </si>
  <si>
    <t>T874EBY</t>
  </si>
  <si>
    <t>T874EBY =&gt; IDLING. At 19.02.2026 11:55:12 it moved with speed 0 km/h near 'Tanzam Road, Mbeya, Kalobe, Tanzania, 2.37 km from Mbeya'.</t>
  </si>
  <si>
    <t>T903EBW =&gt; IDLING. At 19.02.2026 09:27:12 it moved with speed 0 km/h near 'T1, Mbeya, Tanzania, Inyala'.</t>
  </si>
  <si>
    <t>T1, Inyala</t>
  </si>
  <si>
    <t>T934EBW</t>
  </si>
  <si>
    <t>T934EBW =&gt; IDLING. At 19.02.2026 12:24:43 it moved with speed 0 km/h near 'T1, Mbeya, Tanzania, Mangere'.</t>
  </si>
  <si>
    <t>T939EBW =&gt; IDLING. At 19.02.2026 12:53:11 it moved with speed 0 km/h near 'T1, Mbeya, Tanzania, Kongolo Mkola'.</t>
  </si>
  <si>
    <t>T953DSX =&gt; IDLING. At 19.02.2026 18:36:55 it moved with speed 0 km/h near 'Tanzania To Zambia Road, Iringa, Tanzania, Ipogolo'.</t>
  </si>
  <si>
    <t>T953EBW =&gt; IDLING. At 19.02.2026 11:27:24 it moved with speed 0 km/h near 'Tanzam Road, Mbeya, Kalobe, Tanzania, 2.31 km from Mbeya'.</t>
  </si>
  <si>
    <t>T955DSX</t>
  </si>
  <si>
    <t>T955DSX =&gt; IDLING. At 19.02.2026 12:14:29 it moved with speed 0 km/h near 'Rn1, Haut-Katanga, Democratic Republic of the Congo, 3.74 km from Kasumbalesa'.</t>
  </si>
  <si>
    <t>Rn1, 3.74 km from Kasumbalesa</t>
  </si>
  <si>
    <t>T960DSX</t>
  </si>
  <si>
    <t>T960DSX =&gt; IDLING. At 19.02.2026 15:02:07 it moved with speed 0 km/h near 'Rn1, Haut-Katanga, Democratic Republic of the Congo, 4.37 km from Kasumbalesa'.</t>
  </si>
  <si>
    <t>Rn1, 4.37 km from Kasumbalesa</t>
  </si>
  <si>
    <t>T964EBW =&gt; IDLING. At 19.02.2026 11:20:44 it moved with speed 0 km/h near 'Great North Road, Central Province, Zambia, Serenje'.</t>
  </si>
  <si>
    <t>T988EBW =&gt; IDLING. At 19.02.2026 15:04:34 it moved with speed 0 km/h near 'R708, Pwani, Kisarawe, Tanzania, Dar Es Salaam'.</t>
  </si>
  <si>
    <t>T151EBX</t>
  </si>
  <si>
    <t>2026-02-20</t>
  </si>
  <si>
    <t>T151EBX =&gt; IDLING. At 20.02.2026 11:01:40 it moved with speed 0 km/h near 'Ndola - Kitwe Dual-Carriageway, Copperbelt Province, Zambia, 33.24 km from Ndola'.</t>
  </si>
  <si>
    <t>T218EBX</t>
  </si>
  <si>
    <t>T218EBX =&gt; IDLING. At 20.02.2026 14:13:44 it moved with speed 0 km/h near 'Dar Es Salaam Road, Morogoro, Tanzania'.</t>
  </si>
  <si>
    <t>T221EBX =&gt; IDLING. At 20.02.2026 00:59:00 it moved with speed 0 km/h near 'Rn1, Haut-Katanga, Democratic Republic of the Congo, Sumbilili'.</t>
  </si>
  <si>
    <t>T224EBX =&gt; IDLING. At 20.02.2026 00:08:24 it moved with speed 0 km/h near 'Rn1, Haut-Katanga, Democratic Republic of the Congo, 5.59 km from Sumbilili'.</t>
  </si>
  <si>
    <t>Rn1, 5.59 km from Sumbilili</t>
  </si>
  <si>
    <t>T256EBX =&gt; IDLING. At 20.02.2026 11:23:06 it moved with speed 0 km/h near 'R708, Pwani, Kisarawe, Tanzania, 24.19 km from Dar Es Salaam'.</t>
  </si>
  <si>
    <t>T259EBY =&gt; IDLING. At 20.02.2026 01:51:01 it moved with speed 0 km/h near 'Rn1, Haut-Katanga, Democratic Republic of the Congo, 2.17 km from Sumbilili'.</t>
  </si>
  <si>
    <t>Rn1, 2.17 km from Sumbilili</t>
  </si>
  <si>
    <t>T271EBY =&gt; IDLING. At 20.02.2026 12:28:46 it moved with speed 0 km/h near 'Iringa Road, Iringa, Tanzania, 1.12 km from Ruaha Mbuyumi'.</t>
  </si>
  <si>
    <t>Iringa Road, 1.12 km from Ruaha Mbuyumi</t>
  </si>
  <si>
    <t>T311EBX =&gt; IDLING. At 20.02.2026 16:05:03 it moved with speed 0 km/h near 'Rn1, Haut-Katanga, Democratic Republic of the Congo, Kasumbalesa'.</t>
  </si>
  <si>
    <t>T350DHG =&gt; IDLING. At 20.02.2026 17:41:28 it moved with speed 0 km/h near 'Rn1, Haut-Katanga, Democratic Republic of the Congo, Kasumbalesa'.</t>
  </si>
  <si>
    <t>T357DHG =&gt; IDLING. At 20.02.2026 17:48:25 it moved with speed 0 km/h near 'Rn1, Haut-Katanga, Democratic Republic of the Congo, Kasumbalesa'.</t>
  </si>
  <si>
    <t>T404DHG</t>
  </si>
  <si>
    <t>T404DHG =&gt; IDLING. At 20.02.2026 11:51:03 it moved with speed 0 km/h near 'R708, Pwani, Kisarawe, Tanzania, 24.20 km from Dar Es Salaam'.</t>
  </si>
  <si>
    <t>T512EBY =&gt; IDLING. At 20.02.2026 12:53:13 it moved with speed 0 km/h near 'Iringa Road, Morogoro, Kilosa, Tanzania, 2.75 km from Kidoma'.</t>
  </si>
  <si>
    <t>Iringa Road, 2.75 km from Kidoma</t>
  </si>
  <si>
    <t>T518DEB =&gt; IDLING. At 20.02.2026 19:03:29 it moved with speed 0 km/h near 'Rn1, Haut-Katanga, Democratic Republic of the Congo, Kasumbalesa'.</t>
  </si>
  <si>
    <t>T529EBY</t>
  </si>
  <si>
    <t>T529EBY =&gt; IDLING. At 20.02.2026 08:25:52 it moved with speed 0 km/h near 'Great North Road, Central Province, Zambia, 9.81 km from Chitiwa'.</t>
  </si>
  <si>
    <t>Great North Road, 9.81 km from Chitiwa</t>
  </si>
  <si>
    <t>T583DTQ =&gt; IDLING. At 20.02.2026 18:19:28 it moved with speed 0 km/h near 'Rn1, Haut-Katanga, Democratic Republic of the Congo, Kasumbalesa'.</t>
  </si>
  <si>
    <t>T601DTQ =&gt; IDLING. At 20.02.2026 12:04:39 it moved with speed 0 km/h near 'T1, Mbeya, Uyole, Tanzania, Uyole'.</t>
  </si>
  <si>
    <t>T1, Uyole</t>
  </si>
  <si>
    <t>T702DEB</t>
  </si>
  <si>
    <t>T702DEB  =&gt; IDLING. At 20.02.2026 12:43:05 it moved with speed 0 km/h near 'Great North Road, Central Province, Zambia, 3.29 km from Mkushi'.</t>
  </si>
  <si>
    <t>T702DYR</t>
  </si>
  <si>
    <t>T702DYR =&gt; IDLING. At 20.02.2026 08:21:17 it moved with speed 0 km/h near 'Great North Road, Central Province, Zambia, 9.79 km from Chitiwa'.</t>
  </si>
  <si>
    <t>Great North Road, 9.79 km from Chitiwa</t>
  </si>
  <si>
    <t>T716DYR</t>
  </si>
  <si>
    <t>T716DYR =&gt; IDLING. At 20.02.2026 16:05:18 it moved with speed 0 km/h near 'Rn1, Haut-Katanga, Democratic Republic of the Congo, Kasumbalesa'.</t>
  </si>
  <si>
    <t>T716EBX =&gt; IDLING. At 20.02.2026 10:21:05 it moved with speed 0 km/h near 'T1, Mbeya, Mbozi, Tanzania, Mlowo'.</t>
  </si>
  <si>
    <t>T723DYR =&gt; IDLING. At 20.02.2026 08:35:39 it moved with speed 0 km/h near 'Tanzania To Zambia Road, Iringa, Mufindi, Tanzania, 1.80 km from Ifunda'.</t>
  </si>
  <si>
    <t>T732DYR</t>
  </si>
  <si>
    <t>T732DYR =&gt; IDLING. At 20.02.2026 17:51:21 it moved with speed 0 km/h near 'Rn1, Haut-Katanga, Democratic Republic of the Congo, Kasumbalesa'.</t>
  </si>
  <si>
    <t>T732EBX</t>
  </si>
  <si>
    <t>T732EBX =&gt; IDLING. At 20.02.2026 10:56:27 it moved with speed 0 km/h near 'Great North Road, Muchinga Province, Zambia, 4.81 km from Two Leopards'.</t>
  </si>
  <si>
    <t>Great North Road, 4.81 km from Two Leopards</t>
  </si>
  <si>
    <t>T737EBX =&gt; IDLING. At 20.02.2026 13:11:29 it moved with speed 0 km/h near 'R708, Pwani, Kisarawe, Tanzania, 24.31 km from Dar Es Salaam'.</t>
  </si>
  <si>
    <t>T746DEB =&gt; IDLING. At 20.02.2026 12:40:40 it moved with speed 0 km/h near 'Iringa Road, Morogoro, Tanzania, 1.61 km from Doma'.</t>
  </si>
  <si>
    <t>Iringa Road, 1.61 km from Doma</t>
  </si>
  <si>
    <t>T764DYR =&gt; IDLING. At 20.02.2026 08:46:25 it moved with speed 0 km/h near 'Regional Hospital Road, Mbeya, Nzovwe, Tanzania, 2.40 km from Mbeya'.</t>
  </si>
  <si>
    <t>T764EBW =&gt; IDLING. At 20.02.2026 08:18:34 it moved with speed 0 km/h near 'Great North Road, Central Province, Zambia, 9.79 km from Chitiwa'.</t>
  </si>
  <si>
    <t>T768EBW =&gt; IDLING. At 20.02.2026 12:18:01 it moved with speed 0 km/h near 'Dar - Mbeya Highway, Iringa, Tanzania, Ndiuka'.</t>
  </si>
  <si>
    <t>T856EBY =&gt; IDLING. At 20.02.2026 11:52:40 it moved with speed 0 km/h near 'T1, Morogoro, Tanzania, Mikese'.</t>
  </si>
  <si>
    <t>T910EBW</t>
  </si>
  <si>
    <t>T910EBW =&gt; IDLING. At 20.02.2026 15:02:39 it moved with speed 0 km/h near 'Rn1, Haut-Katanga, Democratic Republic of the Congo, 27.93 km from Lubumbashi'.</t>
  </si>
  <si>
    <t>Rn1, 27.93 km from Lubumbashi</t>
  </si>
  <si>
    <t>T945EBW =&gt; IDLING. At 20.02.2026 14:29:13 it moved with speed 0 km/h near 'Rn1, Haut-Katanga, Democratic Republic of the Congo, 27.97 km from Lubumbashi'.</t>
  </si>
  <si>
    <t>Rn1, 27.97 km from Lubumbashi</t>
  </si>
  <si>
    <t>T952DSX =&gt; IDLING. At 20.02.2026 07:47:08 it moved with speed 0 km/h near 'Tanzam Road, Mbeya, Kalobe, Tanzania, 2.37 km from Mbeya'.</t>
  </si>
  <si>
    <t>T953DSX =&gt; IDLING. At 20.02.2026 16:45:24 it moved with speed 0 km/h near 'T1, Morogoro, Tanzania, 1.83 km from Mwido'.</t>
  </si>
  <si>
    <t>T1, 1.83 km from Mwido</t>
  </si>
  <si>
    <t>T986EBW =&gt; IDLING. At 20.02.2026 08:25:30 it moved with speed 0 km/h near 'Great North Road, Central Province, Zambia, 10.99 km from Chitiwa'.</t>
  </si>
  <si>
    <t>Great North Road, 10.99 km from Chitiwa</t>
  </si>
  <si>
    <t>2026-02-22</t>
  </si>
  <si>
    <t>T331DHG =&gt; IDLING. At 22.02.2026 07:50:51 it moved with speed 0 km/h near 'Iringa Road, Iringa, Tanzania, Ruaha Mbuyumi'.</t>
  </si>
  <si>
    <t>T392ECN =&gt; IDLING. At 22.02.2026 11:28:08 it moved with speed 0 km/h near 'Tanzam Road, Mbeya, Kalobe, Tanzania, 2.24 km from Mbeya'.</t>
  </si>
  <si>
    <t>Tanzam Road, 2.24 km from Mbeya</t>
  </si>
  <si>
    <t>T406DHG =&gt; IDLING. At 22.02.2026 09:32:19 it moved with speed 0 km/h near 'T1, Mbeya, Tanzania, Makwenje'.</t>
  </si>
  <si>
    <t>T416DCT =&gt; IDLING. At 22.02.2026 07:02:01 it moved with speed 0 km/h near 'T1, Mbeya, Tanzania, Mambi'.</t>
  </si>
  <si>
    <t>T417DHE =&gt; IDLING. At 22.02.2026 08:26:54 it moved with speed 0 km/h near 'T2, Pwani, Bagamoyo, Tanzania, Mboga'.</t>
  </si>
  <si>
    <t>T2, Mboga</t>
  </si>
  <si>
    <t>T492DYR =&gt; IDLING. At 22.02.2026 10:20:36 it moved with speed 0 km/h near 'T2, Pwani, Bagamoyo, Tanzania, Lunga'.</t>
  </si>
  <si>
    <t>T2, Lunga</t>
  </si>
  <si>
    <t>T493DYR =&gt; IDLING. At 22.02.2026 10:05:59 it moved with speed 0 km/h near 'Great North Road, Muchinga Province, Zambia, 3.19 km from Isoka'.</t>
  </si>
  <si>
    <t>Great North Road, 3.19 km from Isoka</t>
  </si>
  <si>
    <t>T513EBY =&gt; IDLING. At 22.02.2026 13:36:24 it moved with speed 0 km/h near 'T1, Pwani, Bagamoyo, Tanzania, 3.32 km from Vigwaza'.</t>
  </si>
  <si>
    <t>T1, 3.32 km from Vigwaza</t>
  </si>
  <si>
    <t>T528EBY</t>
  </si>
  <si>
    <t>T528EBY =&gt; IDLING. At 22.02.2026 11:08:55 it moved with speed 0 km/h near 'Tanzam Road, Mbeya, Kalobe, Tanzania, 2.71 km from Mbeya'.</t>
  </si>
  <si>
    <t>Tanzam Road, 2.71 km from Mbeya</t>
  </si>
  <si>
    <t>T580DTQ =&gt; IDLING. At 22.02.2026 10:12:35 it moved with speed 0 km/h near 'Great North Road, Muchinga Province, Zambia, 3.20 km from Isoka'.</t>
  </si>
  <si>
    <t>Great North Road, 3.20 km from Isoka</t>
  </si>
  <si>
    <t>T582DTQ</t>
  </si>
  <si>
    <t>T582DTQ =&gt; IDLING. At 22.02.2026 08:41:31 it moved with speed 0 km/h near 'T1, Morogoro, Tanzania, Bwawani'.</t>
  </si>
  <si>
    <t>T586DYR =&gt; IDLING. At 22.02.2026 09:39:12 it moved with speed 0 km/h near 'Great North Road, Muchinga Province, Zambia, 3.58 km from Kalonje'.</t>
  </si>
  <si>
    <t>Great North Road, 3.58 km from Kalonje</t>
  </si>
  <si>
    <t>T635DTQ</t>
  </si>
  <si>
    <t>T635DTQ =&gt; IDLING. At 22.02.2026 10:34:19 it moved with speed 0 km/h near 'Great North Road, Muchinga Province, Zambia, 3.20 km from Isoka'.</t>
  </si>
  <si>
    <t>T696DEB =&gt; IDLING. At 22.02.2026 18:09:52 it moved with speed 0 km/h near 'Iringa Road, Morogoro, Tanzania, Doma'.</t>
  </si>
  <si>
    <t>T728EBX =&gt; IDLING. At 22.02.2026 18:31:12 it moved with speed 0 km/h near 'Rs614, Haut-Katanga, Democratic Republic of the Congo, 3.91 km from Lumba'.</t>
  </si>
  <si>
    <t>Rs614, 3.91 km from Lumba</t>
  </si>
  <si>
    <t>T754EBX =&gt; IDLING. At 22.02.2026 09:25:25 it moved with speed 0 km/h near 'T1, Mbeya, Tanzania, Makwenje'.</t>
  </si>
  <si>
    <t>T772DYR =&gt; IDLING. At 22.02.2026 09:14:29 it moved with speed 0 km/h near 'T1, Njombe, Tanzania, Igawa'.</t>
  </si>
  <si>
    <t>T781EBW =&gt; IDLING. At 22.02.2026 10:18:26 it moved with speed 0 km/h near 'Iringa Road, Morogoro, Kilosa, Tanzania, Kikwaraza'.</t>
  </si>
  <si>
    <t>T791DYR =&gt; IDLING. At 22.02.2026 09:21:11 it moved with speed 0 km/h near 'Iringa Road, Morogoro, Tanzania, Melela Mlandizi'.</t>
  </si>
  <si>
    <t>T805DYR =&gt; IDLING. At 22.02.2026 10:09:42 it moved with speed 0 km/h near 'Dar - Mbeya Highway, Iringa, Tanzania, Ndiuka'.</t>
  </si>
  <si>
    <t>T870EBW =&gt; IDLING. At 22.02.2026 14:07:40 it moved with speed 0 km/h near 'Iringa Road, Morogoro, Tanzania, 4.32 km from Doma'.</t>
  </si>
  <si>
    <t>Iringa Road, 4.32 km from Doma</t>
  </si>
  <si>
    <t>T899DYR =&gt; IDLING. At 22.02.2026 06:39:01 it moved with speed 0 km/h near 'Dar Es Salaam Road, Morogoro, Tanzania'.</t>
  </si>
  <si>
    <t>T950EBW</t>
  </si>
  <si>
    <t>T950EBW =&gt; IDLING. At 22.02.2026 08:05:35 it moved with speed 0 km/h near 'Tanzania To Zambia Road, Iringa, Mufindi, Tanzania, Ihemi'.</t>
  </si>
  <si>
    <t>Tanzania To Zambia Road, Ihemi</t>
  </si>
  <si>
    <t>T956DSX =&gt; IDLING. At 22.02.2026 08:46:30 it moved with speed 0 km/h near 'Dar - Mbeya Highway, Iringa, Tanzania, Ndiuka'.</t>
  </si>
  <si>
    <t>T996EBW =&gt; IDLING. At 22.02.2026 11:28:31 it moved with speed 0 km/h near 'Ndola - Kitwe Dual-Carriageway, Copperbelt Province, Zambia, 33.21 km from Ndola'.</t>
  </si>
  <si>
    <t>T302EBX</t>
  </si>
  <si>
    <t>2026-02-23</t>
  </si>
  <si>
    <t>T302EBX =&gt; IDLING. At 23.02.2026 08:33:14 it moved with speed 0 km/h near 'Dar Es Salaam Road, Morogoro, Tanzania'.</t>
  </si>
  <si>
    <t>T312EBX</t>
  </si>
  <si>
    <t>T312EBX =&gt; IDLING. At 23.02.2026 10:07:36 it moved with speed 0 km/h near 'Tanzam Road, Mbeya, Kalobe, Tanzania, 2.38 km from Mbeya'.</t>
  </si>
  <si>
    <t>T378DHG</t>
  </si>
  <si>
    <t>T378DHG =&gt; IDLING. At 23.02.2026 12:32:48 it moved with speed 0 km/h near 'Tanzam Road, Mbeya, Kalobe, Tanzania, 2.29 km from Mbeya'.</t>
  </si>
  <si>
    <t>T492DYR =&gt; IDLING. At 23.02.2026 07:33:05 it moved with speed 1 km/h near 'Iringa Road, Iringa, Tanzania, Ruaha Mbuyumi'.</t>
  </si>
  <si>
    <t>T496DYR =&gt; IDLING. At 23.02.2026 11:45:23 it moved with speed 0 km/h near 'T1, Njombe, Tanzania, Igawa'.</t>
  </si>
  <si>
    <t>T513EBY =&gt; IDLING. At 23.02.2026 13:29:57 it moved with speed 0 km/h near 'Iringa Road, Iringa, Tanzania, 1.25 km from Ruaha Mbuyumi'.</t>
  </si>
  <si>
    <t>Iringa Road, 1.25 km from Ruaha Mbuyumi</t>
  </si>
  <si>
    <t>T523EBY</t>
  </si>
  <si>
    <t>T523EBY =&gt; IDLING. At 23.02.2026 08:18:12 it moved with speed 0 km/h near 'T1, Morogoro, Tanzania, Bwawani'.</t>
  </si>
  <si>
    <t>T592DTQ =&gt; IDLING. At 23.02.2026 18:25:17 it moved with speed 0 km/h near 'T1, Mbeya, Tanzania, Inyala'.</t>
  </si>
  <si>
    <t>T679ECP =&gt; IDLING. At 23.02.2026 09:00:08 it moved with speed 0 km/h near 'Tanzam Road, Mbeya, Kalobe, Tanzania, 2.27 km from Mbeya'.</t>
  </si>
  <si>
    <t>T696DEB =&gt; IDLING. At 23.02.2026 07:50:39 it moved with speed 0 km/h near 'Iringa Road, Morogoro, Kilosa, Tanzania, Kikwaraza'.</t>
  </si>
  <si>
    <t>T709EBX =&gt; IDLING. At 23.02.2026 10:46:48 it moved with speed 0 km/h near 'Iringa Road, Morogoro, Tanzania, Doma'.</t>
  </si>
  <si>
    <t>T712EBX</t>
  </si>
  <si>
    <t>T712EBX =&gt; IDLING. At 23.02.2026 14:55:55 it moved with speed 0 km/h near 'R708, Pwani, Kisarawe, Tanzania, 24.28 km from Dar Es Salaam'.</t>
  </si>
  <si>
    <t>R708, 24.28 km from Dar Es Salaam</t>
  </si>
  <si>
    <t>T716EBX =&gt; IDLING. At 23.02.2026 12:50:34 it moved with speed 0 km/h near 'T1, Morogoro, Tanzania, Bwawani'.</t>
  </si>
  <si>
    <t>T754DEB =&gt; IDLING. At 23.02.2026 10:31:21 it moved with speed 0 km/h near 'Tanzania To Zambia Road, Iringa, Mufindi, Tanzania, 1.68 km from Ifunda'.</t>
  </si>
  <si>
    <t>Tanzania To Zambia Road, 1.68 km from Ifunda</t>
  </si>
  <si>
    <t>T754EBX =&gt; IDLING. At 23.02.2026 10:47:02 it moved with speed 0 km/h near 'Iringa Road, Morogoro, Tanzania, Doma'.</t>
  </si>
  <si>
    <t>T767DYR =&gt; IDLING. At 23.02.2026 12:00:04 it moved with speed 0 km/h near 'Iringa Road, Morogoro, Tanzania, 3.20 km from Kipera'.</t>
  </si>
  <si>
    <t>Iringa Road, 3.20 km from Kipera</t>
  </si>
  <si>
    <t>T768DYR =&gt; IDLING. At 23.02.2026 06:55:41 it moved with speed 0 km/h near 'Tanzania To Zambia Road, Iringa, Tanzania, Ipogolo'.</t>
  </si>
  <si>
    <t>T781EBW =&gt; IDLING. At 23.02.2026 11:41:57 it moved with speed 0 km/h near 'T1, Njombe, Tanzania, Igomelo'.</t>
  </si>
  <si>
    <t>T1, Igomelo</t>
  </si>
  <si>
    <t>T805DYR =&gt; IDLING. At 23.02.2026 08:04:04 it moved with speed 0 km/h near 'T1, Morogoro, Tanzania'.</t>
  </si>
  <si>
    <t>T837EBY</t>
  </si>
  <si>
    <t>T837EBY =&gt; IDLING. At 23.02.2026 11:55:58 it moved with speed 0 km/h near 'T1, Njombe, Tanzania, Igawa'.</t>
  </si>
  <si>
    <t>T954EBW</t>
  </si>
  <si>
    <t>T954EBW =&gt; IDLING. At 23.02.2026 10:00:05 it moved with speed 0 km/h near 'T1, Mbeya, Tanzania, Isitu'.</t>
  </si>
  <si>
    <t>T1, Isitu</t>
  </si>
  <si>
    <t>T956DSX =&gt; IDLING. At 23.02.2026 08:16:20 it moved with speed 0 km/h near 'Dar Es Salaam Road, Morogoro, Tanzania'.</t>
  </si>
  <si>
    <t>2026-02-24</t>
  </si>
  <si>
    <t>T109EBX =&gt; IDLING. At 24.02.2026 11:02:46 it moved with speed 0 km/h near 'R708, Pwani, Kisarawe, Tanzania, Dar Es Salaam'.</t>
  </si>
  <si>
    <t>Kisarawe, R708</t>
  </si>
  <si>
    <t>T146EBX</t>
  </si>
  <si>
    <t>T146EBX =&gt; IDLING. At 24.02.2026 12:25:49 it moved with speed 0 km/h near 'R708, Kisarawe, Kisarawe DC, Pwani Region, Tanzania'.</t>
  </si>
  <si>
    <t>T147EBX =&gt; IDLING. At 24.02.2026 10:03:48 it moved with speed 0 km/h near 'R708, Pwani, Kisarawe, Tanzania, 24.31 km from Dar Es Salaam'.</t>
  </si>
  <si>
    <t>T184EBX =&gt; IDLING. At 24.02.2026 10:04:57 it moved with speed 0 km/h near 'R708, Pwani, Kisarawe, Tanzania, Dar Es Salaam'.</t>
  </si>
  <si>
    <t>T220EBX =&gt; IDLING. At 24.02.2026 07:25:10 it moved with speed 0 km/h near 'M16, Copperbelt Province, Zambia, 10.79 km from Chambishi'.</t>
  </si>
  <si>
    <t>M16, 10.79 km from Chambishi</t>
  </si>
  <si>
    <t>T299DCT =&gt; IDLING. At 24.02.2026 08:41:34 it moved with speed 0 km/h near 'T1, Morogoro, Tanzania, Mkambarani'.</t>
  </si>
  <si>
    <t>Mkambarani</t>
  </si>
  <si>
    <t>T325EBX =&gt; IDLING. At 24.02.2026 09:12:39 it moved with speed 0 km/h near 'R708, Pwani, Kisarawe, Tanzania, Dar Es Salaam'.</t>
  </si>
  <si>
    <t>T328EBY =&gt; IDLING. At 24.02.2026 10:42:15 it moved with speed 0 km/h near 'R708, Pwani, Kisarawe, Tanzania, 24.27 km from Dar Es Salaam'.</t>
  </si>
  <si>
    <t>T333DHG =&gt; IDLING. At 24.02.2026 09:56:27 it moved with speed 0 km/h near 'Tanzania To Zambia Road, Iringa, Mufindi, Tanzania, 4.97 km from Sao-Hill Forest Plantation'.</t>
  </si>
  <si>
    <t>Mafinga TC, Tanzania to Zambia Road</t>
  </si>
  <si>
    <t>T375DHG</t>
  </si>
  <si>
    <t>T375DHG =&gt; IDLING. At 24.02.2026 08:51:05 it moved with speed 0 km/h near 'M16, Copperbelt Province, Zambia, 10.82 km from Chambishi'.</t>
  </si>
  <si>
    <t>M16, 10.82 km from Chambishi</t>
  </si>
  <si>
    <t>T382ECN</t>
  </si>
  <si>
    <t>T382ECN =&gt; IDLING. At 24.02.2026 09:08:39 it moved with speed 0 km/h near 'Iringa Road, Iringa, Tanzania, Ruaha Mbuyumi'.</t>
  </si>
  <si>
    <t>Ruaha Mbuyumi</t>
  </si>
  <si>
    <t>T397ECN =&gt; IDLING. At 24.02.2026 09:37:22 it moved with speed 0 km/h near 'R708, Pwani, Kisarawe, Tanzania, Dar Es Salaam'.</t>
  </si>
  <si>
    <t>T491DYR =&gt; IDLING. At 24.02.2026 10:47:32 it moved with speed 0 km/h near 'Fisenge Bypass, Ndola, Copperbelt Province, Zambia'.</t>
  </si>
  <si>
    <t>T499DYR =&gt; IDLING. At 24.02.2026 09:12:48 it moved with speed 0 km/h near 'Tanzania To Zambia Road, Iringa, Mufindi, Tanzania, Mafinga'.</t>
  </si>
  <si>
    <t>T512DTR =&gt; IDLING. At 24.02.2026 11:20:05 it moved with speed 0 km/h near 'Route De La Mine Deziwa, Lualaba, Democratic Republic of the Congo, 5.76 km from Kisenda'.</t>
  </si>
  <si>
    <t>T525EBY =&gt; IDLING. At 24.02.2026 08:14:14 it moved with speed 0 km/h near 'R708, Pwani, Kisarawe, Tanzania, Dar Es Salaam'.</t>
  </si>
  <si>
    <t>T572DEB =&gt; IDLING. At 24.02.2026 09:30:32 it moved with speed 0 km/h near 'Rn36, Haut-Katanga, Democratic Republic of the Congo, 14.37 km from Malashio'.</t>
  </si>
  <si>
    <t>Rn36, 14.37 km from Malashio</t>
  </si>
  <si>
    <t>T572DYR =&gt; IDLING. At 24.02.2026 16:17:23 it moved with speed 0 km/h near 'Ndola - Kitwe Dual-Carriageway, Copperbelt Province, Zambia, 33.23 km from Ndola'.</t>
  </si>
  <si>
    <t>T710EBX =&gt; IDLING. At 24.02.2026 09:15:25 it moved with speed 0 km/h near 'R708, Pwani, Kisarawe, Tanzania, Dar Es Salaam'.</t>
  </si>
  <si>
    <t>T719DYR =&gt; IDLING. At 24.02.2026 08:16:00 it moved with speed 0 km/h near 'Dar Es Salaam Road, Morogoro, Tanzania'.</t>
  </si>
  <si>
    <t>Morogoro, Dar es Salaam Road</t>
  </si>
  <si>
    <t>T725EBX</t>
  </si>
  <si>
    <t>T725EBX =&gt; IDLING. At 24.02.2026 13:17:32 it moved with speed 0 km/h near 'R708, Kisarawe, Kisarawe DC, Pwani Region, Tanzania'.</t>
  </si>
  <si>
    <t>T727EBX =&gt; IDLING. At 24.02.2026 12:35:02 it moved with speed 0 km/h near 'R708, Kisarawe, Kisarawe DC, Pwani Region, Tanzania'.</t>
  </si>
  <si>
    <t>T732EBX =&gt; IDLING. At 24.02.2026 10:04:16 it moved with speed 0 km/h near 'Tanzania To Zambia Road, Iringa, Mufindi, Tanzania, Ihemi'.</t>
  </si>
  <si>
    <t>Ihemi</t>
  </si>
  <si>
    <t>T746EBX</t>
  </si>
  <si>
    <t>T746EBX =&gt; IDLING. At 24.02.2026 08:43:00 it moved with speed 0 km/h near 'T1, Morogoro, Tanzania, Bwawani'.</t>
  </si>
  <si>
    <t>Bwawani</t>
  </si>
  <si>
    <t>T754DEB =&gt; IDLING. At 24.02.2026 12:55:06 it moved with speed 0 km/h near 'Iringa Road, Morogoro, Tanzania, 1.75 km from Doma'.</t>
  </si>
  <si>
    <t>Doma</t>
  </si>
  <si>
    <t>T768DYR =&gt; IDLING. At 24.02.2026 06:30:58 it moved with speed 0 km/h near 'T1, Morogoro, Tanzania, Bwawani'.</t>
  </si>
  <si>
    <t>T781EBW =&gt; IDLING. At 24.02.2026 07:15:44 it moved with speed 0 km/h near 'Regional Hospital Road, Mbeya, Nzovwe, Tanzania, 2.39 km from Mbeya'.</t>
  </si>
  <si>
    <t>Mbeya City, Regional Hospital Road</t>
  </si>
  <si>
    <t>T842EBY =&gt; IDLING. At 24.02.2026 12:15:18 it moved with speed 0 km/h near 'R708, Pwani, Kisarawe, Tanzania, Dar Es Salaam'.</t>
  </si>
  <si>
    <t>T866EBY</t>
  </si>
  <si>
    <t>T866EBY =&gt; IDLING. At 24.02.2026 15:43:22 it moved with speed 0 km/h near 'Ndola - Kitwe Dual-Carriageway, Copperbelt Province, Zambia, 33.18 km from Ndola'.</t>
  </si>
  <si>
    <t>T871EBW =&gt; IDLING. At 24.02.2026 11:42:55 it moved with speed 0 km/h near 'Ndola - Kitwe Dual-Carriageway, Copperbelt Province, Zambia, 33.18 km from Ndola'.</t>
  </si>
  <si>
    <t>T890EBW =&gt; IDLING. At 24.02.2026 09:46:48 it moved with speed 0 km/h near 'Ndola - Kitwe Dual-Carriageway, Copperbelt Province, Zambia, 33.22 km from Ndola'.</t>
  </si>
  <si>
    <t>T930EBW =&gt; IDLING. At 24.02.2026 09:53:06 it moved with speed 0 km/h near 'R708, Pwani, Kisarawe, Tanzania, Dar Es Salaam'.</t>
  </si>
  <si>
    <t>T945DSX =&gt; IDLING. At 24.02.2026 11:54:17 it moved with speed 0 km/h near 'Regional Hospital Road, Mbeya, Nzovwe, Tanzania, 2.40 km from Mbeya'.</t>
  </si>
  <si>
    <t>T955EBW =&gt; IDLING. At 24.02.2026 08:09:38 it moved with speed 0 km/h near 'Great North Road, Central Province, Zambia, 16.88 km from Tanemeka'.</t>
  </si>
  <si>
    <t>Great North Road, 16.88 km from Tanemeka</t>
  </si>
  <si>
    <t>T964EBW =&gt; IDLING. At 24.02.2026 13:28:00 it moved with speed 0 km/h near 'Great North Road, Muchinga Province, Zambia, 5.14 km from Mukwikile'.</t>
  </si>
  <si>
    <t>Great North Road, 5.14 km from Mukwikile</t>
  </si>
  <si>
    <t>T975EBW =&gt; IDLING. At 24.02.2026 15:36:33 it moved with speed 0 km/h near 'Mangere, Chimala Ward, Mbarali DC, Mbeya Region, Tanzania'.</t>
  </si>
  <si>
    <t>Mangere</t>
  </si>
  <si>
    <t>T993EBW</t>
  </si>
  <si>
    <t>T993EBW =&gt; IDLING. At 24.02.2026 08:54:19 it moved with speed 0 km/h near 'Iringa Road, Iringa, Tanzania, Ruaha Mbuyumi'.</t>
  </si>
  <si>
    <t>T178EBX</t>
  </si>
  <si>
    <t>2026-02-25</t>
  </si>
  <si>
    <t>T178EBX =&gt; IDLING. At 25.02.2026 06:45:20 it moved with speed 0 km/h near 'R708, Kisarawe, Kisarawe DC, Pwani Region, Tanzania'.</t>
  </si>
  <si>
    <t>T267EBX =&gt; IDLING. At 25.02.2026 16:33:56 it moved with speed 0 km/h near 'R708, Kisarawe, Kisarawe DC, Pwani Region, Tanzania'.</t>
  </si>
  <si>
    <t>T315EBX =&gt; IDLING. At 25.02.2026 19:33:52 it moved with speed 0 km/h near 'Tanzania to Zambia Road, Mafinga TC, Boma Ward, Iringa Region, Tanzania'.</t>
  </si>
  <si>
    <t>T325EBX =&gt; IDLING. At 25.02.2026 12:21:35 it moved with speed 0 km/h near 'R708, Kisarawe, Kisarawe DC, Pwani Region, Tanzania'.</t>
  </si>
  <si>
    <t>T326ECN =&gt; IDLING. At 25.02.2026 12:17:11 it moved with speed 0 km/h near 'R708, Kisarawe, Kisarawe DC, Pwani Region, Tanzania'.</t>
  </si>
  <si>
    <t>T337EBX =&gt; IDLING. At 25.02.2026 11:49:57 it moved with speed 0 km/h near 'Ndola - Kitwe Dual-Carriageway, Copperbelt Province, Zambia, 32.01 km from Ndola'.</t>
  </si>
  <si>
    <t>Ndola - Kitwe Dual-Carriageway, 32.01 km from Ndola</t>
  </si>
  <si>
    <t>T338DHG =&gt; IDLING. At 25.02.2026 10:25:54 it moved with speed 0 km/h near 'M1, Northern Province, Zambia, 4.36 km from Namponda'.</t>
  </si>
  <si>
    <t>M1, 4.36 km from Namponda</t>
  </si>
  <si>
    <t>T381ECN =&gt; IDLING. At 25.02.2026 10:28:32 it moved with speed 0 km/h near 'R708, Kisarawe, Kisarawe DC, Pwani Region, Tanzania'.</t>
  </si>
  <si>
    <t>T389ECN =&gt; IDLING. At 25.02.2026 12:53:58 it moved with speed 0 km/h near 'R708, Kisarawe, Kisarawe DC, Pwani Region, Tanzania'.</t>
  </si>
  <si>
    <t>T397ECN =&gt; IDLING. At 25.02.2026 12:27:19 it moved with speed 0 km/h near 'R708, Kisarawe, Kisarawe DC, Pwani Region, Tanzania'.</t>
  </si>
  <si>
    <t>T404DHG =&gt; IDLING. At 25.02.2026 15:42:48 it moved with speed 0 km/h near 'Morogoro Main Road, Ubungo, Kwembe Ward, Dar es Salaam Region, Tanzania'.</t>
  </si>
  <si>
    <t>Ubungo, Morogoro Main Road</t>
  </si>
  <si>
    <t>T419DHE =&gt; IDLING. At 25.02.2026 09:03:59 it moved with speed 0 km/h near 'Rn1, Haut-Katanga, Democratic Republic of the Congo, 28.33 km from Lubumbashi'.</t>
  </si>
  <si>
    <t>Rn1, 28.33 km from Lubumbashi</t>
  </si>
  <si>
    <t>T438DHG =&gt; IDLING. At 25.02.2026 09:56:09 it moved with speed 0 km/h near 'Bwawani, Gwata Ward, Morogoro DC, Morogoro Region, Tanzania'.</t>
  </si>
  <si>
    <t>T493DYR =&gt; IDLING. At 25.02.2026 11:23:21 it moved with speed 0 km/h near 'Great North Road, Central Province, Zambia, Kapiri Mposhi'.</t>
  </si>
  <si>
    <t>Great North Road, Kapiri Mposhi</t>
  </si>
  <si>
    <t>T494DYR =&gt; IDLING. At 25.02.2026 10:55:06 it moved with speed 0 km/h near 'Route De La Mine Deziwa, Lualaba, Democratic Republic of the Congo, 5.76 km from Kisenda'.</t>
  </si>
  <si>
    <t>T499DYR =&gt; IDLING. At 25.02.2026 09:36:29 it moved with speed 0 km/h near 'T1, Morogoro, Mwembesongo Ward, Morogoro Region, Tanzania'.</t>
  </si>
  <si>
    <t>T512DTR =&gt; IDLING. At 25.02.2026 09:31:35 it moved with speed 0 km/h near 'Route De La Mine Deziwa, Lualaba, Democratic Republic of the Congo, 5.76 km from Kisenda'.</t>
  </si>
  <si>
    <t>T525EBY =&gt; IDLING. At 25.02.2026 14:57:48 it moved with speed 0 km/h near 'R708, Kisarawe, Kisarawe DC, Pwani Region, Tanzania'.</t>
  </si>
  <si>
    <t>T580DTQ =&gt; IDLING. At 25.02.2026 11:23:40 it moved with speed 0 km/h near 'Great North Road, Central Province, Zambia, Kapiri Mposhi'.</t>
  </si>
  <si>
    <t>T635DTQ =&gt; IDLING. At 25.02.2026 11:25:16 it moved with speed 0 km/h near 'Great North Road, Central Province, Zambia, Kapiri Mposhi'.</t>
  </si>
  <si>
    <t>T683EBX</t>
  </si>
  <si>
    <t>T683EBX =&gt; IDLING. At 25.02.2026 08:04:20 it moved with speed 0 km/h near 'R708, Kisarawe, Kisarawe DC, Pwani Region, Tanzania'.</t>
  </si>
  <si>
    <t>T697DEB =&gt; IDLING. At 25.02.2026 11:38:02 it moved with speed 0 km/h near 'Route De La Mine Deziwa, Lualaba, Democratic Republic of the Congo, 5.73 km from Kisenda'.</t>
  </si>
  <si>
    <t>T702DYR =&gt; IDLING. At 25.02.2026 10:03:43 it moved with speed 0 km/h near 'Ilula, Nyalumbu Ward, Kilolo DC, Iringa Region, Tanzania'.</t>
  </si>
  <si>
    <t>Ilula</t>
  </si>
  <si>
    <t>T710EBX =&gt; IDLING. At 25.02.2026 04:05:05 it moved with speed 0 km/h near 'R708, Kisarawe, Kisarawe DC, Pwani Region, Tanzania'.</t>
  </si>
  <si>
    <t>T713DYR =&gt; IDLING. At 25.02.2026 11:15:19 it moved with speed 0 km/h near 'Ndola - Kitwe Dual-Carriageway, Copperbelt Province, Zambia, 33.24 km from Ndola'.</t>
  </si>
  <si>
    <t>T717EBX =&gt; IDLING. At 25.02.2026 03:04:43 it moved with speed 0 km/h near 'R708, Kisarawe, Kisarawe DC, Pwani Region, Tanzania'.</t>
  </si>
  <si>
    <t>T721DEB</t>
  </si>
  <si>
    <t>T721DEB =&gt; IDLING. At 25.02.2026 09:32:41 it moved with speed 0 km/h near 'Rn1, Haut-Katanga, Democratic Republic of the Congo, Baya'.</t>
  </si>
  <si>
    <t>T724DYR =&gt; IDLING. At 25.02.2026 10:38:44 it moved with speed 0 km/h near 'Route De La Mine Deziwa, Lualaba, Democratic Republic of the Congo, 5.73 km from Kisenda'.</t>
  </si>
  <si>
    <t>T749DEB =&gt; IDLING. At 25.02.2026 11:34:54 it moved with speed 0 km/h near 'Route De Likasi, Lubumbashi, Haut-Katanga, Democratic Republic of the Congo'.</t>
  </si>
  <si>
    <t>T785EBW =&gt; IDLING. At 25.02.2026 06:30:05 it moved with speed 0 km/h near 'R708, Kisarawe, Kisarawe DC, Pwani Region, Tanzania'.</t>
  </si>
  <si>
    <t>T794EBW</t>
  </si>
  <si>
    <t>T794EBW =&gt; IDLING. At 25.02.2026 08:05:48 it moved with speed 0 km/h near 'Doma, Doma Ward, Mvomero DC, Morogoro Region, Tanzania'.</t>
  </si>
  <si>
    <t>T862EBY =&gt; IDLING. At 25.02.2026 16:29:51 it moved with speed 0 km/h near 'Ndola - Kitwe Dual-Carriageway, Copperbelt Province, Zambia, 33.24 km from Ndola'.</t>
  </si>
  <si>
    <t>T907EBW =&gt; IDLING. At 25.02.2026 13:07:10 it moved with speed 0 km/h near 'Ndola - Kitwe Dual-Carriageway, Copperbelt Province, Zambia, 32.60 km from Ndola'.</t>
  </si>
  <si>
    <t>Ndola - Kitwe Dual-Carriageway, 32.60 km from Ndola</t>
  </si>
  <si>
    <t>T947DSX =&gt; IDLING. At 25.02.2026 10:41:46 it moved with speed 0 km/h near 'Old Airport Road, Mbeya City, Iyela Ward, Mbeya Region, Tanzania'.</t>
  </si>
  <si>
    <t>Mbeya City, Old Airport Road</t>
  </si>
  <si>
    <t>T965EBW =&gt; IDLING. At 25.02.2026 12:23:38 it moved with speed 0 km/h near 'R708, Kisarawe, Kisarawe DC, Pwani Region, Tanzania'.</t>
  </si>
  <si>
    <t>2026-02-26</t>
  </si>
  <si>
    <t>T146EBX =&gt; IDLING. At 26.02.2026 13:49:30 it moved with speed 0 km/h near 'Mbala, Vigwaza Ward, Chalinze DC, Pwani Region, Tanzania'.</t>
  </si>
  <si>
    <t>Mbala</t>
  </si>
  <si>
    <t>T184EBX =&gt; IDLING. At 26.02.2026 15:28:12 it moved with speed 0 km/h near 'Mbala, Vigwaza Ward, Chalinze DC, Pwani Region, Tanzania'.</t>
  </si>
  <si>
    <t>T261EBX =&gt; IDLING. At 26.02.2026 19:23:13 it moved with speed 0 km/h near 'R708, Kisarawe, Kisarawe DC, Pwani Region, Tanzania'.</t>
  </si>
  <si>
    <t>T315EBX =&gt; IDLING. At 26.02.2026 09:40:31 it moved with speed 0 km/h near 'Igawa, Lugelele Ward, Mbarali DC, Mbeya Region, Tanzania'.</t>
  </si>
  <si>
    <t>Igawa</t>
  </si>
  <si>
    <t>T328EBY =&gt; IDLING. At 26.02.2026 10:32:49 it moved with speed 0 km/h near 'R706, Kibaha TC, Mbwawa Ward, Pwani Region, Tanzania'.</t>
  </si>
  <si>
    <t>Kibaha TC, R706</t>
  </si>
  <si>
    <t>T338DHG =&gt; IDLING. At 26.02.2026 16:04:54 it moved with speed 0 km/h near 'Idiga Songwe, Bonde la Songwe Ward, Mbeya DC, Mbeya Region, Tanzania'.</t>
  </si>
  <si>
    <t>Idiga Songwe</t>
  </si>
  <si>
    <t>T404DHG =&gt; IDLING. At 26.02.2026 08:29:19 it moved with speed 0 km/h near 'Mikese, Mikese Ward, Morogoro DC, Morogoro Region, Tanzania'.</t>
  </si>
  <si>
    <t>Mikese</t>
  </si>
  <si>
    <t>T435DHG =&gt; IDLING. At 26.02.2026 13:53:27 it moved with speed 0 km/h near 'Vigwaza, Vigwaza Ward, Chalinze DC, Pwani Region, Tanzania'.</t>
  </si>
  <si>
    <t>Vigwaza</t>
  </si>
  <si>
    <t>T441DHG =&gt; IDLING. At 26.02.2026 09:41:12 it moved with speed 0 km/h near 'R708, Kisarawe, Kisarawe DC, Pwani Region, Tanzania'.</t>
  </si>
  <si>
    <t>T494DYR =&gt; IDLING. At 26.02.2026 14:49:19 it moved with speed 0 km/h near 'Route De La Mine Deziwa, Lualaba, Democratic Republic of the Congo, 5.72 km from Kisenda'.</t>
  </si>
  <si>
    <t>T498DYR =&gt; IDLING. At 26.02.2026 16:09:45 it moved with speed 0 km/h near 'R708, Kisarawe, Kisarawe DC, Pwani Region, Tanzania'.</t>
  </si>
  <si>
    <t>T520EBY =&gt; IDLING. At 26.02.2026 19:23:17 it moved with speed 0 km/h near 'R708, Kisarawe, Kisarawe DC, Pwani Region, Tanzania'.</t>
  </si>
  <si>
    <t>T585DTQ =&gt; IDLING. At 26.02.2026 09:42:28 it moved with speed 0 km/h near 'Bwawani, Gwata Ward, Morogoro DC, Morogoro Region, Tanzania'.</t>
  </si>
  <si>
    <t>T680EBX =&gt; IDLING. At 26.02.2026 18:16:30 it moved with speed 0 km/h near 'R708, Kisarawe, Kisarawe DC, Pwani Region, Tanzania'.</t>
  </si>
  <si>
    <t>T702DYR =&gt; IDLING. At 26.02.2026 06:42:11 it moved with speed 0 km/h near 'Pingo, Pera Ward, Chalinze DC, Pwani Region, Tanzania'.</t>
  </si>
  <si>
    <t>Pingo</t>
  </si>
  <si>
    <t>T712EBX =&gt; IDLING. At 26.02.2026 13:49:33 it moved with speed 0 km/h near 'Mbala, Vigwaza Ward, Chalinze DC, Pwani Region, Tanzania'.</t>
  </si>
  <si>
    <t>T719DYR =&gt; IDLING. At 26.02.2026 11:46:00 it moved with speed 0 km/h near 'Regional Hospital Road, Mbeya City, Forest Ward, Mbeya Region, Tanzania'.</t>
  </si>
  <si>
    <t>T768EBW =&gt; IDLING. At 26.02.2026 08:10:52 it moved with speed 0 km/h near 'Great North Road, Muchinga Province, Zambia, 12.56 km from Mkasi'.</t>
  </si>
  <si>
    <t>Great North Road, 12.56 km from Mkasi</t>
  </si>
  <si>
    <t>T776EBW =&gt; IDLING. At 26.02.2026 02:54:35 it moved with speed 0 km/h near 'R708, Kisarawe, Kisarawe DC, Pwani Region, Tanzania'.</t>
  </si>
  <si>
    <t>T790EBW</t>
  </si>
  <si>
    <t>T790EBW =&gt; IDLING. At 26.02.2026 13:40:26 it moved with speed 0 km/h near 'Vigwaza, Vigwaza Ward, Chalinze DC, Pwani Region, Tanzania'.</t>
  </si>
  <si>
    <t>T798DYR =&gt; IDLING. At 26.02.2026 16:06:13 it moved with speed 0 km/h near 'R708, Kisarawe, Kisarawe DC, Pwani Region, Tanzania'.</t>
  </si>
  <si>
    <t>T817EBY</t>
  </si>
  <si>
    <t>T817EBY =&gt; IDLING. At 26.02.2026 02:39:38 it moved with speed 0 km/h near 'R708, Kisarawe, Kisarawe DC, Pwani Region, Tanzania'.</t>
  </si>
  <si>
    <t>T868EBW =&gt; IDLING. At 26.02.2026 07:52:13 it moved with speed 0 km/h near 'Ndola - Kitwe Dual-Carriageway, Copperbelt Province, Zambia, 33.24 km from Ndola'.</t>
  </si>
  <si>
    <t>T892EBW =&gt; IDLING. At 26.02.2026 14:58:57 it moved with speed 0 km/h near 'Mbala, Vigwaza Ward, Chalinze DC, Pwani Region, Tanzania'.</t>
  </si>
  <si>
    <t>T939EBW =&gt; IDLING. At 26.02.2026 07:50:51 it moved with speed 0 km/h near 'Ndola - Kitwe Dual-Carriageway, Copperbelt Province, Zambia, 33.22 km from Ndola'.</t>
  </si>
  <si>
    <t>2026-02-27</t>
  </si>
  <si>
    <t>T109EBX =&gt; IDLING. At 27.02.2026 10:15:02 it moved with speed 0 km/h near 'R706, Kibaha TC, Mbwawa Ward, Pwani Region, Tanzania'.</t>
  </si>
  <si>
    <t>T146EBX =&gt; IDLING. At 27.02.2026 12:58:10 it moved with speed 0 km/h near 'Ruaha Mbuyumi, Ruaha Mbuyuni Ward, Kilolo DC, Iringa Region, Tanzania'.</t>
  </si>
  <si>
    <t>T172EBX =&gt; IDLING. At 27.02.2026 07:24:55 it moved with speed 0 km/h near 'Route De Lubumbashi, Haut-Katanga, Democratic Republic of the Congo, Mbalaka'.</t>
  </si>
  <si>
    <t>Route De Lubumbashi, Mbalaka</t>
  </si>
  <si>
    <t>T175EBX =&gt; IDLING. At 27.02.2026 10:34:52 it moved with speed 0 km/h near 'R708, Kisarawe, Kisarawe DC, Pwani Region, Tanzania'.</t>
  </si>
  <si>
    <t>T244EBX</t>
  </si>
  <si>
    <t>T244EBX =&gt; IDLING. At 27.02.2026 09:24:23 it moved with speed 0 km/h near 'R708, Kisarawe, Kisarawe DC, Pwani Region, Tanzania'.</t>
  </si>
  <si>
    <t>T267DDJ =&gt; IDLING. At 27.02.2026 08:06:48 it moved with speed 0 km/h near 'T1, Morogoro, Mwembesongo Ward, Morogoro Region, Tanzania'.</t>
  </si>
  <si>
    <t>T276DDJ =&gt; IDLING. At 27.02.2026 12:44:51 it moved with speed 0 km/h near 'Ndola - Kitwe Dual-Carriageway, Copperbelt Province, Zambia, 33.20 km from Ndola'.</t>
  </si>
  <si>
    <t>T305EBX =&gt; IDLING. At 27.02.2026 08:26:01 it moved with speed 0 km/h near 'R708, Kisarawe, Kisarawe DC, Pwani Region, Tanzania'.</t>
  </si>
  <si>
    <t>T314DDJ =&gt; IDLING. At 27.02.2026 10:10:00 it moved with speed 0 km/h near 'T3, Central Province, Zambia, 6.93 km from Kapiri Mposhi'.</t>
  </si>
  <si>
    <t>T3, 6.93 km from Kapiri Mposhi</t>
  </si>
  <si>
    <t>T325ECN =&gt; IDLING. At 27.02.2026 12:17:40 it moved with speed 0 km/h near 'Great North Road, Central Province, Zambia, 6.25 km from Mkushi'.</t>
  </si>
  <si>
    <t>Great North Road, 6.25 km from Mkushi</t>
  </si>
  <si>
    <t>T337ECN =&gt; IDLING. At 27.02.2026 07:15:53 it moved with speed 0 km/h near 'Route De Lubumbashi, Haut-Katanga, Democratic Republic of the Congo, Mbalaka'.</t>
  </si>
  <si>
    <t>T360DHG =&gt; IDLING. At 27.02.2026 11:28:54 it moved with speed 0 km/h near 'Great North Road, Central Province, Zambia, Serenje'.</t>
  </si>
  <si>
    <t>T378ECN =&gt; IDLING. At 27.02.2026 11:35:20 it moved with speed 0 km/h near 'R708, Kisarawe, Kisarawe DC, Pwani Region, Tanzania'.</t>
  </si>
  <si>
    <t>T404DHG =&gt; IDLING. At 27.02.2026 10:01:03 it moved with speed 0 km/h near 'Tanzania to Zambia Road, Iringa, Kitwiru Ward, Iringa Region, Tanzania'.</t>
  </si>
  <si>
    <t>Iringa, Tanzania to Zambia Road</t>
  </si>
  <si>
    <t>T414DHG =&gt; IDLING. At 27.02.2026 11:32:39 it moved with speed 0 km/h near 'R708, Kisarawe, Kisarawe DC, Pwani Region, Tanzania'.</t>
  </si>
  <si>
    <t>T425DHG =&gt; IDLING. At 27.02.2026 11:44:20 it moved with speed 0 km/h near 'Great North Road, Central Province, Zambia, 11.39 km from Kanona'.</t>
  </si>
  <si>
    <t>Great North Road, 11.39 km from Kanona</t>
  </si>
  <si>
    <t>T512EBY =&gt; IDLING. At 27.02.2026 08:45:00 it moved with speed 0 km/h near 'R708, Kisarawe, Kisarawe DC, Pwani Region, Tanzania'.</t>
  </si>
  <si>
    <t>T514EBY =&gt; IDLING. At 27.02.2026 11:46:08 it moved with speed 0 km/h near 'Great North Road, Central Province, Zambia, 5.19 km from Manjolo'.</t>
  </si>
  <si>
    <t>Great North Road, 5.19 km from Manjolo</t>
  </si>
  <si>
    <t>T524EBY =&gt; IDLING. At 27.02.2026 15:05:40 it moved with speed 0 km/h near 'R708, Kisarawe, Kisarawe DC, Pwani Region, Tanzania'.</t>
  </si>
  <si>
    <t>T579DTQ =&gt; IDLING. At 27.02.2026 07:10:21 it moved with speed 0 km/h near 'Tanzam Road, Mbeya City, Iyunga Ward, Mbeya Region, Tanzania'.</t>
  </si>
  <si>
    <t>Mbeya City, Tanzam Road</t>
  </si>
  <si>
    <t>T587DTQ =&gt; IDLING. At 27.02.2026 17:27:47 it moved with speed 0 km/h near 'R708, Kisarawe, Kisarawe DC, Pwani Region, Tanzania'.</t>
  </si>
  <si>
    <t>T588DTQ =&gt; IDLING. At 27.02.2026 13:54:35 it moved with speed 0 km/h near 'R708, Kisarawe, Kisarawe DC, Pwani Region, Tanzania'.</t>
  </si>
  <si>
    <t>T593DTQ =&gt; IDLING. At 27.02.2026 10:47:52 it moved with speed 0 km/h near 'Ndola - Kitwe Dual-Carriageway, Copperbelt Province, Zambia, 33.18 km from Ndola'.</t>
  </si>
  <si>
    <t>T711EBX =&gt; IDLING. At 27.02.2026 06:42:31 it moved with speed 0 km/h near 'R708, Kisarawe, Kisarawe DC, Pwani Region, Tanzania'.</t>
  </si>
  <si>
    <t>T717EBX =&gt; IDLING. At 27.02.2026 11:46:00 it moved with speed 0 km/h near 'Vigwaza, Vigwaza Ward, Chalinze DC, Pwani Region, Tanzania'.</t>
  </si>
  <si>
    <t>T725EBX =&gt; IDLING. At 27.02.2026 07:12:51 it moved with speed 0 km/h near 'Vigwaza, Vigwaza Ward, Chalinze DC, Pwani Region, Tanzania'.</t>
  </si>
  <si>
    <t>T727DYR =&gt; IDLING. At 27.02.2026 08:57:35 it moved with speed 0 km/h near 'R708, Kisarawe, Kisarawe DC, Pwani Region, Tanzania'.</t>
  </si>
  <si>
    <t>T744EBX =&gt; IDLING. At 27.02.2026 11:09:04 it moved with speed 0 km/h near 'Ndola - Kitwe Dual-Carriageway, Copperbelt Province, Zambia, 33.21 km from Ndola'.</t>
  </si>
  <si>
    <t>T768EBW =&gt; IDLING. At 27.02.2026 11:45:37 it moved with speed 0 km/h near 'Great North Road, Central Province, Zambia, 5.20 km from Manjolo'.</t>
  </si>
  <si>
    <t>Great North Road, 5.20 km from Manjolo</t>
  </si>
  <si>
    <t>T793DYR =&gt; IDLING. At 27.02.2026 10:48:03 it moved with speed 0 km/h near 'R708, Kisarawe, Kisarawe DC, Pwani Region, Tanzania'.</t>
  </si>
  <si>
    <t>T821EBW =&gt; IDLING. At 27.02.2026 07:24:10 it moved with speed 0 km/h near 'Route De Lubumbashi, Haut-Katanga, Democratic Republic of the Congo, Mbalaka'.</t>
  </si>
  <si>
    <t>T876EBW =&gt; IDLING. At 27.02.2026 10:13:26 it moved with speed 0 km/h near 'Tanzania to Zambia Road, Iringa, Kitwiru Ward, Iringa Region, Tanzania'.</t>
  </si>
  <si>
    <t>T930EBW =&gt; IDLING. At 27.02.2026 09:04:38 it moved with speed 0 km/h near 'Bwawani, Gwata Ward, Morogoro DC, Morogoro Region, Tanzania'.</t>
  </si>
  <si>
    <t>T127EBX =&gt; IDLING. At 28.02.2026 09:00:36 it moved with speed 0 km/h near 'Rn1, Lualaba, Democratic Republic of the Congo, 2.60 km from Nkubitwe'.</t>
  </si>
  <si>
    <t>Rn1, 2.60 km from Nkubitwe</t>
  </si>
  <si>
    <t>T184EBX =&gt; IDLING. At 28.02.2026 07:49:47 it moved with speed 0 km/h near 'Kibena, Ifunda Ward, Iringa DC, Iringa Region, Tanzania'.</t>
  </si>
  <si>
    <t>Kibena</t>
  </si>
  <si>
    <t>T227EBX =&gt; IDLING. At 28.02.2026 08:37:04 it moved with speed 0 km/h near 'Rn1, Lualaba, Democratic Republic of the Congo, 2.29 km from Kaidi'.</t>
  </si>
  <si>
    <t>Rn1, 2.29 km from Kaidi</t>
  </si>
  <si>
    <t>T266EBX =&gt; IDLING. At 28.02.2026 08:36:53 it moved with speed 0 km/h near 'Dar es Salaam Road, Morogoro, Tungi Ward, Morogoro Region, Tanzania'.</t>
  </si>
  <si>
    <t>T328EBY =&gt; IDLING. At 28.02.2026 07:47:00 it moved with speed 0 km/h near 'Kibena, Ifunda Ward, Iringa DC, Iringa Region, Tanzania'.</t>
  </si>
  <si>
    <t>T401ECN =&gt; IDLING. At 28.02.2026 13:49:48 it moved with speed 0 km/h near 'Great North Road, Muchinga Province, Zambia, 8.11 km from Chifumbula'.</t>
  </si>
  <si>
    <t>Great North Road, 8.11 km from Chifumbula</t>
  </si>
  <si>
    <t>T402ECN =&gt; IDLING. At 28.02.2026 07:13:25 it moved with speed 0 km/h near 'Kongolo Mkola, Kongolo Ward, Mbarali DC, Mbeya Region, Tanzania'.</t>
  </si>
  <si>
    <t>Kongolo Mkola</t>
  </si>
  <si>
    <t>T405DHG =&gt; IDLING. At 28.02.2026 08:29:18 it moved with speed 0 km/h near 'Rn1, Lualaba, Democratic Republic of the Congo, 2.03 km from Kaidi'.</t>
  </si>
  <si>
    <t>Rn1, 2.03 km from Kaidi</t>
  </si>
  <si>
    <t>T413DHE =&gt; IDLING. At 28.02.2026 08:40:11 it moved with speed 0 km/h near 'R708, Kisarawe, Kisarawe DC, Pwani Region, Tanzania'.</t>
  </si>
  <si>
    <t>T416DHG =&gt; IDLING. At 28.02.2026 09:10:42 it moved with speed 0 km/h near 'M3, Luapula Province, Zambia, 2.73 km from Chembe'.</t>
  </si>
  <si>
    <t>M3, 2.73 km from Chembe</t>
  </si>
  <si>
    <t>T511EBY =&gt; IDLING. At 28.02.2026 09:03:44 it moved with speed 0 km/h near 'Rn1, Lualaba, Democratic Republic of the Congo, 2.60 km from Nkubitwe'.</t>
  </si>
  <si>
    <t>T514EBY =&gt; IDLING. At 28.02.2026 08:45:11 it moved with speed 0 km/h near 'Ndola - Kitwe Dual-Carriageway, Copperbelt Province, Zambia, 33.24 km from Ndola'.</t>
  </si>
  <si>
    <t>T518EBY =&gt; IDLING. At 28.02.2026 08:33:28 it moved with speed 0 km/h near 'Rn1, Lualaba, Democratic Republic of the Congo, 2.13 km from Kaidi'.</t>
  </si>
  <si>
    <t>Rn1, 2.13 km from Kaidi</t>
  </si>
  <si>
    <t>T572DEB =&gt; IDLING. At 28.02.2026 08:48:50 it moved with speed 0 km/h near 'Makwenje, Inyala Ward, Mbeya DC, Mbeya Region, Tanzania'.</t>
  </si>
  <si>
    <t>Makwenje</t>
  </si>
  <si>
    <t>T581DYR =&gt; IDLING. At 28.02.2026 08:51:48 it moved with speed 0 km/h near 'Rn1, Lualaba, Democratic Republic of the Congo, 2.23 km from Kaidi'.</t>
  </si>
  <si>
    <t>Rn1, 2.23 km from Kaidi</t>
  </si>
  <si>
    <t>T584DYR =&gt; IDLING. At 28.02.2026 08:37:22 it moved with speed 0 km/h near 'Rn1, Lualaba, Democratic Republic of the Congo, 2.31 km from Kaidi'.</t>
  </si>
  <si>
    <t>Rn1, 2.31 km from Kaidi</t>
  </si>
  <si>
    <t>T600DTQ =&gt; IDLING. At 28.02.2026 08:39:26 it moved with speed 0 km/h near 'Rn36, Haut-Katanga, Democratic Republic of the Congo, Malashio'.</t>
  </si>
  <si>
    <t>T603DTQ =&gt; IDLING. At 28.02.2026 00:53:48 it moved with speed 0 km/h near 'R708, Kisarawe, Kisarawe DC, Pwani Region, Tanzania'.</t>
  </si>
  <si>
    <t>T689DEB =&gt; IDLING. At 28.02.2026 14:37:08 it moved with speed 0 km/h near 'Vwawa, Vwawa Ward, Mbozi DC, Songwe Region, Tanzania'.</t>
  </si>
  <si>
    <t>Vwawa</t>
  </si>
  <si>
    <t>T714EBX =&gt; IDLING. At 28.02.2026 09:20:21 it moved with speed 0 km/h near 'Rn1, Lualaba, Democratic Republic of the Congo, 2.50 km from Kaidi'.</t>
  </si>
  <si>
    <t>Rn1, 2.50 km from Kaidi</t>
  </si>
  <si>
    <t>T719EBX =&gt; IDLING. At 28.02.2026 08:49:17 it moved with speed 0 km/h near 'Rn1, Lualaba, Democratic Republic of the Congo, 2.62 km from Nkubitwe'.</t>
  </si>
  <si>
    <t>Rn1, 2.62 km from Nkubitwe</t>
  </si>
  <si>
    <t>T723DYR =&gt; IDLING. At 28.02.2026 08:31:28 it moved with speed 0 km/h near 'R708, Kisarawe, Kisarawe DC, Pwani Region, Tanzania'.</t>
  </si>
  <si>
    <t>T734EBX =&gt; IDLING. At 28.02.2026 09:00:30 it moved with speed 0 km/h near 'Regional Hospital Road, Mbeya City, Forest Ward, Mbeya Region, Tanzania'.</t>
  </si>
  <si>
    <t>T746DEB =&gt; IDLING. At 28.02.2026 08:16:12 it moved with speed 0 km/h near 'R708, Kisarawe, Kisarawe DC, Pwani Region, Tanzania'.</t>
  </si>
  <si>
    <t>T747DEB =&gt; IDLING. At 28.02.2026 09:03:46 it moved with speed 0 km/h near 'Rn1, Lualaba, Democratic Republic of the Congo, 2.57 km from Nkubitwe'.</t>
  </si>
  <si>
    <t>Rn1, 2.57 km from Nkubitwe</t>
  </si>
  <si>
    <t>T756EBX =&gt; IDLING. At 28.02.2026 08:23:32 it moved with speed 0 km/h near 'Rn1, Lualaba, Democratic Republic of the Congo, 1.80 km from Kaidi'.</t>
  </si>
  <si>
    <t>Rn1, 1.80 km from Kaidi</t>
  </si>
  <si>
    <t>T797DYR =&gt; IDLING. At 28.02.2026 08:36:52 it moved with speed 0 km/h near 'Rn1, Lualaba, Democratic Republic of the Congo, 2.27 km from Kaidi'.</t>
  </si>
  <si>
    <t>Rn1, 2.27 km from Kaidi</t>
  </si>
  <si>
    <t>T799DYR =&gt; IDLING. At 28.02.2026 08:57:22 it moved with speed 0 km/h near 'Rn1, Lualaba, Democratic Republic of the Congo, 2.60 km from Nkubitwe'.</t>
  </si>
  <si>
    <t>T806DYR =&gt; IDLING. At 28.02.2026 08:28:56 it moved with speed 0 km/h near 'Rn1, Lualaba, Democratic Republic of the Congo, 2.09 km from Kaidi'.</t>
  </si>
  <si>
    <t>Rn1, 2.09 km from Kaidi</t>
  </si>
  <si>
    <t>T815DDS =&gt; IDLING. At 28.02.2026 08:57:02 it moved with speed 0 km/h near 'Rn1, Lualaba, Democratic Republic of the Congo, 2.61 km from Nkubitwe'.</t>
  </si>
  <si>
    <t>Rn1, 2.61 km from Nkubitwe</t>
  </si>
  <si>
    <t>T817EBW =&gt; IDLING. At 28.02.2026 08:20:53 it moved with speed 0 km/h near 'Morogoro Main Road, Kibaha TC, Visiga Ward, Pwani Region, Tanzania'.</t>
  </si>
  <si>
    <t>Kibaha TC, Morogoro Main Road</t>
  </si>
  <si>
    <t>T869EBY =&gt; IDLING. At 28.02.2026 08:29:50 it moved with speed 0 km/h near 'Rn1, Lualaba, Democratic Republic of the Congo, 2.11 km from Kaidi'.</t>
  </si>
  <si>
    <t>Rn1, 2.11 km from Kaidi</t>
  </si>
  <si>
    <t>T909EBW =&gt; IDLING. At 28.02.2026 08:25:12 it moved with speed 0 km/h near 'Rn1, Lualaba, Democratic Republic of the Congo, 1.90 km from Kaidi'.</t>
  </si>
  <si>
    <t>Rn1, 1.90 km from Kaidi</t>
  </si>
  <si>
    <t>T941EBW =&gt; IDLING. At 28.02.2026 09:20:45 it moved with speed 0 km/h near 'Rn1, Lualaba, Democratic Republic of the Congo, 2.48 km from Kaidi'.</t>
  </si>
  <si>
    <t>Rn1, 2.48 km from Kaidi</t>
  </si>
  <si>
    <t xml:space="preserve">DRIVER NAME </t>
  </si>
  <si>
    <t>Count of Time received</t>
  </si>
  <si>
    <t>T127EBX: Harsh braking has been activated. At 01.02.2026 11:48:04 it moved with speed 55 km/h near 'Great North Road, Muchinga Province, Zambia, 7.84 km from Chinunda'.</t>
  </si>
  <si>
    <t>Great North Road, Zambia, Muchinga Province, 7.84 km from Chinunda</t>
  </si>
  <si>
    <t>T271EBY: Harsh braking has been activated. At 01.02.2026 17:02:24 it moved with speed 66 km/h near 'Rn1, Haut-Katanga, Democratic Republic of the Congo, 11.59 km from Sumbilili'.</t>
  </si>
  <si>
    <t>Rn1, Democratic Republic of the Congo, Haut-Katanga, 11.59 km from Sumbilili</t>
  </si>
  <si>
    <t>T282EBY</t>
  </si>
  <si>
    <t>T282EBY: Harsh braking has been activated. At 01.02.2026 06:36:58 it moved with speed 54 km/h near 'Iringa Road, Lundamatwe, Iringa, Tanzania'.</t>
  </si>
  <si>
    <t>Lundamatwe, Iringa Road, Tanzania, Iringa</t>
  </si>
  <si>
    <t>T331EBX: Harsh braking has been activated. At 01.02.2026 13:23:51 it moved with speed 52 km/h near 'T1, Mswiswi, Mbeya, Tanzania'.</t>
  </si>
  <si>
    <t>Mswiswi, T1, Tanzania, Mbeya</t>
  </si>
  <si>
    <t>T341EBX: Harsh braking has been activated. At 01.02.2026 09:26:45 it moved with speed 51 km/h near 'Tanzania To Zambia Road, Iringa, Mufindi, Tanzania, 2.46 km from Ihemi'.</t>
  </si>
  <si>
    <t>Tanzania To Zambia Road, Tanzania, Iringa, Mufindi, 2.46 km from Ihemi</t>
  </si>
  <si>
    <t>T407DHE: Harsh braking has been activated. At 01.02.2026 12:34:53 it moved with speed 56 km/h near 'Iringa Road, Morogoro, Kilosa, Tanzania, 2.90 km from Kidayi 'B''.</t>
  </si>
  <si>
    <t>Iringa Road, Tanzania, Morogoro, Kilosa, 2.90 km from Kidayi 'B'</t>
  </si>
  <si>
    <t>T413DHG: Harsh braking has been activated. At 01.02.2026 12:45:14 it moved with speed 58 km/h near 'Great North Road, Central Province, Zambia, 2.83 km from Chifwefwe B'.</t>
  </si>
  <si>
    <t>Great North Road, Zambia, Central Province, 2.83 km from Chifwefwe B</t>
  </si>
  <si>
    <t>T482DYR</t>
  </si>
  <si>
    <t>T482DYR: Harsh braking has been activated. At 01.02.2026 09:20:37 it moved with speed 55 km/h near 'M3, Northern Province, Zambia, 11.39 km from Makungwe'.</t>
  </si>
  <si>
    <t>M3, Zambia, Northern Province, 11.39 km from Makungwe</t>
  </si>
  <si>
    <t>T494DYR: Harsh braking has been activated. At 01.02.2026 14:26:44 it moved with speed 63 km/h near 'T1, Njombe, Tanzania, 10.30 km from Sao-Hill Forest Plantation'.</t>
  </si>
  <si>
    <t>T1, Tanzania, Njombe, 10.30 km from Sao-Hill Forest Plantation</t>
  </si>
  <si>
    <t>T634DHL: Harsh braking has been activated. At 01.02.2026 13:09:19 it moved with speed 65 km/h near 'Route De Lubumbashi, Haut-Katanga, Democratic Republic of the Congo, 2.29 km from Kapulwa'.</t>
  </si>
  <si>
    <t>Route De Lubumbashi, Democratic Republic of the Congo, Haut-Katanga, 2.29 km from Kapulwa</t>
  </si>
  <si>
    <t>T712DYR: Harsh braking has been activated. At 01.02.2026 09:00:59 it moved with speed 52 km/h near 'T1, Mswiswi, Mbeya, Tanzania'.</t>
  </si>
  <si>
    <t>T250EBX: Harsh braking has been activated. At 02.02.2026 11:33:39 it moved with speed 68 km/h near 'Iringa Road, Iringa, Tanzania, Mtandika 'B''.</t>
  </si>
  <si>
    <t>Iringa Road, Tanzania, Iringa, Mtandika 'B'</t>
  </si>
  <si>
    <t>T329ECN: Harsh braking has been activated. At 02.02.2026 13:35:40 it moved with speed 59 km/h near 'T3, Copperbelt Province, Zambia, 12.39 km from Ndola'.</t>
  </si>
  <si>
    <t>T3, Zambia, Copperbelt Province, 12.39 km from Ndola</t>
  </si>
  <si>
    <t>T331EBX: Harsh braking has been activated. At 02.02.2026 09:29:56 it moved with speed 51 km/h near 'Iringa Road, Lundamatwe, Iringa, Tanzania'.</t>
  </si>
  <si>
    <t>T385ECN: Harsh braking has been activated. At 02.02.2026 14:41:53 it moved with speed 51 km/h near 'T3, Copperbelt Province, Zambia, 23.12 km from Pukota'.</t>
  </si>
  <si>
    <t>T3, Zambia, Copperbelt Province, 23.12 km from Pukota</t>
  </si>
  <si>
    <t>T512DTR: Harsh braking has been activated. At 02.02.2026 07:47:42 it moved with speed 52 km/h near 'T1, Njombe, Makete, Tanzania, 3.98 km from Mabadaga'.</t>
  </si>
  <si>
    <t>T1, Tanzania, Njombe, Makete, 3.98 km from Mabadaga</t>
  </si>
  <si>
    <t>T724DYR: Harsh braking has been activated. At 02.02.2026 08:02:35 it moved with speed 65 km/h near 'Great North Road, Central Province, Zambia, 9.81 km from Chitiwa'.</t>
  </si>
  <si>
    <t>Great North Road, Zambia, Central Province, 9.81 km from Chitiwa</t>
  </si>
  <si>
    <t>T728DYR: Harsh braking has been activated. At 02.02.2026 06:20:27 it moved with speed 70 km/h near 'T1, Njombe, Tanzania, Maguvani'.</t>
  </si>
  <si>
    <t>T1, Tanzania, Njombe, Maguvani</t>
  </si>
  <si>
    <t>T774EBW: Harsh braking has been activated. At 02.02.2026 09:53:00 it moved with speed 63 km/h near 'Great North Road, Muchinga Province, Zambia, 18.58 km from Katibunga'.</t>
  </si>
  <si>
    <t>Great North Road, Zambia, Muchinga Province, 18.58 km from Katibunga</t>
  </si>
  <si>
    <t>T107EBX: Harsh braking has been activated. At 03.02.2026 11:58:49 it moved with speed 56 km/h near 'Great North Road, Central Province, Zambia, 3.45 km from Kanona'.</t>
  </si>
  <si>
    <t>Great North Road, Zambia, Central Province, 3.45 km from Kanona</t>
  </si>
  <si>
    <t>Great North Road, Zambia, Central Province, 11.27 km from Kanona</t>
  </si>
  <si>
    <t>T191EBX: Harsh braking has been activated. At 03.02.2026 08:06:44 it moved with speed 60 km/h near 'Great North Road, Central Province, Zambia, 11.27 km from Kanona'.</t>
  </si>
  <si>
    <t>Iringa Road, Tanzania, Morogoro, Kilosa, 2.06 km from Mikumi</t>
  </si>
  <si>
    <t>T329ECN: Harsh braking has been activated. At 03.02.2026 08:59:41 it moved with speed 53 km/h near 'Great North Road, Muchinga Province, Zambia, 7.88 km from Chinunda'.</t>
  </si>
  <si>
    <t>Great North Road, Zambia, Muchinga Province, 7.88 km from Chinunda</t>
  </si>
  <si>
    <t>Great North Road, Zambia, Central Province, 11.79 km from Kanona</t>
  </si>
  <si>
    <t>T572DYR: Harsh braking has been activated. At 03.02.2026 06:23:26 it moved with speed 61 km/h near 'Iringa Road, Morogoro, Kilosa, Tanzania, Kidayi 'B''.</t>
  </si>
  <si>
    <t>Iringa Road, Tanzania, Morogoro, Kilosa, Kidayi 'B'</t>
  </si>
  <si>
    <t>T728DYR: Harsh braking has been activated. At 03.02.2026 06:32:10 it moved with speed 60 km/h near 'T1, Pwani, Bagamoyo, Tanzania, Msolwa'.</t>
  </si>
  <si>
    <t>T1, Tanzania, Pwani, Bagamoyo, Msolwa</t>
  </si>
  <si>
    <t>T861EBY: Harsh braking has been activated. At 03.02.2026 11:37:55 it moved with speed 53 km/h near 'Morogoro Main Road, Pwani, Kibaha, Tanzania, Ruvu Darajani'.</t>
  </si>
  <si>
    <t>Morogoro Main Road, Tanzania, Pwani, Kibaha, Ruvu Darajani</t>
  </si>
  <si>
    <t>T862EBY: Harsh braking has been activated. At 03.02.2026 07:35:58 it moved with speed 58 km/h near 'Great North Road, Central Province, Zambia, 13.65 km from Kanona'.</t>
  </si>
  <si>
    <t>Great North Road, Zambia, Central Province, 13.65 km from Kanona</t>
  </si>
  <si>
    <t>Great North Road, Zambia, Central Province, 17.50 km from Ndabala</t>
  </si>
  <si>
    <t>Great North Road, Zambia, Central Province, 13.38 km from Muchinka</t>
  </si>
  <si>
    <t>T153EBX: Harsh braking has been activated. At 04.02.2026 07:27:23 it moved with speed 57 km/h near 'Great North Road, Muchinga Province, Zambia, 8.67 km from Mwezo'.</t>
  </si>
  <si>
    <t>Great North Road, Zambia, Muchinga Province, 8.67 km from Mwezo</t>
  </si>
  <si>
    <t>T263EBX: Harsh braking has been activated. At 04.02.2026 06:16:25 it moved with speed 62 km/h near 'Great North Road, Central Province, Zambia, 12.06 km from Muchinka'.</t>
  </si>
  <si>
    <t>Great North Road, Zambia, Central Province, 12.06 km from Muchinka</t>
  </si>
  <si>
    <t>T271EBY: Harsh braking has been activated. At 04.02.2026 07:49:55 it moved with speed 52 km/h near 'T3, Copperbelt Province, Zambia, Ndola'.</t>
  </si>
  <si>
    <t>T3, Zambia, Copperbelt Province, Ndola</t>
  </si>
  <si>
    <t>T392ECN: Harsh braking has been activated. At 04.02.2026 09:17:10 it moved with speed 56 km/h near 'T3, Copperbelt Province, Zambia, 30.60 km from Ndola'.</t>
  </si>
  <si>
    <t>T3, Zambia, Copperbelt Province, 30.60 km from Ndola</t>
  </si>
  <si>
    <t>T482DYR: Harsh braking has been activated. At 04.02.2026 06:19:55 it moved with speed 63 km/h near 'Tanzania To Zambia Road, Iringa, Mufindi, Tanzania, Kinyanambo'.</t>
  </si>
  <si>
    <t>Tanzania To Zambia Road, Tanzania, Iringa, Mufindi, Kinyanambo</t>
  </si>
  <si>
    <t>T734EBX: Harsh braking has been activated. At 04.02.2026 18:36:45 it moved with speed 53 km/h near 'Rn39, Kolwezi, Lualaba, Democratic Republic of the Congo'.</t>
  </si>
  <si>
    <t>Kolwezi, Rn39, Democratic Republic of the Congo, Lualaba</t>
  </si>
  <si>
    <t>T741EBX: Harsh braking has been activated. At 04.02.2026 08:42:17 it moved with speed 61 km/h near 'Rn39, Lualaba, Democratic Republic of the Congo, Kampulu'.</t>
  </si>
  <si>
    <t>Rn39, Democratic Republic of the Congo, Lualaba, Kampulu</t>
  </si>
  <si>
    <t>T798EBW: Harsh braking has been activated. At 04.02.2026 11:00:56 it moved with speed 55 km/h near 'Great North Road, Central Province, Zambia, 13.64 km from Kanona'.</t>
  </si>
  <si>
    <t>Great North Road, Zambia, Central Province, 13.64 km from Kanona</t>
  </si>
  <si>
    <t>T820DDS: Harsh braking has been activated. At 04.02.2026 15:21:50 it moved with speed 63 km/h near 'T1, Mbeya, Tanzania, 7.58 km from Msesule'.</t>
  </si>
  <si>
    <t>T1, Tanzania, Mbeya, 7.58 km from Msesule</t>
  </si>
  <si>
    <t>T821EBW: Harsh braking has been activated. At 04.02.2026 10:32:28 it moved with speed 56 km/h near 'Great North Road, Muchinga Province, Zambia, 17.68 km from Isoka'.</t>
  </si>
  <si>
    <t>Great North Road, Zambia, Muchinga Province, 17.68 km from Isoka</t>
  </si>
  <si>
    <t>T861EBY: Harsh braking has been activated. At 04.02.2026 11:15:54 it moved with speed 67 km/h near 'Iringa Road, Lundamatwe, Iringa, Tanzania'.</t>
  </si>
  <si>
    <t>T875EBY: Harsh braking has been activated. At 04.02.2026 10:21:09 it moved with speed 56 km/h near 'Great North Road, Central Province, Zambia, 13.87 km from Serenje'.</t>
  </si>
  <si>
    <t>Great North Road, Zambia, Central Province, 13.87 km from Serenje</t>
  </si>
  <si>
    <t>T907EBW: Harsh braking has been activated. At 04.02.2026 09:08:03 it moved with speed 51 km/h near 'T3, Ndola, Copperbelt Province, Zambia'.</t>
  </si>
  <si>
    <t>Ndola, T3, Zambia, Copperbelt Province</t>
  </si>
  <si>
    <t>T915EBW: Harsh braking has been activated. At 04.02.2026 09:55:29 it moved with speed 52 km/h near 'Great North Road, Muchinga Province, Zambia, 7.15 km from Chilonga'.</t>
  </si>
  <si>
    <t>Great North Road, Zambia, Muchinga Province, 7.15 km from Chilonga</t>
  </si>
  <si>
    <t>T967EBW: Harsh braking has been activated. At 04.02.2026 17:48:20 it moved with speed 69 km/h near 'Great North Road, Central Province, Zambia, 11.79 km from Bwale'.</t>
  </si>
  <si>
    <t>Great North Road, Zambia, Central Province, 11.79 km from Bwale</t>
  </si>
  <si>
    <t>T153EBX: Harsh braking has been activated. At 05.02.2026 09:29:12 it moved with speed 60 km/h near 'Great North Road, Muchinga Province, Zambia, 5.69 km from Musata'.</t>
  </si>
  <si>
    <t>Great North Road, Zambia, Muchinga Province, 5.69 km from Musata</t>
  </si>
  <si>
    <t>T271EBY: Harsh braking has been activated. At 05.02.2026 07:57:56 it moved with speed 61 km/h near 'Great North Road, Muchinga Province, Zambia, 4.44 km from Musata'.</t>
  </si>
  <si>
    <t>Great North Road, Zambia, Muchinga Province, 4.44 km from Musata</t>
  </si>
  <si>
    <t>T312EBX: Harsh braking has been activated. At 05.02.2026 11:42:54 it moved with speed 53 km/h near 'Great North Road, Muchinga Province, Zambia, 3.17 km from Kalonje'.</t>
  </si>
  <si>
    <t>Great North Road, Zambia, Muchinga Province, 3.17 km from Kalonje</t>
  </si>
  <si>
    <t>T339EBX: Harsh braking has been activated. At 05.02.2026 08:26:33 it moved with speed 62 km/h near 'Rn39, Lualaba, Democratic Republic of the Congo, Zakeo'.</t>
  </si>
  <si>
    <t>Rn39, Democratic Republic of the Congo, Lualaba, Zakeo</t>
  </si>
  <si>
    <t>T402ECN: Harsh braking has been activated. At 05.02.2026 08:08:45 it moved with speed 55 km/h near 'Rn39, Lualaba, Democratic Republic of the Congo, 1.24 km from Kampulu'.</t>
  </si>
  <si>
    <t>Rn39, Democratic Republic of the Congo, Lualaba, 1.24 km from Kampulu</t>
  </si>
  <si>
    <t>T417DHE: Harsh braking has been activated. At 05.02.2026 09:49:11 it moved with speed 60 km/h near 'Iringa Road, Morogoro, Kilosa, Tanzania, Igagala'.</t>
  </si>
  <si>
    <t>Iringa Road, Tanzania, Morogoro, Kilosa, Igagala</t>
  </si>
  <si>
    <t>T513EBY: Harsh braking has been activated. At 05.02.2026 07:47:33 it moved with speed 56 km/h near 'Great North Road, Muchinga Province, Zambia, Kaloswe'.</t>
  </si>
  <si>
    <t>Great North Road, Zambia, Muchinga Province, Kaloswe</t>
  </si>
  <si>
    <t>T703EBX: Harsh braking has been activated. At 05.02.2026 10:29:34 it moved with speed 53 km/h near 'Great North Road, Central Province, Zambia, 3.96 km from Godfrey Kunda'.</t>
  </si>
  <si>
    <t>Great North Road, Zambia, Central Province, 3.96 km from Godfrey Kunda</t>
  </si>
  <si>
    <t>T734EBX: Harsh braking has been activated. At 05.02.2026 08:11:34 it moved with speed 57 km/h near 'Rn39, Lualaba, Democratic Republic of the Congo, Kabwe Dikuku (Sud)'.</t>
  </si>
  <si>
    <t>Rn39, Democratic Republic of the Congo, Lualaba, Kabwe Dikuku (Sud)</t>
  </si>
  <si>
    <t>T820DDS: Harsh braking has been activated. At 05.02.2026 08:57:41 it moved with speed 52 km/h near 'Iringa Road, Iringa, Tanzania, 1.08 km from Ikokoto'.</t>
  </si>
  <si>
    <t>Iringa Road, Tanzania, Iringa, 1.08 km from Ikokoto</t>
  </si>
  <si>
    <t>T868EBW: Harsh braking has been activated. At 05.02.2026 08:47:07 it moved with speed 65 km/h near 'Great North Road, Muchinga Province, Zambia, 2.27 km from Chilonga'.</t>
  </si>
  <si>
    <t>Great North Road, Zambia, Muchinga Province, 2.27 km from Chilonga</t>
  </si>
  <si>
    <t>T878EBY: Harsh braking has been activated. At 05.02.2026 13:36:57 it moved with speed 67 km/h near 'Rn1, Haut-Katanga, Democratic Republic of the Congo, Kapolowe'.</t>
  </si>
  <si>
    <t>Rn1, Democratic Republic of the Congo, Haut-Katanga, Kapolowe</t>
  </si>
  <si>
    <t>T907EBW: Harsh braking has been activated. At 05.02.2026 11:40:17 it moved with speed 53 km/h near 'Great North Road, Muchinga Province, Zambia, 20.24 km from Katibunga'.</t>
  </si>
  <si>
    <t>Great North Road, Zambia, Muchinga Province, 20.24 km from Katibunga</t>
  </si>
  <si>
    <t>T950EBW: Harsh braking has been activated. At 05.02.2026 15:08:10 it moved with speed 55 km/h near 'Great North Road, Muchinga Province, Zambia, 11.23 km from Amosi Pumba'.</t>
  </si>
  <si>
    <t>Great North Road, Zambia, Muchinga Province, 11.23 km from Amosi Pumba</t>
  </si>
  <si>
    <t>T975EBW: Harsh braking has been activated. At 05.02.2026 07:29:19 it moved with speed 55 km/h near 'Great North Road, Muchinga Province, Zambia, 7.37 km from Sebuloni'.</t>
  </si>
  <si>
    <t>Great North Road, Zambia, Muchinga Province, 7.37 km from Sebuloni</t>
  </si>
  <si>
    <t>T153EBX: Harsh braking has been activated. At 06.02.2026 10:42:47 it moved with speed 53 km/h near 'Fisenge Bypass, Ndola, Copperbelt Province, Zambia'.</t>
  </si>
  <si>
    <t>Ndola, Fisenge Bypass, Zambia, Copperbelt Province</t>
  </si>
  <si>
    <t>T329ECN: Harsh braking has been activated. At 06.02.2026 08:28:30 it moved with speed 61 km/h near 'Iringa Road, Iringa, Tanzania, Matassi'.</t>
  </si>
  <si>
    <t>Iringa Road, Tanzania, Iringa, Matassi</t>
  </si>
  <si>
    <t>T748EBX: Harsh braking has been activated. At 06.02.2026 09:22:38 it moved with speed 53 km/h near 'Great North Road, Muchinga Province, Zambia, 6.90 km from Rumbuka'.</t>
  </si>
  <si>
    <t>Great North Road, Zambia, Muchinga Province, 6.90 km from Rumbuka</t>
  </si>
  <si>
    <t>T772DYR: Harsh braking has been activated. At 06.02.2026 17:08:28 it moved with speed 52 km/h near 'Great North Road, Central Province, Zambia, 14.56 km from Kanona'.</t>
  </si>
  <si>
    <t>Great North Road, Zambia, Central Province, 14.56 km from Kanona</t>
  </si>
  <si>
    <t>T862EBY: Harsh braking has been activated. At 06.02.2026 08:37:22 it moved with speed 52 km/h near 'T1, Mbeya, Tanzania, 1.07 km from Makwenje'.</t>
  </si>
  <si>
    <t>T1, Tanzania, Mbeya, 1.07 km from Makwenje</t>
  </si>
  <si>
    <t>T873EBW: Harsh braking has been activated. At 06.02.2026 09:11:26 it moved with speed 52 km/h near 'Great North Road, Muchinga Province, Zambia, Chilonga'.</t>
  </si>
  <si>
    <t>Great North Road, Zambia, Muchinga Province, Chilonga</t>
  </si>
  <si>
    <t>T915EBW: Harsh braking has been activated. At 06.02.2026 09:22:16 it moved with speed 61 km/h near 'M16, Copperbelt Province, Zambia, 1.87 km from Kalulushi'.</t>
  </si>
  <si>
    <t>M16, Zambia, Copperbelt Province, 1.87 km from Kalulushi</t>
  </si>
  <si>
    <t>T269EBX: Harsh braking has been activated. At 07.02.2026 07:31:06 it moved with speed 63 km/h near 'Great North Road, Central Province, Zambia, 8.01 km from Tanemeka'.</t>
  </si>
  <si>
    <t>Great North Road, Zambia, Central Province, 8.01 km from Tanemeka</t>
  </si>
  <si>
    <t>T327EBX: Harsh braking has been activated. At 07.02.2026 15:44:23 it moved with speed 54 km/h near 'Great North Road, Muchinga Province, Zambia, 10.37 km from Godfrey Kunda'.</t>
  </si>
  <si>
    <t>Great North Road, Zambia, Muchinga Province, 10.37 km from Godfrey Kunda</t>
  </si>
  <si>
    <t>T438DHG: Harsh braking has been activated. At 07.02.2026 12:45:58 it moved with speed 82 km/h near 'Rn1, Haut-Katanga, Democratic Republic of the Congo, 9.55 km from Kikula'.</t>
  </si>
  <si>
    <t>Rn1, Democratic Republic of the Congo, Haut-Katanga, 9.55 km from Kikula</t>
  </si>
  <si>
    <t>T496DYR: Harsh braking has been activated. At 07.02.2026 13:15:23 it moved with speed 62 km/h near 'Great North Road, Central Province, Zambia, 9.89 km from Kanona'.</t>
  </si>
  <si>
    <t>Great North Road, Zambia, Central Province, 9.89 km from Kanona</t>
  </si>
  <si>
    <t>T568DYR: Harsh braking has been activated. At 07.02.2026 10:46:09 it moved with speed 65 km/h near 'Rn1, Haut-Katanga, Democratic Republic of the Congo, 15.02 km from Tumbwe'.</t>
  </si>
  <si>
    <t>Rn1, Democratic Republic of the Congo, Haut-Katanga, 15.02 km from Tumbwe</t>
  </si>
  <si>
    <t>T583DYR: Harsh braking has been activated. At 07.02.2026 08:02:41 it moved with speed 58 km/h near 'Great North Road, Muchinga Province, Zambia, Kalonje'.</t>
  </si>
  <si>
    <t>Great North Road, Zambia, Muchinga Province, Kalonje</t>
  </si>
  <si>
    <t>T793EBW: Harsh braking has been activated. At 07.02.2026 11:16:15 it moved with speed 58 km/h near 'Rn1, Haut-Katanga, Democratic Republic of the Congo, 4.02 km from Lwisha'.</t>
  </si>
  <si>
    <t>Rn1, Democratic Republic of the Congo, Haut-Katanga, 4.02 km from Lwisha</t>
  </si>
  <si>
    <t>T954DSX: Harsh braking has been activated. At 07.02.2026 14:12:58 it moved with speed 56 km/h near 'Rn39, Lualaba, Democratic Republic of the Congo, Lutanda'.</t>
  </si>
  <si>
    <t>Rn39, Democratic Republic of the Congo, Lualaba, Lutanda</t>
  </si>
  <si>
    <t>T315EBX: Harsh braking has been activated. At 08.02.2026 06:57:38 it moved with speed 51 km/h near 'Great North Road, Central Province, Zambia, 4.77 km from Godfrey Kunda'.</t>
  </si>
  <si>
    <t>Great North Road, Zambia, Central Province, 4.77 km from Godfrey Kunda</t>
  </si>
  <si>
    <t>T713DYR: Harsh braking has been activated. At 08.02.2026 07:31:59 it moved with speed 51 km/h near 'T1, Njombe, Tanzania, 6.54 km from Nyololo'.</t>
  </si>
  <si>
    <t>T1, Tanzania, Njombe, 6.54 km from Nyololo</t>
  </si>
  <si>
    <t>T840EBY: Harsh braking has been activated. At 08.02.2026 08:57:44 it moved with speed 51 km/h near 'Great North Road, Central Province, Zambia, 5.23 km from Mkushi'.</t>
  </si>
  <si>
    <t>Great North Road, Zambia, Central Province, 5.23 km from Mkushi</t>
  </si>
  <si>
    <t>T842EBY: Harsh braking has been activated. At 08.02.2026 16:27:34 it moved with speed 54 km/h near 'T3, Ndola, Copperbelt Province, Zambia'.</t>
  </si>
  <si>
    <t>T875EBY: Harsh braking has been activated. At 08.02.2026 06:25:52 it moved with speed 55 km/h near 'Iringa Road, Morogoro, Kilosa, Tanzania, Kidayi 'A''.</t>
  </si>
  <si>
    <t>Iringa Road, Tanzania, Morogoro, Kilosa, Kidayi 'A'</t>
  </si>
  <si>
    <t>T905EBW: Harsh braking has been activated. At 08.02.2026 09:58:46 it moved with speed 60 km/h near 'T1, Mbeya, Tanzania, 1.79 km from Mfumbi'.</t>
  </si>
  <si>
    <t>T1, Tanzania, Mbeya, 1.79 km from Mfumbi</t>
  </si>
  <si>
    <t>T907EBW: Harsh braking has been activated. At 08.02.2026 14:55:04 it moved with speed 66 km/h near 'T1, Njombe, Tanzania, 6.32 km from Nyololo'.</t>
  </si>
  <si>
    <t>T1, Tanzania, Njombe, 6.32 km from Nyololo</t>
  </si>
  <si>
    <t>T146EBX: Harsh braking has been activated. At 09.02.2026 10:55:21 it moved with speed 54 km/h near 'Great North Road, Central Province, Zambia, 3.98 km from Serenje'.</t>
  </si>
  <si>
    <t>Great North Road, Zambia, Central Province, 3.98 km from Serenje</t>
  </si>
  <si>
    <t>T235EBX: Harsh braking has been activated. At 09.02.2026 12:02:09 it moved with speed 55 km/h near 'Avenue Kawama, Katuba, Congo (Democratic Republic of the)'.</t>
  </si>
  <si>
    <t>Katuba, Avenue Kawama, Congo (Democratic Republic of the)</t>
  </si>
  <si>
    <t>T271EBY: Harsh braking has been activated. At 09.02.2026 06:14:16 it moved with speed 56 km/h near 'T1, Njombe, Tanzania, 2.30 km from Idofi'.</t>
  </si>
  <si>
    <t>T1, Tanzania, Njombe, 2.30 km from Idofi</t>
  </si>
  <si>
    <t>T497DYR: Harsh braking has been activated. At 09.02.2026 11:28:33 it moved with speed 54 km/h near 'Iringa Road, Morogoro, Kilosa, Tanzania, 13.14 km from Msimba'.</t>
  </si>
  <si>
    <t>Iringa Road, Tanzania, Morogoro, Kilosa, 13.14 km from Msimba</t>
  </si>
  <si>
    <t>T521EBY: Harsh braking has been activated. At 09.02.2026 10:29:45 it moved with speed 51 km/h near 'Great North Road, Muchinga Province, Zambia, 2.18 km from Kaole'.</t>
  </si>
  <si>
    <t>Great North Road, Zambia, Muchinga Province, 2.18 km from Kaole</t>
  </si>
  <si>
    <t>T589DYR: Harsh braking has been activated. At 09.02.2026 07:17:27 it moved with speed 53 km/h near 'Rn1, Haut-Katanga, Democratic Republic of the Congo, 11.61 km from Chamba'.</t>
  </si>
  <si>
    <t>Rn1, Democratic Republic of the Congo, Haut-Katanga, 11.61 km from Chamba</t>
  </si>
  <si>
    <t>T842EBY: Harsh braking has been activated. At 09.02.2026 15:23:42 it moved with speed 58 km/h near 'Great North Road, Muchinga Province, Zambia, 3.88 km from Kaloswe'.</t>
  </si>
  <si>
    <t>Great North Road, Zambia, Muchinga Province, 3.88 km from Kaloswe</t>
  </si>
  <si>
    <t>T861EBY: Harsh braking has been activated. At 09.02.2026 08:09:30 it moved with speed 51 km/h near 'Great North Road, Central Province, Zambia, 11.84 km from Bwale'.</t>
  </si>
  <si>
    <t>Great North Road, Zambia, Central Province, 11.84 km from Bwale</t>
  </si>
  <si>
    <t>T899EBW: Harsh braking has been activated. At 09.02.2026 13:51:30 it moved with speed 60 km/h near 'Great North Road, Muchinga Province, Zambia, 3.50 km from Isoka'.</t>
  </si>
  <si>
    <t>Great North Road, Zambia, Muchinga Province, 3.50 km from Isoka</t>
  </si>
  <si>
    <t>T907EBW: Harsh braking has been activated. At 09.02.2026 10:36:37 it moved with speed 54 km/h near 'Iringa Road, Morogoro, Kilosa, Tanzania, 11.87 km from Msimba'.</t>
  </si>
  <si>
    <t>Iringa Road, Tanzania, Morogoro, Kilosa, 11.87 km from Msimba</t>
  </si>
  <si>
    <t>T930EBW: Harsh braking has been activated. At 09.02.2026 12:35:21 it moved with speed 55 km/h near 'Great North Road, Central Province, Zambia, 10.50 km from Tanemeka'.</t>
  </si>
  <si>
    <t>Great North Road, Zambia, Central Province, 10.50 km from Tanemeka</t>
  </si>
  <si>
    <t>T955EBW: Harsh braking has been activated. At 09.02.2026 10:07:48 it moved with speed 68 km/h near 'Iringa Road, Iringa, Tanzania, Matassi'.</t>
  </si>
  <si>
    <t>T379ECN: Harsh braking has been activated. At 10.02.2026 10:02:50 it moved with speed 52 km/h near 'Iringa Road, Morogoro, Kilosa, Tanzania, 12.29 km from Msimba'.</t>
  </si>
  <si>
    <t>Iringa Road, Tanzania, Morogoro, Kilosa, 12.29 km from Msimba</t>
  </si>
  <si>
    <t>T591DTQ: Harsh braking has been activated. At 10.02.2026 12:12:44 it moved with speed 64 km/h near 'T1, Morogoro, Tanzania, 4.00 km from Fulwe'.</t>
  </si>
  <si>
    <t>T1, Tanzania, Morogoro, 4.00 km from Fulwe</t>
  </si>
  <si>
    <t>T728DYR: Harsh braking has been activated. At 10.02.2026 19:07:46 it moved with speed 61 km/h near 'Iringa Road, Morogoro, Kilosa, Tanzania, 13.94 km from Igagala'.</t>
  </si>
  <si>
    <t>Iringa Road, Tanzania, Morogoro, Kilosa, 13.94 km from Igagala</t>
  </si>
  <si>
    <t>T817EBW: Harsh braking has been activated. At 10.02.2026 10:46:07 it moved with speed 72 km/h near 'Rn39, Lualaba, Democratic Republic of the Congo, 1.27 km from Kampulu'.</t>
  </si>
  <si>
    <t>Rn39, Democratic Republic of the Congo, Lualaba, 1.27 km from Kampulu</t>
  </si>
  <si>
    <t>T861EBY: Harsh braking has been activated. At 10.02.2026 07:29:21 it moved with speed 61 km/h near 'T3, Copperbelt Province, Zambia, 7.71 km from Tonde'.</t>
  </si>
  <si>
    <t>T3, Zambia, Copperbelt Province, 7.71 km from Tonde</t>
  </si>
  <si>
    <t>T868EBW: Harsh braking has been activated. At 10.02.2026 06:49:05 it moved with speed 63 km/h near 'Iringa Road, Lundamatwe, Iringa, Tanzania'.</t>
  </si>
  <si>
    <t>T892EBW: Harsh braking has been activated. At 10.02.2026 07:24:57 it moved with speed 57 km/h near 'Great North Road, Muchinga Province, Zambia, 2.33 km from Kalonje'.</t>
  </si>
  <si>
    <t>Great North Road, Zambia, Muchinga Province, 2.33 km from Kalonje</t>
  </si>
  <si>
    <t>T107EBX: Harsh braking has been activated. At 11.02.2026 13:20:07 it moved with speed 52 km/h near 'Rn1, Haut-Katanga, Democratic Republic of the Congo, 45.40 km from Lubumbashi'.</t>
  </si>
  <si>
    <t>Rn1, Democratic Republic of the Congo, Haut-Katanga, 45.40 km from Lubumbashi</t>
  </si>
  <si>
    <t>T153EBX: Harsh braking has been activated. At 11.02.2026 13:50:28 it moved with speed 60 km/h near 'Rn1, Haut-Katanga, Democratic Republic of the Congo, 23.23 km from Tumbwe'.</t>
  </si>
  <si>
    <t>Rn1, Democratic Republic of the Congo, Haut-Katanga, 23.23 km from Tumbwe</t>
  </si>
  <si>
    <t>T318EBX: Harsh braking has been activated. At 11.02.2026 14:12:32 it moved with speed 53 km/h near 'Rn1, Haut-Katanga, Democratic Republic of the Congo, 6.81 km from Lwisha'.</t>
  </si>
  <si>
    <t>Rn1, Democratic Republic of the Congo, Haut-Katanga, 6.81 km from Lwisha</t>
  </si>
  <si>
    <t>T378ECN: Harsh braking has been activated. At 11.02.2026 07:59:08 it moved with speed 58 km/h near 'Rn39, Lualaba, Democratic Republic of the Congo, Kamipungu'.</t>
  </si>
  <si>
    <t>Rn39, Democratic Republic of the Congo, Lualaba, Kamipungu</t>
  </si>
  <si>
    <t>T402ECN: Harsh braking has been activated. At 11.02.2026 12:12:25 it moved with speed 51 km/h near 'Great North Road, Central Province, Zambia, 9.71 km from Chifwefwe B'.</t>
  </si>
  <si>
    <t>Great North Road, Zambia, Central Province, 9.71 km from Chifwefwe B</t>
  </si>
  <si>
    <t>T492DYR: Harsh braking has been activated. At 11.02.2026 07:45:02 it moved with speed 69 km/h near 'Iringa Road, Morogoro, Kilosa, Tanzania, 4.61 km from Igagala'.</t>
  </si>
  <si>
    <t>Iringa Road, Tanzania, Morogoro, Kilosa, 4.61 km from Igagala</t>
  </si>
  <si>
    <t>T528EBY: Harsh braking has been activated. At 11.02.2026 11:36:41 it moved with speed 60 km/h near 'Rn1, Haut-Katanga, Democratic Republic of the Congo, 7.90 km from Lwafu'.</t>
  </si>
  <si>
    <t>Rn1, Democratic Republic of the Congo, Haut-Katanga, 7.90 km from Lwafu</t>
  </si>
  <si>
    <t>T572DYR: Harsh braking has been activated. At 11.02.2026 09:04:22 it moved with speed 59 km/h near 'T1, Pwani, Bagamoyo, Tanzania, 7.06 km from Vigwaza'.</t>
  </si>
  <si>
    <t>T1, Tanzania, Pwani, Bagamoyo, 7.06 km from Vigwaza</t>
  </si>
  <si>
    <t>T591DTQ: Harsh braking has been activated. At 11.02.2026 09:12:45 it moved with speed 52 km/h near 'Iringa Road, Lundamatwe, Iringa, Tanzania'.</t>
  </si>
  <si>
    <t>T734EBX: Harsh braking has been activated. At 11.02.2026 10:41:39 it moved with speed 51 km/h near 'Great North Road, Central Province, Zambia, 4.14 km from Manjolo'.</t>
  </si>
  <si>
    <t>Great North Road, Zambia, Central Province, 4.14 km from Manjolo</t>
  </si>
  <si>
    <t>T741EBX: Harsh braking has been activated. At 11.02.2026 10:49:44 it moved with speed 59 km/h near 'T3, Copperbelt Province, Zambia, 16.28 km from Pukota'.</t>
  </si>
  <si>
    <t>T3, Zambia, Copperbelt Province, 16.28 km from Pukota</t>
  </si>
  <si>
    <t>T755EBX</t>
  </si>
  <si>
    <t>T755EBX: Harsh braking has been activated. At 11.02.2026 09:29:18 it moved with speed 61 km/h near 'Rn1, Haut-Katanga, Democratic Republic of the Congo, Mulungwishi'.</t>
  </si>
  <si>
    <t>Rn1, Democratic Republic of the Congo, Haut-Katanga, Mulungwishi</t>
  </si>
  <si>
    <t>T772DYR: Harsh braking has been activated. At 11.02.2026 09:03:16 it moved with speed 52 km/h near 'Iringa Road, Morogoro, Kilosa, Tanzania, 13.90 km from Igagala'.</t>
  </si>
  <si>
    <t>Iringa Road, Tanzania, Morogoro, Kilosa, 13.90 km from Igagala</t>
  </si>
  <si>
    <t>T803EBW: Harsh braking has been activated. At 11.02.2026 09:36:47 it moved with speed 57 km/h near 'Great North Road, Central Province, Zambia, 1.87 km from Mkushi River'.</t>
  </si>
  <si>
    <t>Great North Road, Zambia, Central Province, 1.87 km from Mkushi River</t>
  </si>
  <si>
    <t>T817EBW: Harsh braking has been activated. At 11.02.2026 08:10:43 it moved with speed 62 km/h near 'Rn1, Haut-Katanga, Democratic Republic of the Congo, Mbalaka'.</t>
  </si>
  <si>
    <t>Rn1, Democratic Republic of the Congo, Haut-Katanga, Mbalaka</t>
  </si>
  <si>
    <t>T871EBY</t>
  </si>
  <si>
    <t>T871EBY: Harsh braking has been activated. At 11.02.2026 08:15:50 it moved with speed 59 km/h near 'Rn39, Lualaba, Democratic Republic of the Congo, 1.38 km from Fungurume'.</t>
  </si>
  <si>
    <t>Rn39, Democratic Republic of the Congo, Lualaba, 1.38 km from Fungurume</t>
  </si>
  <si>
    <t>T914EBW: Harsh braking has been activated. At 11.02.2026 13:45:00 it moved with speed 55 km/h near 'Rn1, Haut-Katanga, Democratic Republic of the Congo, 16.03 km from Lwisha'.</t>
  </si>
  <si>
    <t>Rn1, Democratic Republic of the Congo, Haut-Katanga, 16.03 km from Lwisha</t>
  </si>
  <si>
    <t>T261EBX: Harsh braking has been activated. At 12.02.2026 09:12:14 it moved with speed 53 km/h near 'Great North Road, Central Province, Zambia, 8.21 km from Serenje'.</t>
  </si>
  <si>
    <t>Great North Road, Zambia, Central Province, 8.21 km from Serenje</t>
  </si>
  <si>
    <t>T318EBY: Harsh braking has been activated. At 12.02.2026 07:51:43 it moved with speed 58 km/h near 'Great North Road, Central Province, Zambia, 7.93 km from Godfrey Kunda'.</t>
  </si>
  <si>
    <t>Great North Road, Zambia, Central Province, 7.93 km from Godfrey Kunda</t>
  </si>
  <si>
    <t>T402ECN: Harsh braking has been activated. At 12.02.2026 07:08:05 it moved with speed 56 km/h near 'Great North Road, Muchinga Province, Zambia, 2.11 km from Godfrey Kunda'.</t>
  </si>
  <si>
    <t>Great North Road, Zambia, Muchinga Province, 2.11 km from Godfrey Kunda</t>
  </si>
  <si>
    <t>T407DHE: Harsh braking has been activated. At 12.02.2026 06:34:17 it moved with speed 54 km/h near 'Iringa Road, Morogoro, Tanzania, 1.26 km from Melela Mlandizi'.</t>
  </si>
  <si>
    <t>Iringa Road, Tanzania, Morogoro, 1.26 km from Melela Mlandizi</t>
  </si>
  <si>
    <t>T526EBY: Harsh braking has been activated. At 12.02.2026 08:38:46 it moved with speed 52 km/h near 'Great North Road, Muchinga Province, Zambia, 3.91 km from Kaloswe'.</t>
  </si>
  <si>
    <t>Great North Road, Zambia, Muchinga Province, 3.91 km from Kaloswe</t>
  </si>
  <si>
    <t>T677EBX: Harsh braking has been activated. At 12.02.2026 08:45:50 it moved with speed 53 km/h near 'Great North Road, Muchinga Province, Zambia, 9.41 km from Chinkumba'.</t>
  </si>
  <si>
    <t>Great North Road, Zambia, Muchinga Province, 9.41 km from Chinkumba</t>
  </si>
  <si>
    <t>T725EBX: Harsh braking has been activated. At 12.02.2026 07:36:34 it moved with speed 58 km/h near 'Great North Road, Muchinga Province, Zambia, 7.88 km from Chinunda'.</t>
  </si>
  <si>
    <t>T741EBX: Harsh braking has been activated. At 12.02.2026 08:38:37 it moved with speed 53 km/h near 'Great North Road, Muchinga Province, Zambia, 3.89 km from Kaloswe'.</t>
  </si>
  <si>
    <t>Great North Road, Zambia, Muchinga Province, 3.89 km from Kaloswe</t>
  </si>
  <si>
    <t>T754DEB: Harsh braking has been activated. At 12.02.2026 09:08:25 it moved with speed 56 km/h near 'M4, Copperbelt Province, Zambia, 4.97 km from Mufulira'.</t>
  </si>
  <si>
    <t>M4, Zambia, Copperbelt Province, 4.97 km from Mufulira</t>
  </si>
  <si>
    <t>T755EBX: Harsh braking has been activated. At 12.02.2026 12:34:16 it moved with speed 70 km/h near 'Rn1, Haut-Katanga, Democratic Republic of the Congo, 11.54 km from Chamba'.</t>
  </si>
  <si>
    <t>Rn1, Democratic Republic of the Congo, Haut-Katanga, 11.54 km from Chamba</t>
  </si>
  <si>
    <t>T817EBW: Harsh braking has been activated. At 12.02.2026 16:30:18 it moved with speed 58 km/h near 'Rn1, Haut-Katanga, Democratic Republic of the Congo, 6.78 km from Kasumbalesa'.</t>
  </si>
  <si>
    <t>Rn1, Democratic Republic of the Congo, Haut-Katanga, 6.78 km from Kasumbalesa</t>
  </si>
  <si>
    <t>T873EBY: Harsh braking has been activated. At 12.02.2026 11:28:12 it moved with speed 56 km/h near 'T3, Copperbelt Province, Zambia, 14.25 km from Pukota'.</t>
  </si>
  <si>
    <t>T3, Zambia, Copperbelt Province, 14.25 km from Pukota</t>
  </si>
  <si>
    <t>T904EBW</t>
  </si>
  <si>
    <t>T904EBW: Harsh braking has been activated. At 12.02.2026 14:08:10 it moved with speed 54 km/h near 'Route De Kanianina, Haut-Katanga, Democratic Republic of the Congo, 2.45 km from Kakila'.</t>
  </si>
  <si>
    <t>Route De Kanianina, Democratic Republic of the Congo, Haut-Katanga, 2.45 km from Kakila</t>
  </si>
  <si>
    <t>T102EBX</t>
  </si>
  <si>
    <t>T102EBX: Harsh braking has been activated. At 13.02.2026 14:18:47 it moved with speed 51 km/h near 'Great North Road, Central Province, Zambia, 6.64 km from Godfrey Kunda'.</t>
  </si>
  <si>
    <t>Great North Road, Zambia, Central Province, 6.64 km from Godfrey Kunda</t>
  </si>
  <si>
    <t>T147EBX: Harsh braking has been activated. At 13.02.2026 09:53:46 it moved with speed 52 km/h near 'Great North Road, Muchinga Province, Zambia, 2.41 km from Mpumba'.</t>
  </si>
  <si>
    <t>Great North Road, Zambia, Muchinga Province, 2.41 km from Mpumba</t>
  </si>
  <si>
    <t>T178EBX: Harsh braking has been activated. At 13.02.2026 10:41:11 it moved with speed 56 km/h near 'Great North Road, Muchinga Province, Zambia, 3.92 km from Kaloswe'.</t>
  </si>
  <si>
    <t>Great North Road, Zambia, Muchinga Province, 3.92 km from Kaloswe</t>
  </si>
  <si>
    <t>T232EBX: Harsh braking has been activated. At 13.02.2026 09:10:34 it moved with speed 60 km/h near 'Great North Road, Muchinga Province, Zambia, 19.54 km from Katibunga'.</t>
  </si>
  <si>
    <t>Great North Road, Zambia, Muchinga Province, 19.54 km from Katibunga</t>
  </si>
  <si>
    <t>T269EBX: Harsh braking has been activated. At 13.02.2026 13:17:19 it moved with speed 56 km/h near 'Iringa Road, Lundamatwe, Iringa, Tanzania'.</t>
  </si>
  <si>
    <t>T308EBX: Harsh braking has been activated. At 13.02.2026 16:16:45 it moved with speed 56 km/h near 'Great North Road, Central Province, Zambia, 6.58 km from Kanona'.</t>
  </si>
  <si>
    <t>Great North Road, Zambia, Central Province, 6.58 km from Kanona</t>
  </si>
  <si>
    <t>T386ECN: Harsh braking has been activated. At 13.02.2026 09:28:41 it moved with speed 66 km/h near 'Great North Road, Central Province, Zambia, 9.97 km from Mkushi'.</t>
  </si>
  <si>
    <t>Great North Road, Zambia, Central Province, 9.97 km from Mkushi</t>
  </si>
  <si>
    <t>T390ECN</t>
  </si>
  <si>
    <t>T390ECN: Harsh braking has been activated. At 13.02.2026 08:11:41 it moved with speed 60 km/h near 'Great North Road, Muchinga Province, Zambia, 1.14 km from Mkasi'.</t>
  </si>
  <si>
    <t>Great North Road, Zambia, Muchinga Province, 1.14 km from Mkasi</t>
  </si>
  <si>
    <t>T590DTQ: Harsh braking has been activated. At 13.02.2026 12:34:24 it moved with speed 56 km/h near 'Great North Road, Muchinga Province, Zambia, 12.71 km from Mwezo'.</t>
  </si>
  <si>
    <t>Great North Road, Zambia, Muchinga Province, 12.71 km from Mwezo</t>
  </si>
  <si>
    <t>T680EBX: Harsh braking has been activated. At 13.02.2026 10:47:43 it moved with speed 55 km/h near 'Great North Road, Central Province, Zambia, 3.73 km from Ndabala'.</t>
  </si>
  <si>
    <t>Great North Road, Zambia, Central Province, 3.73 km from Ndabala</t>
  </si>
  <si>
    <t>T710EBX: Harsh braking has been activated. At 13.02.2026 07:59:42 it moved with speed 51 km/h near 'Great North Road, Central Province, Zambia, 14.57 km from Kanona'.</t>
  </si>
  <si>
    <t>Great North Road, Zambia, Central Province, 14.57 km from Kanona</t>
  </si>
  <si>
    <t>T754DEB: Harsh braking has been activated. At 13.02.2026 11:45:13 it moved with speed 51 km/h near 'Great North Road, Central Province, Zambia, 5.87 km from Serenje'.</t>
  </si>
  <si>
    <t>Great North Road, Zambia, Central Province, 5.87 km from Serenje</t>
  </si>
  <si>
    <t>T770DYR: Harsh braking has been activated. At 13.02.2026 10:54:01 it moved with speed 52 km/h near 'Great North Road, Central Province, Zambia, 10.64 km from Muchinka'.</t>
  </si>
  <si>
    <t>Great North Road, Zambia, Central Province, 10.64 km from Muchinka</t>
  </si>
  <si>
    <t>T839EBY: Harsh braking has been activated. At 13.02.2026 16:30:27 it moved with speed 55 km/h near 'Great North Road, Muchinga Province, Zambia, 4.34 km from Musata'.</t>
  </si>
  <si>
    <t>Great North Road, Zambia, Muchinga Province, 4.34 km from Musata</t>
  </si>
  <si>
    <t>T849EBY: Harsh braking has been activated. At 13.02.2026 08:21:08 it moved with speed 58 km/h near 'Great North Road, Muchinga Province, Zambia, Mkasi'.</t>
  </si>
  <si>
    <t>Great North Road, Zambia, Muchinga Province, Mkasi</t>
  </si>
  <si>
    <t>T858EBY: Harsh braking has been activated. At 13.02.2026 11:57:37 it moved with speed 52 km/h near 'Great North Road, Muchinga Province, Zambia, 5.07 km from Kalonje'.</t>
  </si>
  <si>
    <t>Great North Road, Zambia, Muchinga Province, 5.07 km from Kalonje</t>
  </si>
  <si>
    <t>T873EBY: Harsh braking has been activated. At 13.02.2026 07:28:19 it moved with speed 53 km/h near 'Great North Road, Central Province, Zambia, 19.80 km from Serenje'.</t>
  </si>
  <si>
    <t>Great North Road, Zambia, Central Province, 19.80 km from Serenje</t>
  </si>
  <si>
    <t>T891EBW: Harsh braking has been activated. At 13.02.2026 09:30:44 it moved with speed 56 km/h near 'Great North Road, Muchinga Province, Zambia, 6.83 km from Mkasi'.</t>
  </si>
  <si>
    <t>Great North Road, Zambia, Muchinga Province, 6.83 km from Mkasi</t>
  </si>
  <si>
    <t>T904EBW: Harsh braking has been activated. At 13.02.2026 17:01:43 it moved with speed 58 km/h near 'Rn1, Haut-Katanga, Democratic Republic of the Congo, 4.73 km from Tshinsenda'.</t>
  </si>
  <si>
    <t>Rn1, Democratic Republic of the Congo, Haut-Katanga, 4.73 km from Tshinsenda</t>
  </si>
  <si>
    <t>T932EBW: Harsh braking has been activated. At 13.02.2026 15:03:23 it moved with speed 56 km/h near 'Rn1, Haut-Katanga, Democratic Republic of the Congo, 1.96 km from Sumbilili'.</t>
  </si>
  <si>
    <t>Rn1, Democratic Republic of the Congo, Haut-Katanga, 1.96 km from Sumbilili</t>
  </si>
  <si>
    <t>T259EBY: Harsh braking has been activated. At 14.02.2026 06:53:19 it moved with speed 57 km/h near 'Great North Road, Muchinga Province, Zambia, 5.06 km from Mkasi'.</t>
  </si>
  <si>
    <t>Great North Road, Zambia, Muchinga Province, 5.06 km from Mkasi</t>
  </si>
  <si>
    <t>T390ECN: Harsh braking has been activated. At 14.02.2026 08:03:54 it moved with speed 55 km/h near 'Great North Road, Muchinga Province, Zambia, 1.42 km from Musata'.</t>
  </si>
  <si>
    <t>Great North Road, Zambia, Muchinga Province, 1.42 km from Musata</t>
  </si>
  <si>
    <t>T494DYR: Harsh braking has been activated. At 14.02.2026 11:31:51 it moved with speed 58 km/h near 'Great North Road, Muchinga Province, Zambia, 17.50 km from Mukukwe'.</t>
  </si>
  <si>
    <t>Great North Road, Zambia, Muchinga Province, 17.50 km from Mukukwe</t>
  </si>
  <si>
    <t>T512EBY: Harsh braking has been activated. At 14.02.2026 07:49:48 it moved with speed 56 km/h near 'Rue De La Kamoa Mine, Lualaba, Democratic Republic of the Congo, 6.66 km from Kapata'.</t>
  </si>
  <si>
    <t>Rue De La Kamoa Mine, Democratic Republic of the Congo, Lualaba, 6.66 km from Kapata</t>
  </si>
  <si>
    <t>T561DYR: Harsh braking has been activated. At 14.02.2026 15:45:49 it moved with speed 63 km/h near 'Rn1, Haut-Katanga, Democratic Republic of the Congo, 5.40 km from Lwisha'.</t>
  </si>
  <si>
    <t>Rn1, Democratic Republic of the Congo, Haut-Katanga, 5.40 km from Lwisha</t>
  </si>
  <si>
    <t>T588DTQ: Harsh braking has been activated. At 14.02.2026 08:10:21 it moved with speed 53 km/h near 'Rue De La Kamoa Mine, Lualaba, Democratic Republic of the Congo, 1.53 km from Tshizunza'.</t>
  </si>
  <si>
    <t>Rue De La Kamoa Mine, Democratic Republic of the Congo, Lualaba, 1.53 km from Tshizunza</t>
  </si>
  <si>
    <t>T590DTQ: Harsh braking has been activated. At 14.02.2026 11:38:37 it moved with speed 57 km/h near 'Great North Road, Muchinga Province, Zambia, 1.33 km from Kaloswe'.</t>
  </si>
  <si>
    <t>Great North Road, Zambia, Muchinga Province, 1.33 km from Kaloswe</t>
  </si>
  <si>
    <t>T728EBX: Harsh braking has been activated. At 14.02.2026 08:15:41 it moved with speed 55 km/h near 'Great North Road, Muchinga Province, Zambia, Chinkumba'.</t>
  </si>
  <si>
    <t>Great North Road, Zambia, Muchinga Province, Chinkumba</t>
  </si>
  <si>
    <t>T755EBX: Harsh braking has been activated. At 14.02.2026 09:26:21 it moved with speed 67 km/h near 'M16, Copperbelt Province, Zambia, 9.56 km from Kalulushi'.</t>
  </si>
  <si>
    <t>M16, Zambia, Copperbelt Province, 9.56 km from Kalulushi</t>
  </si>
  <si>
    <t>T817EBW: Harsh braking has been activated. At 14.02.2026 09:21:57 it moved with speed 64 km/h near 'M4, Copperbelt Province, Zambia, 4.78 km from Mufulira'.</t>
  </si>
  <si>
    <t>M4, Zambia, Copperbelt Province, 4.78 km from Mufulira</t>
  </si>
  <si>
    <t>T861EBY: Harsh braking has been activated. At 14.02.2026 09:30:23 it moved with speed 55 km/h near 'Route Manshinga, Lubumbashi, Haut-Katanga, Democratic Republic of the Congo'.</t>
  </si>
  <si>
    <t>Lubumbashi, Route Manshinga, Democratic Republic of the Congo, Haut-Katanga</t>
  </si>
  <si>
    <t>T891EBW: Harsh braking has been activated. At 14.02.2026 10:35:02 it moved with speed 58 km/h near 'Great North Road, Central Province, Zambia, 9.10 km from Kanona'.</t>
  </si>
  <si>
    <t>Great North Road, Zambia, Central Province, 9.10 km from Kanona</t>
  </si>
  <si>
    <t>T930EBW: Harsh braking has been activated. At 14.02.2026 07:14:19 it moved with speed 54 km/h near 'Iringa Road, Morogoro, Kilosa, Tanzania, 9.44 km from Igagala'.</t>
  </si>
  <si>
    <t>Iringa Road, Tanzania, Morogoro, Kilosa, 9.44 km from Igagala</t>
  </si>
  <si>
    <t>T946EBW: Harsh braking has been activated. At 14.02.2026 07:31:43 it moved with speed 57 km/h near 'T1, Morogoro, Tanzania, 3.28 km from Fulwe'.</t>
  </si>
  <si>
    <t>T1, Tanzania, Morogoro, 3.28 km from Fulwe</t>
  </si>
  <si>
    <t>T259EBY: Harsh braking has been activated. At 15.02.2026 09:10:04 it moved with speed 56 km/h near 'Great North Road, Central Province, Zambia, 4.86 km from Chifwefwe B'.</t>
  </si>
  <si>
    <t>Great North Road, Zambia, Central Province, 4.86 km from Chifwefwe B</t>
  </si>
  <si>
    <t>T286EBY</t>
  </si>
  <si>
    <t>T286EBY: Harsh braking has been activated. At 15.02.2026 09:54:47 it moved with speed 60 km/h near 'Great North Road, Central Province, Zambia, 4.44 km from Mkushi'.</t>
  </si>
  <si>
    <t>Great North Road, Zambia, Central Province, 4.44 km from Mkushi</t>
  </si>
  <si>
    <t>T396ECN: Harsh braking has been activated. At 15.02.2026 11:52:31 it moved with speed 52 km/h near 'T35, Pwani, Bagamoyo, Tanzania, 1.15 km from Kifudwe'.</t>
  </si>
  <si>
    <t>T35, Tanzania, Pwani, Bagamoyo, 1.15 km from Kifudwe</t>
  </si>
  <si>
    <t>T494DYR: Harsh braking has been activated. At 15.02.2026 18:13:21 it moved with speed 56 km/h near 'Great North Road, Central Province, Zambia, 14.72 km from Ndabala'.</t>
  </si>
  <si>
    <t>Great North Road, Zambia, Central Province, 14.72 km from Ndabala</t>
  </si>
  <si>
    <t>T561DYR: Harsh braking has been activated. At 15.02.2026 09:14:20 it moved with speed 53 km/h near 'Rn1, Haut-Katanga, Democratic Republic of the Congo, 2.28 km from Kasumbalesa'.</t>
  </si>
  <si>
    <t>Rn1, Democratic Republic of the Congo, Haut-Katanga, 2.28 km from Kasumbalesa</t>
  </si>
  <si>
    <t>T578DYR: Harsh braking has been activated. At 15.02.2026 15:58:34 it moved with speed 52 km/h near 'Rn39, Lualaba, Democratic Republic of the Congo, 4.09 km from Kazembe'.</t>
  </si>
  <si>
    <t>Rn39, Democratic Republic of the Congo, Lualaba, 4.09 km from Kazembe</t>
  </si>
  <si>
    <t>T589DYR: Harsh braking has been activated. At 15.02.2026 18:05:38 it moved with speed 67 km/h near 'Rn1, Haut-Katanga, Democratic Republic of the Congo, 1.13 km from Mulungwishi'.</t>
  </si>
  <si>
    <t>Rn1, Democratic Republic of the Congo, Haut-Katanga, 1.13 km from Mulungwishi</t>
  </si>
  <si>
    <t>T728EBX: Harsh braking has been activated. At 15.02.2026 08:49:04 it moved with speed 65 km/h near 'Great North Road, Central Province, Zambia, 11.04 km from Muchinka'.</t>
  </si>
  <si>
    <t>Great North Road, Zambia, Central Province, 11.04 km from Muchinka</t>
  </si>
  <si>
    <t>T755EBX: Harsh braking has been activated. At 15.02.2026 08:30:30 it moved with speed 61 km/h near 'Great North Road, Central Province, Zambia, 9.94 km from Kapiri Mposhi'.</t>
  </si>
  <si>
    <t>Great North Road, Zambia, Central Province, 9.94 km from Kapiri Mposhi</t>
  </si>
  <si>
    <t>T803EBW: Harsh braking has been activated. At 15.02.2026 07:39:10 it moved with speed 53 km/h near 'Iringa Road, Morogoro, Kilosa, Tanzania, 3.90 km from Msimba'.</t>
  </si>
  <si>
    <t>Iringa Road, Tanzania, Morogoro, Kilosa, 3.90 km from Msimba</t>
  </si>
  <si>
    <t>T817EBW: Harsh braking has been activated. At 15.02.2026 09:26:03 it moved with speed 77 km/h near 'Great North Road, Central Province, Zambia, 11.54 km from Chitiwa'.</t>
  </si>
  <si>
    <t>Great North Road, Zambia, Central Province, 11.54 km from Chitiwa</t>
  </si>
  <si>
    <t>T892EBW: Harsh braking has been activated. At 15.02.2026 08:17:54 it moved with speed 55 km/h near 'T1, Mbeya, Tanzania, 4.25 km from Igawa'.</t>
  </si>
  <si>
    <t>T1, Tanzania, Mbeya, 4.25 km from Igawa</t>
  </si>
  <si>
    <t>T235EBX: Harsh braking has been activated. At 16.02.2026 09:07:52 it moved with speed 53 km/h near 'Rn1, Haut-Katanga, Democratic Republic of the Congo, 7.62 km from Sumbilili'.</t>
  </si>
  <si>
    <t>Rn1, Democratic Republic of the Congo, Haut-Katanga, 7.62 km from Sumbilili</t>
  </si>
  <si>
    <t>T286EBY: Harsh braking has been activated. At 16.02.2026 09:58:14 it moved with speed 52 km/h near 'Great North Road, Muchinga Province, Zambia, 3.28 km from Chisoso'.</t>
  </si>
  <si>
    <t>Great North Road, Zambia, Muchinga Province, 3.28 km from Chisoso</t>
  </si>
  <si>
    <t>T331EBX: Harsh braking has been activated. At 16.02.2026 08:16:48 it moved with speed 61 km/h near 'Great North Road, Muchinga Province, Zambia, 5.97 km from Kamangu'.</t>
  </si>
  <si>
    <t>Great North Road, Zambia, Muchinga Province, 5.97 km from Kamangu</t>
  </si>
  <si>
    <t>T339EBX: Harsh braking has been activated. At 16.02.2026 15:52:39 it moved with speed 60 km/h near 'Great North Road, Central Province, Zambia, 6.61 km from Kanona'.</t>
  </si>
  <si>
    <t>Great North Road, Zambia, Central Province, 6.61 km from Kanona</t>
  </si>
  <si>
    <t>T340EBX: Harsh braking has been activated. At 16.02.2026 19:53:41 it moved with speed 56 km/h near 'Rn1, Haut-Katanga, Democratic Republic of the Congo, 8.77 km from Lwambo'.</t>
  </si>
  <si>
    <t>Rn1, Democratic Republic of the Congo, Haut-Katanga, 8.77 km from Lwambo</t>
  </si>
  <si>
    <t>T378ECN: Harsh braking has been activated. At 16.02.2026 07:44:33 it moved with speed 58 km/h near 'Great North Road, Muchinga Province, Zambia, 4.50 km from Chikwanda'.</t>
  </si>
  <si>
    <t>Great North Road, Zambia, Muchinga Province, 4.50 km from Chikwanda</t>
  </si>
  <si>
    <t>T402ECN: Harsh braking has been activated. At 16.02.2026 07:30:44 it moved with speed 55 km/h near 'Iringa Road, Morogoro, Kilosa, Tanzania, 8.73 km from Igagala'.</t>
  </si>
  <si>
    <t>Iringa Road, Tanzania, Morogoro, Kilosa, 8.73 km from Igagala</t>
  </si>
  <si>
    <t>T482DYR: Harsh braking has been activated. At 16.02.2026 11:37:33 it moved with speed 59 km/h near 'Great North Road, Muchinga Province, Zambia, 3.10 km from Mukwikile'.</t>
  </si>
  <si>
    <t>Great North Road, Zambia, Muchinga Province, 3.10 km from Mukwikile</t>
  </si>
  <si>
    <t>T492DYR: Harsh braking has been activated. At 16.02.2026 01:07:44 it moved with speed 54 km/h near 'Kilwa Road, Dar Es Salaam, Azimio, Tanzania'.</t>
  </si>
  <si>
    <t>Dar Es Salaam, Kilwa Road, Tanzania, Azimio</t>
  </si>
  <si>
    <t>T494DYR: Harsh braking has been activated. At 16.02.2026 11:19:59 it moved with speed 57 km/h near 'T3, Copperbelt Province, Zambia, 4.20 km from Pukota'.</t>
  </si>
  <si>
    <t>T3, Zambia, Copperbelt Province, 4.20 km from Pukota</t>
  </si>
  <si>
    <t>T523EBY: Harsh braking has been activated. At 16.02.2026 14:56:01 it moved with speed 57 km/h near 'Great North Road, Muchinga Province, Zambia, 4.80 km from Godfrey Kunda'.</t>
  </si>
  <si>
    <t>Great North Road, Zambia, Muchinga Province, 4.80 km from Godfrey Kunda</t>
  </si>
  <si>
    <t>T524EBY: Harsh braking has been activated. At 16.02.2026 14:03:20 it moved with speed 51 km/h near 'M3, Northern Province, Zambia, 2.21 km from Chikoti'.</t>
  </si>
  <si>
    <t>M3, Zambia, Northern Province, 2.21 km from Chikoti</t>
  </si>
  <si>
    <t>T561DYR: Harsh braking has been activated. At 16.02.2026 07:44:28 it moved with speed 53 km/h near 'M3, Luapula Province, Zambia, 20.83 km from Kundamtumu'.</t>
  </si>
  <si>
    <t>M3, Zambia, Luapula Province, 20.83 km from Kundamtumu</t>
  </si>
  <si>
    <t>T581DTQ: Harsh braking has been activated. At 16.02.2026 11:55:27 it moved with speed 54 km/h near 'Rn1, Haut-Katanga, Democratic Republic of the Congo, 1.87 km from Kapolowe'.</t>
  </si>
  <si>
    <t>Rn1, Democratic Republic of the Congo, Haut-Katanga, 1.87 km from Kapolowe</t>
  </si>
  <si>
    <t>T817EBW: Harsh braking has been activated. At 16.02.2026 10:12:00 it moved with speed 51 km/h near 'Great North Road, Muchinga Province, Zambia, 4.81 km from Chisoso'.</t>
  </si>
  <si>
    <t>Great North Road, Zambia, Muchinga Province, 4.81 km from Chisoso</t>
  </si>
  <si>
    <t>T871EBY: Harsh braking has been activated. At 16.02.2026 08:49:57 it moved with speed 54 km/h near 'Great North Road, Central Province, Zambia, 2.33 km from Kanona'.</t>
  </si>
  <si>
    <t>Great North Road, Zambia, Central Province, 2.33 km from Kanona</t>
  </si>
  <si>
    <t>T878EBY: Harsh braking has been activated. At 16.02.2026 07:39:06 it moved with speed 52 km/h near 'Great North Road, Central Province, Zambia, 5.11 km from Kapiri Mposhi'.</t>
  </si>
  <si>
    <t>Great North Road, Zambia, Central Province, 5.11 km from Kapiri Mposhi</t>
  </si>
  <si>
    <t>T887EBW: Harsh braking has been activated. At 16.02.2026 17:01:29 it moved with speed 53 km/h near 'Great North Road, Muchinga Province, Zambia, 8.88 km from Chilonga'.</t>
  </si>
  <si>
    <t>Great North Road, Zambia, Muchinga Province, 8.88 km from Chilonga</t>
  </si>
  <si>
    <t>T892EBW: Harsh braking has been activated. At 16.02.2026 11:10:59 it moved with speed 62 km/h near 'Iringa Road, Lundamatwe, Iringa, Tanzania'.</t>
  </si>
  <si>
    <t>T905EBW: Harsh braking has been activated. At 16.02.2026 15:47:25 it moved with speed 56 km/h near 'Iringa Road, Morogoro, Tanzania, 4.80 km from Mtipule'.</t>
  </si>
  <si>
    <t>Iringa Road, Tanzania, Morogoro, 4.80 km from Mtipule</t>
  </si>
  <si>
    <t>T144EBX: Harsh braking has been activated. At 17.02.2026 07:36:39 it moved with speed 55 km/h near 'Great North Road, Muchinga Province, Zambia, 9.45 km from Mukwikile'.</t>
  </si>
  <si>
    <t>Great North Road, Zambia, Muchinga Province, 9.45 km from Mukwikile</t>
  </si>
  <si>
    <t>T235EBX: Harsh braking has been activated. At 17.02.2026 10:12:17 it moved with speed 51 km/h near 'Rn36, Haut-Katanga, Democratic Republic of the Congo, 11.65 km from Kadima'.</t>
  </si>
  <si>
    <t>Rn36, Democratic Republic of the Congo, Haut-Katanga, 11.65 km from Kadima</t>
  </si>
  <si>
    <t>T278EBY: Harsh braking has been activated. At 17.02.2026 11:16:03 it moved with speed 63 km/h near 'T2, Tanga, Handeni, Tanzania, Kwenkwale'.</t>
  </si>
  <si>
    <t>T2, Tanzania, Tanga, Handeni, Kwenkwale</t>
  </si>
  <si>
    <t>T340EBX: Harsh braking has been activated. At 17.02.2026 11:58:12 it moved with speed 51 km/h near 'Rn1, Haut-Katanga, Democratic Republic of the Congo, 3.72 km from Sumbilili'.</t>
  </si>
  <si>
    <t>Rn1, Democratic Republic of the Congo, Haut-Katanga, 3.72 km from Sumbilili</t>
  </si>
  <si>
    <t>T498DYR: Harsh braking has been activated. At 17.02.2026 14:24:08 it moved with speed 51 km/h near 'M3, Luapula Province, Zambia, 18.28 km from Chembe'.</t>
  </si>
  <si>
    <t>M3, Zambia, Luapula Province, 18.28 km from Chembe</t>
  </si>
  <si>
    <t>T512EBY: Harsh braking has been activated. At 17.02.2026 09:56:07 it moved with speed 63 km/h near 'M3, Northern Province, Zambia, Chiwembe'.</t>
  </si>
  <si>
    <t>M3, Zambia, Northern Province, Chiwembe</t>
  </si>
  <si>
    <t>T520EBY: Harsh braking has been activated. At 17.02.2026 09:56:09 it moved with speed 61 km/h near 'Great North Road, Muchinga Province, Zambia, 2.28 km from Mpumba'.</t>
  </si>
  <si>
    <t>Great North Road, Zambia, Muchinga Province, 2.28 km from Mpumba</t>
  </si>
  <si>
    <t>T528EBY: Harsh braking has been activated. At 17.02.2026 07:25:13 it moved with speed 54 km/h near 'Great North Road, Central Province, Zambia, 9.60 km from Godfrey Kunda'.</t>
  </si>
  <si>
    <t>Great North Road, Zambia, Central Province, 9.60 km from Godfrey Kunda</t>
  </si>
  <si>
    <t>T561DYR: Harsh braking has been activated. At 17.02.2026 13:25:00 it moved with speed 54 km/h near 'T1, Mbeya, Tanzania, 3.95 km from Makwenje'.</t>
  </si>
  <si>
    <t>T1, Tanzania, Mbeya, 3.95 km from Makwenje</t>
  </si>
  <si>
    <t>T589DYR: Harsh braking has been activated. At 17.02.2026 18:41:46 it moved with speed 64 km/h near 'M3, Northern Province, Zambia, 4.32 km from Luwingu'.</t>
  </si>
  <si>
    <t>M3, Zambia, Northern Province, 4.32 km from Luwingu</t>
  </si>
  <si>
    <t>T661DTQ: Harsh braking has been activated. At 17.02.2026 03:24:27 it moved with speed 52 km/h near 'Rn1, Haut-Katanga, Democratic Republic of the Congo, 6.99 km from Sumbilili'.</t>
  </si>
  <si>
    <t>Rn1, Democratic Republic of the Congo, Haut-Katanga, 6.99 km from Sumbilili</t>
  </si>
  <si>
    <t>T723DYR: Harsh braking has been activated. At 17.02.2026 15:13:37 it moved with speed 57 km/h near 'M3, Luapula Province, Zambia, 14.86 km from Kundamtumu'.</t>
  </si>
  <si>
    <t>M3, Zambia, Luapula Province, 14.86 km from Kundamtumu</t>
  </si>
  <si>
    <t>T904EBW: Harsh braking has been activated. At 17.02.2026 10:11:11 it moved with speed 53 km/h near 'Great North Road, Central Province, Zambia, 6.47 km from Kanona'.</t>
  </si>
  <si>
    <t>Great North Road, Zambia, Central Province, 6.47 km from Kanona</t>
  </si>
  <si>
    <t>T905EBW: Harsh braking has been activated. At 17.02.2026 07:45:30 it moved with speed 53 km/h near 'Iringa Road, Iringa, Tanzania, Mahenge'.</t>
  </si>
  <si>
    <t>Iringa Road, Tanzania, Iringa, Mahenge</t>
  </si>
  <si>
    <t>T907EBW: Harsh braking has been activated. At 17.02.2026 09:28:30 it moved with speed 54 km/h near 'Iringa Road, Morogoro, Tanzania, 4.49 km from Mtipule'.</t>
  </si>
  <si>
    <t>Iringa Road, Tanzania, Morogoro, 4.49 km from Mtipule</t>
  </si>
  <si>
    <t>T927EBW: Harsh braking has been activated. At 17.02.2026 12:27:08 it moved with speed 52 km/h near 'T1, Mbeya, Tanzania, Lunwa'.</t>
  </si>
  <si>
    <t>T1, Tanzania, Mbeya, Lunwa</t>
  </si>
  <si>
    <t>T980EBW</t>
  </si>
  <si>
    <t>T980EBW: Harsh braking has been activated. At 17.02.2026 10:10:53 it moved with speed 58 km/h near 'Rn1, Haut-Katanga, Democratic Republic of the Congo, Mununu'.</t>
  </si>
  <si>
    <t>Rn1, Democratic Republic of the Congo, Haut-Katanga, Mununu</t>
  </si>
  <si>
    <t>T154EBX: Harsh braking has been activated. At 18.02.2026 08:22:12 it moved with speed 52 km/h near 'Great North Road, Central Province, Zambia, 2.42 km from Kanona'.</t>
  </si>
  <si>
    <t>Great North Road, Zambia, Central Province, 2.42 km from Kanona</t>
  </si>
  <si>
    <t>T175EBX: Harsh braking has been activated. At 18.02.2026 07:46:53 it moved with speed 52 km/h near 'Great North Road, Central Province, Zambia, 12.26 km from Muchinka'.</t>
  </si>
  <si>
    <t>Great North Road, Zambia, Central Province, 12.26 km from Muchinka</t>
  </si>
  <si>
    <t>T232EBX: Harsh braking has been activated. At 18.02.2026 13:23:12 it moved with speed 61 km/h near 'Rn1, Haut-Katanga, Democratic Republic of the Congo, 4.06 km from Tshinsenda'.</t>
  </si>
  <si>
    <t>Rn1, Democratic Republic of the Congo, Haut-Katanga, 4.06 km from Tshinsenda</t>
  </si>
  <si>
    <t>T235EBX: Harsh braking has been activated. At 18.02.2026 08:29:11 it moved with speed 51 km/h near 'M1, Northern Province, Zambia, 6.99 km from Nondo'.</t>
  </si>
  <si>
    <t>M1, Zambia, Northern Province, 6.99 km from Nondo</t>
  </si>
  <si>
    <t>T271EBY: Harsh braking has been activated. At 18.02.2026 12:38:58 it moved with speed 53 km/h near 'T2, Pwani, Bagamoyo, Tanzania, 1.70 km from Mandera'.</t>
  </si>
  <si>
    <t>T2, Tanzania, Pwani, Bagamoyo, 1.70 km from Mandera</t>
  </si>
  <si>
    <t>T340EBX: Harsh braking has been activated. At 18.02.2026 13:41:44 it moved with speed 61 km/h near 'M3, Luapula Province, Zambia, 13.33 km from Mansa'.</t>
  </si>
  <si>
    <t>M3, Zambia, Luapula Province, 13.33 km from Mansa</t>
  </si>
  <si>
    <t>T499DYR: Harsh braking has been activated. At 18.02.2026 10:24:17 it moved with speed 63 km/h near 'M4, Copperbelt Province, Zambia, 11.83 km from Chambishi'.</t>
  </si>
  <si>
    <t>M4, Zambia, Copperbelt Province, 11.83 km from Chambishi</t>
  </si>
  <si>
    <t>T561DYR: Harsh braking has been activated. At 18.02.2026 11:19:54 it moved with speed 65 km/h near 'Iringa Road, Iringa, Tanzania, 1.82 km from Mahenge'.</t>
  </si>
  <si>
    <t>Iringa Road, Tanzania, Iringa, 1.82 km from Mahenge</t>
  </si>
  <si>
    <t>T578DYR: Harsh braking has been activated. At 18.02.2026 07:42:05 it moved with speed 61 km/h near 'M3, Northern Province, Zambia, Chiwembe'.</t>
  </si>
  <si>
    <t>T587DTQ: Harsh braking has been activated. At 18.02.2026 11:46:53 it moved with speed 59 km/h near 'M1, Northern Province, Zambia, 9.88 km from Sementi'.</t>
  </si>
  <si>
    <t>M1, Zambia, Northern Province, 9.88 km from Sementi</t>
  </si>
  <si>
    <t>T634DHL: Harsh braking has been activated. At 18.02.2026 17:12:30 it moved with speed 56 km/h near 'M3, Luapula Province, Zambia, 12.81 km from Kalundu'.</t>
  </si>
  <si>
    <t>M3, Zambia, Luapula Province, 12.81 km from Kalundu</t>
  </si>
  <si>
    <t>T723DYR: Harsh braking has been activated. At 18.02.2026 11:25:46 it moved with speed 53 km/h near 'Mbala - Nakonde Road, Northern Province, Zambia, 12.38 km from Nsokolo'.</t>
  </si>
  <si>
    <t>Mbala - Nakonde Road, Zambia, Northern Province, 12.38 km from Nsokolo</t>
  </si>
  <si>
    <t>T727DYR: Harsh braking has been activated. At 18.02.2026 18:36:49 it moved with speed 56 km/h near 'M3, Northern Province, Zambia, 12.80 km from Chitoshi'.</t>
  </si>
  <si>
    <t>M3, Zambia, Northern Province, 12.80 km from Chitoshi</t>
  </si>
  <si>
    <t>T793DYR: Harsh braking has been activated. At 18.02.2026 15:06:50 it moved with speed 67 km/h near 'M3, Luapula Province, Zambia, 4.45 km from Mununga'.</t>
  </si>
  <si>
    <t>M3, Zambia, Luapula Province, 4.45 km from Mununga</t>
  </si>
  <si>
    <t>T927EBW: Harsh braking has been activated. At 18.02.2026 10:46:47 it moved with speed 68 km/h near 'Iringa Road, Morogoro, Kilosa, Tanzania, 8.36 km from Igagala'.</t>
  </si>
  <si>
    <t>Iringa Road, Tanzania, Morogoro, Kilosa, 8.36 km from Igagala</t>
  </si>
  <si>
    <t>T955EBW: Harsh braking has been activated. At 18.02.2026 14:00:39 it moved with speed 52 km/h near 'Iringa Road, Morogoro, Kilosa, Tanzania, 15.01 km from Msimba'.</t>
  </si>
  <si>
    <t>Iringa Road, Tanzania, Morogoro, Kilosa, 15.01 km from Msimba</t>
  </si>
  <si>
    <t>T271EBY: Harsh braking has been activated. At 19.02.2026 17:17:21 it moved with speed 55 km/h near 'T2, Tanga, Handeni, Tanzania, 1.07 km from Kwedikwazu Magha'.</t>
  </si>
  <si>
    <t>T2, Tanzania, Tanga, Handeni, 1.07 km from Kwedikwazu Magha</t>
  </si>
  <si>
    <t>T340EBX: Harsh braking has been activated. At 19.02.2026 08:08:45 it moved with speed 56 km/h near 'M1, Northern Province, Zambia, 14.60 km from Nondo'.</t>
  </si>
  <si>
    <t>M1, Zambia, Northern Province, 14.60 km from Nondo</t>
  </si>
  <si>
    <t>T499DYR: Harsh braking has been activated. At 19.02.2026 07:20:48 it moved with speed 59 km/h near 'Great North Road, Central Province, Zambia, 5.15 km from Kapiri Mposhi'.</t>
  </si>
  <si>
    <t>Great North Road, Zambia, Central Province, 5.15 km from Kapiri Mposhi</t>
  </si>
  <si>
    <t>T589DYR: Harsh braking has been activated. At 19.02.2026 17:09:48 it moved with speed 67 km/h near 'T1, Njombe, Tanzania, 6.31 km from Igomelo'.</t>
  </si>
  <si>
    <t>T1, Tanzania, Njombe, 6.31 km from Igomelo</t>
  </si>
  <si>
    <t>T742EBX: Harsh braking has been activated. At 19.02.2026 16:00:46 it moved with speed 61 km/h near 'Rn39, Lualaba, Democratic Republic of the Congo, Kabwe Dikuku (Sud)'.</t>
  </si>
  <si>
    <t>T770DYR: Harsh braking has been activated. At 19.02.2026 19:06:41 it moved with speed 64 km/h near 'T1, Morogoro, Tanzania, Maseyu'.</t>
  </si>
  <si>
    <t>T1, Tanzania, Morogoro, Maseyu</t>
  </si>
  <si>
    <t>T772DYR: Harsh braking has been activated. At 19.02.2026 12:15:40 it moved with speed 54 km/h near 'Iringa Road, Morogoro, Tanzania, 3.93 km from Kipera'.</t>
  </si>
  <si>
    <t>Iringa Road, Tanzania, Morogoro, 3.93 km from Kipera</t>
  </si>
  <si>
    <t>T793DYR: Harsh braking has been activated. At 19.02.2026 00:04:56 it moved with speed 61 km/h near 'Mbala - Nakonde Road, Northern Province, Zambia, 12.98 km from Chilundumuzi'.</t>
  </si>
  <si>
    <t>Mbala - Nakonde Road, Zambia, Northern Province, 12.98 km from Chilundumuzi</t>
  </si>
  <si>
    <t>T862EBY: Harsh braking has been activated. At 19.02.2026 12:04:04 it moved with speed 52 km/h near 'Tanzania To Zambia Road, Iringa, Mufindi, Tanzania, 1.74 km from Sao-Hill Forest Plantation'.</t>
  </si>
  <si>
    <t>Tanzania To Zambia Road, Tanzania, Iringa, Mufindi, 1.74 km from Sao-Hill Forest Plantation</t>
  </si>
  <si>
    <t>T932EBW: Harsh braking has been activated. At 19.02.2026 10:07:30 it moved with speed 55 km/h near 'Great North Road, Central Province, Zambia, 15.19 km from Muchinka'.</t>
  </si>
  <si>
    <t>Great North Road, Zambia, Central Province, 15.19 km from Muchinka</t>
  </si>
  <si>
    <t>T942DSX: Harsh braking has been activated. At 19.02.2026 08:31:49 it moved with speed 51 km/h near 'Great North Road, Muchinga Province, Zambia, 5.45 km from Chikwanda'.</t>
  </si>
  <si>
    <t>Great North Road, Zambia, Muchinga Province, 5.45 km from Chikwanda</t>
  </si>
  <si>
    <t>T950EBW: Harsh braking has been activated. At 19.02.2026 06:59:57 it moved with speed 54 km/h near 'Nelson Mandela Road, Dar Es Salaam, Chang'ombe, Tanzania'.</t>
  </si>
  <si>
    <t>Dar Es Salaam, Nelson Mandela Road, Tanzania, Chang'ombe</t>
  </si>
  <si>
    <t>T993EBW: Harsh braking has been activated. At 19.02.2026 17:01:46 it moved with speed 51 km/h near 'Great North Road, Muchinga Province, Zambia, Kalonje'.</t>
  </si>
  <si>
    <t>T271EBY: Harsh braking has been activated. At 20.02.2026 07:11:28 it moved with speed 58 km/h near 'T1, Morogoro, Tanzania, 2.26 km from Mikese'.</t>
  </si>
  <si>
    <t>T1, Tanzania, Morogoro, 2.26 km from Mikese</t>
  </si>
  <si>
    <t>T524EBY: Harsh braking has been activated. At 20.02.2026 11:54:50 it moved with speed 58 km/h near 'Iringa Road, Lundamatwe, Iringa, Tanzania'.</t>
  </si>
  <si>
    <t>T589DYR: Harsh braking has been activated. At 20.02.2026 08:53:55 it moved with speed 58 km/h near 'Iringa Road, Iringa, Tanzania, Matassi'.</t>
  </si>
  <si>
    <t>T702EBX: Harsh braking has been activated. At 20.02.2026 08:46:07 it moved with speed 58 km/h near 'Great North Road, Muchinga Province, Zambia, 19.48 km from Katibunga'.</t>
  </si>
  <si>
    <t>Great North Road, Zambia, Muchinga Province, 19.48 km from Katibunga</t>
  </si>
  <si>
    <t>T728EBX: Harsh braking has been activated. At 20.02.2026 15:01:14 it moved with speed 62 km/h near 'Rn1, Haut-Katanga, Democratic Republic of the Congo, 1.44 km from Sakania'.</t>
  </si>
  <si>
    <t>Rn1, Democratic Republic of the Congo, Haut-Katanga, 1.44 km from Sakania</t>
  </si>
  <si>
    <t>T732EBX: Harsh braking has been activated. At 20.02.2026 09:48:03 it moved with speed 52 km/h near 'Great North Road, Muchinga Province, Zambia, 3.01 km from Rumbuka'.</t>
  </si>
  <si>
    <t>Great North Road, Zambia, Muchinga Province, 3.01 km from Rumbuka</t>
  </si>
  <si>
    <t>T746DEB: Harsh braking has been activated. At 20.02.2026 10:55:10 it moved with speed 61 km/h near 'Iringa Road, Morogoro, Kilosa, Tanzania, 12.87 km from Msimba'.</t>
  </si>
  <si>
    <t>Iringa Road, Tanzania, Morogoro, Kilosa, 12.87 km from Msimba</t>
  </si>
  <si>
    <t>T793DYR: Harsh braking has been activated. At 20.02.2026 08:50:42 it moved with speed 56 km/h near 'T1, Mbeya, Tanzania, 2.01 km from Mangere'.</t>
  </si>
  <si>
    <t>T1, Tanzania, Mbeya, 2.01 km from Mangere</t>
  </si>
  <si>
    <t>T817EBW: Harsh braking has been activated. At 20.02.2026 13:55:12 it moved with speed 59 km/h near 'T1, Mbeya, Mbozi, Tanzania, 2.98 km from Vwawa'.</t>
  </si>
  <si>
    <t>T1, Tanzania, Mbeya, Mbozi, 2.98 km from Vwawa</t>
  </si>
  <si>
    <t>T998EBW</t>
  </si>
  <si>
    <t>T998EBW: Harsh braking has been activated. At 20.02.2026 09:55:41 it moved with speed 63 km/h near 'T1, Mbeya, Tanzania, 6.85 km from Igawa'.</t>
  </si>
  <si>
    <t>T1, Tanzania, Mbeya, 6.85 km from Igawa</t>
  </si>
  <si>
    <t>T689DEB: Harsh braking has been activated. At 22.02.2026 09:06:39 it moved with speed 54 km/h near 'Rn39, Lualaba, Democratic Republic of the Congo, 1.41 km from Kabwe Maradonna'.</t>
  </si>
  <si>
    <t>Rn39, Democratic Republic of the Congo, Lualaba, 1.41 km from Kabwe Maradonna</t>
  </si>
  <si>
    <t>T728EBX: Harsh braking has been activated. At 22.02.2026 12:15:20 it moved with speed 55 km/h near 'Biayi Prolongée Avenue, Lubumbashi, Haut-Katanga, Democratic Republic of the Congo'.</t>
  </si>
  <si>
    <t>Lubumbashi, Biayi Prolongée Avenue, Democratic Republic of the Congo, Haut-Katanga</t>
  </si>
  <si>
    <t>T817EBW: Harsh braking has been activated. At 22.02.2026 06:38:52 it moved with speed 66 km/h near 'T1, Morogoro, Tanzania, 2.52 km from Mkambarani'.</t>
  </si>
  <si>
    <t>T1, Tanzania, Morogoro, 2.52 km from Mkambarani</t>
  </si>
  <si>
    <t>T878EBY: Harsh braking has been activated. At 22.02.2026 11:38:17 it moved with speed 65 km/h near 'Iringa Road, Morogoro, Kilosa, Tanzania, 1.30 km from Msosa'.</t>
  </si>
  <si>
    <t>Iringa Road, Tanzania, Morogoro, Kilosa, 1.30 km from Msosa</t>
  </si>
  <si>
    <t>T904EBW: Harsh braking has been activated. At 22.02.2026 09:51:17 it moved with speed 60 km/h near 'T1, Mbeya, Tanzania, 5.42 km from Igawa'.</t>
  </si>
  <si>
    <t>T1, Tanzania, Mbeya, 5.42 km from Igawa</t>
  </si>
  <si>
    <t>T955EBW: Harsh braking has been activated. At 22.02.2026 15:29:28 it moved with speed 73 km/h near 'Great North Road, Muchinga Province, Zambia, 5.59 km from Mkasi'.</t>
  </si>
  <si>
    <t>Great North Road, Zambia, Muchinga Province, 5.59 km from Mkasi</t>
  </si>
  <si>
    <t>T329ECN: Harsh braking has been activated. At 23.02.2026 09:13:19 it moved with speed 54 km/h near 'Great North Road, Muchinga Province, Zambia, Kaloswe'.</t>
  </si>
  <si>
    <t>T493DYR: Harsh braking has been activated. At 23.02.2026 08:15:05 it moved with speed 54 km/h near 'Great North Road, Muchinga Province, Zambia, 1.63 km from Chinkumba'.</t>
  </si>
  <si>
    <t>Great North Road, Zambia, Muchinga Province, 1.63 km from Chinkumba</t>
  </si>
  <si>
    <t>T494DYR: Harsh braking has been activated. At 23.02.2026 12:16:54 it moved with speed 66 km/h near 'Rn1, Haut-Katanga, Democratic Republic of the Congo, 15.16 km from Lwisha'.</t>
  </si>
  <si>
    <t>Rn1, Democratic Republic of the Congo, Haut-Katanga, 15.16 km from Lwisha</t>
  </si>
  <si>
    <t>T513EBY: Harsh braking has been activated. At 23.02.2026 09:01:53 it moved with speed 54 km/h near 'Iringa Road, Morogoro, Tanzania, 11.70 km from Morogoro'.</t>
  </si>
  <si>
    <t>Iringa Road, Tanzania, Morogoro, 11.70 km from Morogoro</t>
  </si>
  <si>
    <t>T528EBY: Harsh braking has been activated. At 23.02.2026 08:17:11 it moved with speed 59 km/h near 'T1, Njombe, Tanzania, Igando'.</t>
  </si>
  <si>
    <t>T1, Tanzania, Njombe, Igando</t>
  </si>
  <si>
    <t>T568DYR: Harsh braking has been activated. At 23.02.2026 15:45:29 it moved with speed 60 km/h near 'Rn1, Haut-Katanga, Democratic Republic of the Congo, 7.15 km from Kasumbalesa'.</t>
  </si>
  <si>
    <t>Rn1, Democratic Republic of the Congo, Haut-Katanga, 7.15 km from Kasumbalesa</t>
  </si>
  <si>
    <t>T590DTQ: Harsh braking has been activated. At 23.02.2026 11:45:42 it moved with speed 55 km/h near 'Rn1, Haut-Katanga, Democratic Republic of the Congo, 30.41 km from Lubumbashi'.</t>
  </si>
  <si>
    <t>Rn1, Democratic Republic of the Congo, Haut-Katanga, 30.41 km from Lubumbashi</t>
  </si>
  <si>
    <t>T696DEB: Harsh braking has been activated. At 23.02.2026 10:07:53 it moved with speed 57 km/h near 'Iringa Road, Morogoro, Kilosa, Tanzania, 13.62 km from Igagala'.</t>
  </si>
  <si>
    <t>Iringa Road, Tanzania, Morogoro, Kilosa, 13.62 km from Igagala</t>
  </si>
  <si>
    <t>T724DYR: Harsh braking has been activated. At 23.02.2026 11:02:48 it moved with speed 62 km/h near 'Route De Likasi, Lubumbashi, Haut-Katanga, Democratic Republic of the Congo'.</t>
  </si>
  <si>
    <t>Lubumbashi, Route De Likasi, Democratic Republic of the Congo, Haut-Katanga</t>
  </si>
  <si>
    <t>T754DEB: Harsh braking has been activated. At 23.02.2026 16:58:41 it moved with speed 54 km/h near 'Iringa Road, Iringa, Tanzania, 3.50 km from Matassi'.</t>
  </si>
  <si>
    <t>Iringa Road, Tanzania, Iringa, 3.50 km from Matassi</t>
  </si>
  <si>
    <t>T904EBW: Harsh braking has been activated. At 23.02.2026 07:00:39 it moved with speed 57 km/h near 'Iringa Road, Iringa, Tanzania, 1.19 km from Mahenge'.</t>
  </si>
  <si>
    <t>Iringa Road, Tanzania, Iringa, 1.19 km from Mahenge</t>
  </si>
  <si>
    <t>T905EBW: Harsh braking has been activated. At 23.02.2026 07:03:28 it moved with speed 63 km/h near 'Great North Road, Muchinga Province, Zambia, 5.73 km from Kamangu'.</t>
  </si>
  <si>
    <t>Great North Road, Zambia, Muchinga Province, 5.73 km from Kamangu</t>
  </si>
  <si>
    <t>T907EBW: Harsh braking has been activated. At 23.02.2026 10:22:53 it moved with speed 69 km/h near 'Great North Road, Muchinga Province, Zambia, 3.04 km from Isoka'.</t>
  </si>
  <si>
    <t>Great North Road, Zambia, Muchinga Province, 3.04 km from Isoka</t>
  </si>
  <si>
    <t>T933EBW: Harsh braking has been activated. At 23.02.2026 13:47:48 it moved with speed 53 km/h near 'Great North Road, Muchinga Province, Zambia, Chinunda'.</t>
  </si>
  <si>
    <t>Great North Road, Zambia, Muchinga Province, Chinunda</t>
  </si>
  <si>
    <t>T934EBW: Harsh braking has been activated. At 23.02.2026 08:06:00 it moved with speed 53 km/h near 'Great North Road, Muchinga Province, Zambia, 13.21 km from Chifumbula'.</t>
  </si>
  <si>
    <t>Great North Road, Zambia, Muchinga Province, 13.21 km from Chifumbula</t>
  </si>
  <si>
    <t>T233EBX: Harsh braking has been activated. At 24.02.2026 14:59:41 it moved with speed 67 km/h near 'T1, Morogoro, Kingolwira Ward, Morogoro Region, Tanzania'.</t>
  </si>
  <si>
    <t>Morogoro, T1, Tanzania, Kingolwira Ward, Morogoro Region</t>
  </si>
  <si>
    <t>T375DHG: Harsh braking has been activated. At 24.02.2026 15:36:34 it moved with speed 73 km/h near 'Ndola - Kitwe Dual-Carriageway, Ndola, Copperbelt Province, Zambia'.</t>
  </si>
  <si>
    <t>Ndola, Ndola - Kitwe Dual-Carriageway, Zambia, Copperbelt Province</t>
  </si>
  <si>
    <t>T499DYR: Harsh braking has been activated. At 24.02.2026 08:26:42 it moved with speed 54 km/h near 'T1, Njombe, Tanzania, 7.75 km from Nzivi'.</t>
  </si>
  <si>
    <t>Mafinga TC, T1, Tanzania, Sao Hill Ward, Iringa Region</t>
  </si>
  <si>
    <t>T754DEB: Harsh braking has been activated. At 24.02.2026 12:40:11 it moved with speed 68 km/h near 'Doma, Doma Ward, Mvomero DC, Morogoro Region, Tanzania'.</t>
  </si>
  <si>
    <t>Doma, Tanzania, Doma Ward, Mvomero DC, Morogoro Region</t>
  </si>
  <si>
    <t>T868EBW: Harsh braking has been activated. At 24.02.2026 07:29:53 it moved with speed 55 km/h near 'Great North Road, Muchinga Province, Zambia, 12.35 km from Mwezo'.</t>
  </si>
  <si>
    <t>Great North Road, Zambia, Muchinga Province, 12.35 km from Mwezo</t>
  </si>
  <si>
    <t>T907EBW: Harsh braking has been activated. At 24.02.2026 11:12:00 it moved with speed 54 km/h near 'Great North Road, Central Province, Zambia, 11.79 km from Bwale'.</t>
  </si>
  <si>
    <t>T220EBX: Harsh braking has been activated. At 25.02.2026 10:41:24 it moved with speed 56 km/h near 'T3, Copperbelt Province, Zambia, 8.51 km from Tonde'.</t>
  </si>
  <si>
    <t>T3, Zambia, Copperbelt Province, 8.51 km from Tonde</t>
  </si>
  <si>
    <t>T269EBX: Harsh braking has been activated. At 25.02.2026 06:00:57 it moved with speed 59 km/h near 'Msimba, Mikumi Ward, Kilosa DC, Morogoro Region, Tanzania'.</t>
  </si>
  <si>
    <t>Msimba, Tanzania, Mikumi Ward, Kilosa DC, Morogoro Region</t>
  </si>
  <si>
    <t>T407DHE: Harsh braking has been activated. At 25.02.2026 17:46:02 it moved with speed 52 km/h near 'Great North Road, Muchinga Province, Zambia, 4.68 km from Mukwikile'.</t>
  </si>
  <si>
    <t>Great North Road, Zambia, Muchinga Province, 4.68 km from Mukwikile</t>
  </si>
  <si>
    <t>T600DTQ: Harsh braking has been activated. At 25.02.2026 13:08:44 it moved with speed 52 km/h near 'Rn39, Lualaba, Democratic Republic of the Congo, 2.93 km from Pumpi Route'.</t>
  </si>
  <si>
    <t>Rn39, Democratic Republic of the Congo, Lualaba, 2.93 km from Pumpi Route</t>
  </si>
  <si>
    <t>T604DTQ: Harsh braking has been activated. At 25.02.2026 09:07:53 it moved with speed 52 km/h near 'Rn1, Haut-Katanga, Democratic Republic of the Congo, 4.05 km from Tshinsenda'.</t>
  </si>
  <si>
    <t>Rn1, Democratic Republic of the Congo, Haut-Katanga, 4.05 km from Tshinsenda</t>
  </si>
  <si>
    <t>T689DEB: Harsh braking has been activated. At 25.02.2026 09:30:09 it moved with speed 58 km/h near 'M3, Northern Province, Zambia, 1.26 km from Shikasenge'.</t>
  </si>
  <si>
    <t>M3, Zambia, Northern Province, 1.26 km from Shikasenge</t>
  </si>
  <si>
    <t>T868EBW: Harsh braking has been activated. At 25.02.2026 08:25:37 it moved with speed 52 km/h near 'Great North Road, Muchinga Province, Zambia, 1.14 km from Chinunda'.</t>
  </si>
  <si>
    <t>Great North Road, Zambia, Muchinga Province, 1.14 km from Chinunda</t>
  </si>
  <si>
    <t>T890EBW: Harsh braking has been activated. At 25.02.2026 07:20:20 it moved with speed 55 km/h near 'Great North Road, Central Province, Zambia, 9.67 km from Chifwefwe B'.</t>
  </si>
  <si>
    <t>Great North Road, Zambia, Central Province, 9.67 km from Chifwefwe B</t>
  </si>
  <si>
    <t>T907EBW: Harsh braking has been activated. At 25.02.2026 11:50:05 it moved with speed 60 km/h near 'Ndola - Kitwe Dual-Carriageway, Copperbelt Province, Zambia, Ndola'.</t>
  </si>
  <si>
    <t>Ndola - Kitwe Dual-Carriageway, Zambia, Copperbelt Province, Ndola</t>
  </si>
  <si>
    <t>T945EBW: Harsh braking has been activated. At 25.02.2026 10:33:26 it moved with speed 57 km/h near 'Great North Road, Central Province, Zambia, 17.10 km from Muchinka'.</t>
  </si>
  <si>
    <t>Great North Road, Zambia, Central Province, 17.10 km from Muchinka</t>
  </si>
  <si>
    <t>T259EBX</t>
  </si>
  <si>
    <t>T259EBX: Harsh braking has been activated. At 26.02.2026 07:23:34 it moved with speed 54 km/h near 'Great North Road, Muchinga Province, Zambia, Kalonje'.</t>
  </si>
  <si>
    <t>T392ECN: Harsh braking has been activated. At 26.02.2026 12:55:09 it moved with speed 60 km/h near 'Great North Road, Muchinga Province, Zambia, Chifumbula'.</t>
  </si>
  <si>
    <t>Great North Road, Zambia, Muchinga Province, Chifumbula</t>
  </si>
  <si>
    <t>T407DHE: Harsh braking has been activated. At 26.02.2026 10:19:36 it moved with speed 56 km/h near 'Great North Road, Central Province, Zambia, 5.70 km from Godfrey Kunda'.</t>
  </si>
  <si>
    <t>Great North Road, Zambia, Central Province, 5.70 km from Godfrey Kunda</t>
  </si>
  <si>
    <t>T514EBY: Harsh braking has been activated. At 26.02.2026 08:55:15 it moved with speed 58 km/h near 'Great North Road, Muchinga Province, Zambia, 9.04 km from Mwezo'.</t>
  </si>
  <si>
    <t>Great North Road, Zambia, Muchinga Province, 9.04 km from Mwezo</t>
  </si>
  <si>
    <t>T517EBY</t>
  </si>
  <si>
    <t>T517EBY: Harsh braking has been activated. At 26.02.2026 12:37:41 it moved with speed 51 km/h near 'Great North Road, Central Province, Zambia, 16.64 km from Chitiwa'.</t>
  </si>
  <si>
    <t>Great North Road, Zambia, Central Province, 16.64 km from Chitiwa</t>
  </si>
  <si>
    <t>T873EBY: Harsh braking has been activated. At 26.02.2026 10:15:20 it moved with speed 54 km/h near 'Nyerere Road, Dar es Salaam, Kiwalani Ward, Ilala, Dar es Salaam Region, Tanzania'.</t>
  </si>
  <si>
    <t>Dar es Salaam, Nyerere Road, Tanzania, Kiwalani Ward, Ilala, Dar es Salaam Region</t>
  </si>
  <si>
    <t>T912EBW</t>
  </si>
  <si>
    <t>T912EBW: Harsh braking has been activated. At 26.02.2026 08:22:01 it moved with speed 60 km/h near 'Great North Road, Muchinga Province, Zambia, 8.79 km from Godfrey Kunda'.</t>
  </si>
  <si>
    <t>Great North Road, Zambia, Muchinga Province, 8.79 km from Godfrey Kunda</t>
  </si>
  <si>
    <t>T517EBY: Harsh braking has been activated. At 27.02.2026 12:40:11 it moved with speed 63 km/h near 'Great North Road, Muchinga Province, Zambia, 5.43 km from Chisoso'.</t>
  </si>
  <si>
    <t>Great North Road, Zambia, Muchinga Province, 5.43 km from Chisoso</t>
  </si>
  <si>
    <t>T568DYR: Harsh braking has been activated. At 27.02.2026 09:48:49 it moved with speed 53 km/h near 'T3, Copperbelt Province, Zambia, 18.27 km from Tonde'.</t>
  </si>
  <si>
    <t>T3, Zambia, Copperbelt Province, 18.27 km from Tonde</t>
  </si>
  <si>
    <t>T586DYR: Harsh braking has been activated. At 27.02.2026 11:51:35 it moved with speed 54 km/h near 'Rn1, Haut-Katanga, Democratic Republic of the Congo, 17.60 km from Lwisha'.</t>
  </si>
  <si>
    <t>Rn1, Democratic Republic of the Congo, Haut-Katanga, 17.60 km from Lwisha</t>
  </si>
  <si>
    <t>T638DHL: Harsh braking has been activated. At 27.02.2026 18:43:54 it moved with speed 51 km/h near 'Great North Road, Muchinga Province, Zambia, 5.17 km from Kalonje'.</t>
  </si>
  <si>
    <t>Great North Road, Zambia, Muchinga Province, 5.17 km from Kalonje</t>
  </si>
  <si>
    <t>T768EBW: Harsh braking has been activated. At 27.02.2026 11:43:01 it moved with speed 54 km/h near 'Great North Road, Central Province, Zambia, 5.40 km from Manjolo'.</t>
  </si>
  <si>
    <t>Great North Road, Zambia, Central Province, 5.40 km from Manjolo</t>
  </si>
  <si>
    <t>T793EBW: Harsh braking has been activated. At 27.02.2026 07:29:58 it moved with speed 57 km/h near 'T3, Ndola, Copperbelt Province, Zambia'.</t>
  </si>
  <si>
    <t>T425DHG: Harsh braking has been activated. At 28.02.2026 08:49:09 it moved with speed 53 km/h near 'T3, Copperbelt Province, Zambia, 52.98 km from Ndola'.</t>
  </si>
  <si>
    <t>T3, Zambia, Copperbelt Province, 52.98 km from Ndola</t>
  </si>
  <si>
    <t>T435DHG: Harsh braking has been activated. At 28.02.2026 13:48:58 it moved with speed 55 km/h near 'Ipolo, Utengule Usangu Ward, Mbarali DC, Mbeya Region, Tanzania'.</t>
  </si>
  <si>
    <t>Ipolo, Tanzania, Utengule Usangu Ward, Mbarali DC, Mbeya Region</t>
  </si>
  <si>
    <t>T511EBY: Harsh braking has been activated. At 28.02.2026 13:24:00 it moved with speed 62 km/h near 'Rn1, Haut-Katanga, Democratic Republic of the Congo, 2.09 km from Dikula'.</t>
  </si>
  <si>
    <t>Rn1, Democratic Republic of the Congo, Haut-Katanga, 2.09 km from Dikula</t>
  </si>
  <si>
    <t>T892EBW: Harsh braking has been activated. At 28.02.2026 06:42:05 it moved with speed 65 km/h near 'Wenda, Mseke Ward, Iringa DC, Iringa Region, Tanzania'.</t>
  </si>
  <si>
    <t>Wenda, Tanzania, Mseke Ward, Iringa DC, Iringa Region</t>
  </si>
  <si>
    <t>T915EBW: Harsh braking has been activated. At 28.02.2026 07:34:15 it moved with speed 63 km/h near 'Rn39, Lualaba, Democratic Republic of the Congo, 1.34 km from Kampulu'.</t>
  </si>
  <si>
    <t>Rn39, Democratic Republic of the Congo, Lualaba, 1.34 km from Kampulu</t>
  </si>
  <si>
    <t>T930EBW: Harsh braking has been activated. At 28.02.2026 13:32:02 it moved with speed 56 km/h near 'Kidayi 'A', Malolo Ward, Kilosa DC, Morogoro Region, Tanzania'.</t>
  </si>
  <si>
    <t>Kidayi 'A', Tanzania, Malolo Ward, Kilosa DC, Morogoro Region</t>
  </si>
  <si>
    <t>T952DSX: Harsh braking has been activated. At 28.02.2026 10:06:39 it moved with speed 62 km/h near 'Great North Road, Muchinga Province, Zambia, 10.01 km from Isoka'.</t>
  </si>
  <si>
    <t>Great North Road, Zambia, Muchinga Province, 10.01 km from Isoka</t>
  </si>
  <si>
    <t xml:space="preserve">TRUCK NO  </t>
  </si>
  <si>
    <t>Time</t>
  </si>
  <si>
    <t>DRIVER NAME</t>
  </si>
  <si>
    <t>MAX SPEED</t>
  </si>
  <si>
    <t>Speed limit</t>
  </si>
  <si>
    <t>Count</t>
  </si>
  <si>
    <t>01.02.2026 11:05:42 am</t>
  </si>
  <si>
    <t>01.02.2026</t>
  </si>
  <si>
    <t>101 km/h</t>
  </si>
  <si>
    <t>DANGER ZONE BUNGU-BUNGU TO TUMBWE - THEFTS!!!!!</t>
  </si>
  <si>
    <t>81 km/h</t>
  </si>
  <si>
    <t>01.02.2026 06:54:12 pm</t>
  </si>
  <si>
    <t>88 km/h</t>
  </si>
  <si>
    <t>T1, Njombe, Tanzania, 3.43 km from Nyololo</t>
  </si>
  <si>
    <t>01.02.2026 08:18:47 am</t>
  </si>
  <si>
    <t>LUBUMBASHI</t>
  </si>
  <si>
    <t>01.02.2026 10:05:02 am</t>
  </si>
  <si>
    <t>94 km/h</t>
  </si>
  <si>
    <t>Great North Road, Muchinga Province, Zambia, 6.63 km from Amosi Pumba</t>
  </si>
  <si>
    <t>T332DHG</t>
  </si>
  <si>
    <t>01.02.2026 05:20:15 pm</t>
  </si>
  <si>
    <t>90 km/h</t>
  </si>
  <si>
    <t>KASUMBALESA - SAKANIA RD</t>
  </si>
  <si>
    <t>01.02.2026 03:49:33 pm</t>
  </si>
  <si>
    <t>Rn1, Lualaba, Democratic Republic of the Congo, 3.00 km from Kazelo</t>
  </si>
  <si>
    <t>01.02.2026 11:18:47 am</t>
  </si>
  <si>
    <t>98 km/h</t>
  </si>
  <si>
    <t>SERENJE</t>
  </si>
  <si>
    <t>01.02.2026 12:01:19 pm</t>
  </si>
  <si>
    <t>89 km/h</t>
  </si>
  <si>
    <t>Rn1, Haut-Katanga, Democratic Republic of the Congo, 7.34 km from Lwisha</t>
  </si>
  <si>
    <t>01.02.2026 09:58:38 am</t>
  </si>
  <si>
    <t>99 km/h</t>
  </si>
  <si>
    <t>Great North Road, Muchinga Province, Zambia, 10.25 km from Chinunda</t>
  </si>
  <si>
    <t>01.02.2026 12:30:14 pm</t>
  </si>
  <si>
    <t>86 km/h</t>
  </si>
  <si>
    <t>01.02.2026 08:56:33 am</t>
  </si>
  <si>
    <t>Rn39, Lualaba, Democratic Republic of the Congo, Kamipungu</t>
  </si>
  <si>
    <t>02.02.2026 01:00:52 pm</t>
  </si>
  <si>
    <t>02.02.2026</t>
  </si>
  <si>
    <t>Great North Road, Muchinga Province, Zambia, 8.58 km from Chifumbula</t>
  </si>
  <si>
    <t>02.02.2026 07:50:28 am</t>
  </si>
  <si>
    <t>85 km/h</t>
  </si>
  <si>
    <t>T1, Njombe, Tanzania, 1.46 km from Edetelo</t>
  </si>
  <si>
    <t>02.02.2026 07:30:38 am</t>
  </si>
  <si>
    <t>97 km/h</t>
  </si>
  <si>
    <t>02.02.2026 12:45:42 pm</t>
  </si>
  <si>
    <t>NDOLA</t>
  </si>
  <si>
    <t>02.02.2026 10:55:14 am</t>
  </si>
  <si>
    <t>87 km/h</t>
  </si>
  <si>
    <t>Great North Road, Central Province, Zambia, 4.02 km from Manjolo</t>
  </si>
  <si>
    <t>02.02.2026 07:37:14 am</t>
  </si>
  <si>
    <t>Great North Road, Central Province, Zambia, 4.08 km from Manjolo</t>
  </si>
  <si>
    <t>02.02.2026 09:49:24 am</t>
  </si>
  <si>
    <t>92 km/h</t>
  </si>
  <si>
    <t>Fisenge Bypass, Copperbelt Province, Zambia, 33.08 km from Ndola</t>
  </si>
  <si>
    <t>02.02.2026 06:19:24 am</t>
  </si>
  <si>
    <t>104 km/h</t>
  </si>
  <si>
    <t>T1, Njombe, Tanzania, Maguvani</t>
  </si>
  <si>
    <t>02.02.2026 10:37:38 am</t>
  </si>
  <si>
    <t>02.02.2026 10:36:04 am</t>
  </si>
  <si>
    <t>CHAMBISHI, COPPERBELT</t>
  </si>
  <si>
    <t>03.02.2026 12:44:13 pm</t>
  </si>
  <si>
    <t>03.02.2026</t>
  </si>
  <si>
    <t>93 km/h</t>
  </si>
  <si>
    <t>Great North Road, Muchinga Province, Zambia, 12.05 km from Mwezo</t>
  </si>
  <si>
    <t>03.02.2026 07:33:58 am</t>
  </si>
  <si>
    <t>Iringa Road, Morogoro, Kilosa, Tanzania, Igagala</t>
  </si>
  <si>
    <t>03.02.2026 10:27:57 am</t>
  </si>
  <si>
    <t>Great North Road, Central Province, Zambia, 3.52 km from Ndabala</t>
  </si>
  <si>
    <t>03.02.2026 09:50:44 am</t>
  </si>
  <si>
    <t>96 km/h</t>
  </si>
  <si>
    <t>T3, Copperbelt Province, Zambia, 18.12 km from Tonde</t>
  </si>
  <si>
    <t>03.02.2026 10:00:50 am</t>
  </si>
  <si>
    <t>91 km/h</t>
  </si>
  <si>
    <t>03.02.2026 07:58:07 am</t>
  </si>
  <si>
    <t>KAPIRI DANGER ZONE</t>
  </si>
  <si>
    <t>04.02.2026 06:48:16 am</t>
  </si>
  <si>
    <t>04.02.2026</t>
  </si>
  <si>
    <t>Great North Road, Central Province, Zambia, 7.09 km from Kanona</t>
  </si>
  <si>
    <t>04.02.2026 09:56:10 am</t>
  </si>
  <si>
    <t>Great North Road, Muchinga Province, Zambia, 6.70 km from Rumbuka</t>
  </si>
  <si>
    <t>04.02.2026 10:15:22 am</t>
  </si>
  <si>
    <t>Iringa Road, Iringa, Tanzania, 3.15 km from Mahenge</t>
  </si>
  <si>
    <t>04.02.2026 05:08:47 pm</t>
  </si>
  <si>
    <t>04.02.2026 09:39:57 am</t>
  </si>
  <si>
    <t>Great North Road, Muchinga Province, Zambia, 5.60 km from Chisoso</t>
  </si>
  <si>
    <t>04.02.2026 05:09:35 pm</t>
  </si>
  <si>
    <t>05.02.2026 08:44:37 am</t>
  </si>
  <si>
    <t>05.02.2026</t>
  </si>
  <si>
    <t>100 km/h</t>
  </si>
  <si>
    <t>05.02.2026 05:11:52 pm</t>
  </si>
  <si>
    <t>Rue De La Kamoa Mine, Lualaba, Democratic Republic of the Congo, 7.62 km from Kapata</t>
  </si>
  <si>
    <t>05.02.2026 06:37:32 am</t>
  </si>
  <si>
    <t>T1, Njombe, Tanzania, Mtewele</t>
  </si>
  <si>
    <t>05.02.2026 01:25:41 pm</t>
  </si>
  <si>
    <t>Rn39, Lualaba, Democratic Republic of the Congo, Kimilombe</t>
  </si>
  <si>
    <t>05.02.2026 01:05:55 pm</t>
  </si>
  <si>
    <t>Rn39, Lualaba, Democratic Republic of the Congo, 1.27 km from Sangana</t>
  </si>
  <si>
    <t>05.02.2026 08:00:53 am</t>
  </si>
  <si>
    <t>05.02.2026 04:00:07 pm</t>
  </si>
  <si>
    <t>DIOMU SPEED AREA, ZAMBIA</t>
  </si>
  <si>
    <t>06.02.2026 04:04:38 pm</t>
  </si>
  <si>
    <t>06.02.2026</t>
  </si>
  <si>
    <t>NAKONDE ZM SIDE</t>
  </si>
  <si>
    <t>06.02.2026 12:49:15 pm</t>
  </si>
  <si>
    <t>06.02.2026 04:23:17 pm</t>
  </si>
  <si>
    <t>Great North Road, Central Province, Zambia, 9.65 km from Serenje</t>
  </si>
  <si>
    <t>T662DTQ</t>
  </si>
  <si>
    <t>06.02.2026 03:13:54 pm</t>
  </si>
  <si>
    <t>Rn39, Lualaba, Democratic Republic of the Congo, 1.18 km from Sangana</t>
  </si>
  <si>
    <t>06.02.2026 03:36:11 pm</t>
  </si>
  <si>
    <t>06.02.2026 09:10:58 am</t>
  </si>
  <si>
    <t>T1, Mbeya, Mbozi, Tanzania, 1.85 km from Mlowo</t>
  </si>
  <si>
    <t>06.02.2026 11:02:49 am</t>
  </si>
  <si>
    <t>06.02.2026 08:29:26 am</t>
  </si>
  <si>
    <t>06.02.2026 10:54:15 am</t>
  </si>
  <si>
    <t>110 km/h</t>
  </si>
  <si>
    <t>Great North Road, Muchinga Province, Zambia, 6.74 km from Rumbuka</t>
  </si>
  <si>
    <t>07.02.2026 11:32:04 am</t>
  </si>
  <si>
    <t>07.02.2026</t>
  </si>
  <si>
    <t>LIKASI BYPASS 1</t>
  </si>
  <si>
    <t>T422DHE</t>
  </si>
  <si>
    <t>07.02.2026 01:48:38 pm</t>
  </si>
  <si>
    <t>07.02.2026 02:45:34 pm</t>
  </si>
  <si>
    <t>Rn39, Lualaba, Democratic Republic of the Congo, Lutanda</t>
  </si>
  <si>
    <t>07.02.2026 12:47:07 pm</t>
  </si>
  <si>
    <t>07.02.2026 11:00:32 am</t>
  </si>
  <si>
    <t>Great North Road, Muchinga Province, Zambia, 18.10 km from Katibunga</t>
  </si>
  <si>
    <t>T602DTQ</t>
  </si>
  <si>
    <t>07.02.2026 03:00:22 pm</t>
  </si>
  <si>
    <t>Rn39, Lualaba, Democratic Republic of the Congo, 3.74 km from Fungurume</t>
  </si>
  <si>
    <t>07.02.2026 06:26:06 pm</t>
  </si>
  <si>
    <t>07.02.2026 01:59:02 pm</t>
  </si>
  <si>
    <t>Rn39, Lualaba, Democratic Republic of the Congo, 10.67 km from Kisanfu</t>
  </si>
  <si>
    <t>07.02.2026 11:09:27 am</t>
  </si>
  <si>
    <t>07.02.2026 07:21:58 am</t>
  </si>
  <si>
    <t>95 km/h</t>
  </si>
  <si>
    <t>07.02.2026 07:55:31 am</t>
  </si>
  <si>
    <t>Great North Road, Muchinga Province, Zambia, 16.60 km from Mukukwe</t>
  </si>
  <si>
    <t>08.02.2026 09:18:34 am</t>
  </si>
  <si>
    <t>08.02.2026</t>
  </si>
  <si>
    <t>Lubumbashi, Rn1, Haut-Katanga, Democratic Republic of the Congo</t>
  </si>
  <si>
    <t>08.02.2026 02:19:19 am</t>
  </si>
  <si>
    <t>08.02.2026 09:57:52 am</t>
  </si>
  <si>
    <t>Great North Road, Muchinga Province, Zambia, Rumbuka</t>
  </si>
  <si>
    <t>09.02.2026 05:17:52 pm</t>
  </si>
  <si>
    <t>09.02.2026</t>
  </si>
  <si>
    <t>MOKAMBO DRC SIDE</t>
  </si>
  <si>
    <t>09.02.2026 07:19:37 pm</t>
  </si>
  <si>
    <t>Rn39, Lualaba, Democratic Republic of the Congo, New Town (New Mitumba)</t>
  </si>
  <si>
    <t>09.02.2026 05:49:46 pm</t>
  </si>
  <si>
    <t>Rn39, Lualaba, Democratic Republic of the Congo, 4.57 km from Kisanfu</t>
  </si>
  <si>
    <t>09.02.2026 02:29:48 pm</t>
  </si>
  <si>
    <t>Iringa Road, Morogoro, Kilosa, Tanzania, 10.27 km from Doma</t>
  </si>
  <si>
    <t>10.02.2026 04:38:47 pm</t>
  </si>
  <si>
    <t>10.02.2026</t>
  </si>
  <si>
    <t>Ndola - Kitwe Dual-Carriageway, Copperbelt Province, Zambia, Ndola</t>
  </si>
  <si>
    <t>10.02.2026 09:36:46 am</t>
  </si>
  <si>
    <t>Rn39, Lualaba, Democratic Republic of the Congo, 5.78 km from Kisenda</t>
  </si>
  <si>
    <t>T437DHG</t>
  </si>
  <si>
    <t>10.02.2026 10:13:18 am</t>
  </si>
  <si>
    <t>103 km/h</t>
  </si>
  <si>
    <t>Rn39, Lualaba, Democratic Republic of the Congo, 10.63 km from Kisanfu</t>
  </si>
  <si>
    <t>10.02.2026 07:26:28 pm</t>
  </si>
  <si>
    <t>Iringa Road, Morogoro, Kilosa, Tanzania, 5.17 km from Igagala</t>
  </si>
  <si>
    <t>10.02.2026 01:44:50 pm</t>
  </si>
  <si>
    <t>Great North Road, Muchinga Province, Zambia, 5.45 km from Chisoso</t>
  </si>
  <si>
    <t>11.02.2026 02:38:02 pm</t>
  </si>
  <si>
    <t>11.02.2026</t>
  </si>
  <si>
    <t>11.02.2026 03:53:15 pm</t>
  </si>
  <si>
    <t>Great North Road, Muchinga Province, Zambia, 1.93 km from Kaole</t>
  </si>
  <si>
    <t>11.02.2026 10:20:14 am</t>
  </si>
  <si>
    <t>11.02.2026 04:58:49 pm</t>
  </si>
  <si>
    <t>Tanzania To Zambia Road, Iringa, Mufindi, Tanzania, 1.96 km from Kinyanambo</t>
  </si>
  <si>
    <t>11.02.2026 01:28:53 pm</t>
  </si>
  <si>
    <t>11.02.2026 12:16:06 pm</t>
  </si>
  <si>
    <t>11.02.2026 03:24:13 pm</t>
  </si>
  <si>
    <t>Rn39, Lualaba, Democratic Republic of the Congo, Kakule</t>
  </si>
  <si>
    <t>11.02.2026 03:20:00 pm</t>
  </si>
  <si>
    <t>Rn1, Haut-Katanga, Democratic Republic of the Congo, 3.40 km from Ntambo</t>
  </si>
  <si>
    <t>12.02.2026 02:34:00 pm</t>
  </si>
  <si>
    <t>12.02.2026</t>
  </si>
  <si>
    <t>12.02.2026 06:44:18 am</t>
  </si>
  <si>
    <t>Great North Road, Muchinga Province, Zambia, 8.97 km from Two Leopards</t>
  </si>
  <si>
    <t>12.02.2026 12:53:33 pm</t>
  </si>
  <si>
    <t>12.02.2026 05:49:59 pm</t>
  </si>
  <si>
    <t>Great North Road, Central Province, Zambia, 4.07 km from Chimpati</t>
  </si>
  <si>
    <t>12.02.2026 07:47:13 am</t>
  </si>
  <si>
    <t>13.02.2026 12:24:16 pm</t>
  </si>
  <si>
    <t>13.02.2026</t>
  </si>
  <si>
    <t>13.02.2026 06:05:36 pm</t>
  </si>
  <si>
    <t>Iringa Road, Morogoro, Kilosa, Tanzania, 11.02 km from Maharaka</t>
  </si>
  <si>
    <t>13.02.2026 07:43:23 am</t>
  </si>
  <si>
    <t>106 km/h</t>
  </si>
  <si>
    <t>Great North Road, Muchinga Province, Zambia, 8.77 km from Mwezo</t>
  </si>
  <si>
    <t>13.02.2026 11:54:40 am</t>
  </si>
  <si>
    <t>Great North Road, Muchinga Province, Zambia, 14.27 km from Chifumbula</t>
  </si>
  <si>
    <t>13.02.2026 09:06:55 am</t>
  </si>
  <si>
    <t>Great North Road, Muchinga Province, Zambia, 11.98 km from Mwezo</t>
  </si>
  <si>
    <t>13.02.2026 11:46:49 am</t>
  </si>
  <si>
    <t>13.02.2026 08:37:56 am</t>
  </si>
  <si>
    <t>13.02.2026 03:03:15 pm</t>
  </si>
  <si>
    <t>Great North Road, Muchinga Province, Zambia, 8.76 km from Mwezo</t>
  </si>
  <si>
    <t>13.02.2026 07:24:59 am</t>
  </si>
  <si>
    <t>Great North Road, Central Province, Zambia, 9.35 km from Serenje</t>
  </si>
  <si>
    <t>13.02.2026 06:59:13 pm</t>
  </si>
  <si>
    <t>Iringa Road, Iringa, Tanzania, 7.48 km from Mahenge</t>
  </si>
  <si>
    <t>13.02.2026 08:34:44 am</t>
  </si>
  <si>
    <t>Great North Road, Muchinga Province, Zambia, 8.41 km from Two Leopards</t>
  </si>
  <si>
    <t>14.02.2026 07:29:12 am</t>
  </si>
  <si>
    <t>14.02.2026</t>
  </si>
  <si>
    <t>Great North Road, Muchinga Province, Zambia, 6.41 km from Nango</t>
  </si>
  <si>
    <t>14.02.2026 01:49:48 pm</t>
  </si>
  <si>
    <t>Great North Road, Muchinga Province, Zambia, 7.09 km from Isoka</t>
  </si>
  <si>
    <t>14.02.2026 12:46:48 pm</t>
  </si>
  <si>
    <t>Rn39, Lualaba, Democratic Republic of the Congo, Kampulu</t>
  </si>
  <si>
    <t>14.02.2026 11:56:31 am</t>
  </si>
  <si>
    <t>14.02.2026 03:41:39 pm</t>
  </si>
  <si>
    <t>14.02.2026 06:37:14 pm</t>
  </si>
  <si>
    <t>14.02.2026 03:07:11 pm</t>
  </si>
  <si>
    <t>14.02.2026 01:59:45 pm</t>
  </si>
  <si>
    <t>14.02.2026 07:00:12 am</t>
  </si>
  <si>
    <t>Great North Road, Muchinga Province, Zambia, 9.56 km from Two Leopards</t>
  </si>
  <si>
    <t>14.02.2026 04:14:35 pm</t>
  </si>
  <si>
    <t>Great North Road, Muchinga Province, Zambia, 4.38 km from Kampimpa</t>
  </si>
  <si>
    <t>14.02.2026 09:44:09 am</t>
  </si>
  <si>
    <t>Great North Road, Muchinga Province, Zambia, 4.40 km from Mukwikile</t>
  </si>
  <si>
    <t>14.02.2026 10:36:03 am</t>
  </si>
  <si>
    <t>Iringa Road, Morogoro, Tanzania, 3.23 km from Kipera</t>
  </si>
  <si>
    <t>14.02.2026 07:38:10 am</t>
  </si>
  <si>
    <t>Great North Road, Muchinga Province, Zambia, 16.73 km from Mukukwe</t>
  </si>
  <si>
    <t>14.02.2026 08:01:43 am</t>
  </si>
  <si>
    <t>Great North Road, Muchinga Province, Zambia, 5.14 km from Kampimpa</t>
  </si>
  <si>
    <t>T928EBW</t>
  </si>
  <si>
    <t>14.02.2026 02:50:56 pm</t>
  </si>
  <si>
    <t>14.02.2026 06:57:35 pm</t>
  </si>
  <si>
    <t>15.02.2026 05:18:42 pm</t>
  </si>
  <si>
    <t>15.02.2026</t>
  </si>
  <si>
    <t>15.02.2026 10:42:49 am</t>
  </si>
  <si>
    <t>Tanzania To Zambia Road, Iringa, Mufindi, Tanzania, 2.03 km from Sao-Hill Forest Plantation</t>
  </si>
  <si>
    <t>15.02.2026 09:56:23 am</t>
  </si>
  <si>
    <t>Great North Road, Central Province, Zambia, 5.51 km from Mkushi</t>
  </si>
  <si>
    <t>15.02.2026 08:39:15 am</t>
  </si>
  <si>
    <t>T3, Copperbelt Province, Zambia, 10.22 km from Pukota</t>
  </si>
  <si>
    <t>15.02.2026 12:20:14 pm</t>
  </si>
  <si>
    <t>15.02.2026 07:12:18 pm</t>
  </si>
  <si>
    <t>15.02.2026 08:23:48 am</t>
  </si>
  <si>
    <t>KANONA/PENSULO ZAMBIA</t>
  </si>
  <si>
    <t>15.02.2026 07:06:51 pm</t>
  </si>
  <si>
    <t>CHINGOLA, ZAMBIA</t>
  </si>
  <si>
    <t>15.02.2026 11:44:30 am</t>
  </si>
  <si>
    <t>16.02.2026 11:53:58 am</t>
  </si>
  <si>
    <t>16.02.2026</t>
  </si>
  <si>
    <t>Fisenge Bypass, Copperbelt Province, Zambia, 33.25 km from Ndola</t>
  </si>
  <si>
    <t>16.02.2026 08:38:20 am</t>
  </si>
  <si>
    <t>Great North Road, Muchinga Province, Zambia, 20.59 km from Katibunga</t>
  </si>
  <si>
    <t>16.02.2026 08:38:10 pm</t>
  </si>
  <si>
    <t>M3, Luapula Province, Zambia, 8.41 km from Kalundu</t>
  </si>
  <si>
    <t>T342EBX</t>
  </si>
  <si>
    <t>16.02.2026 08:56:34 am</t>
  </si>
  <si>
    <t>Great North Road, Muchinga Province, Zambia, 11.52 km from Mwezo</t>
  </si>
  <si>
    <t>16.02.2026 12:28:48 pm</t>
  </si>
  <si>
    <t>16.02.2026 03:01:01 pm</t>
  </si>
  <si>
    <t>M3, Luapula Province, Zambia, 12.56 km from Chipili</t>
  </si>
  <si>
    <t>16.02.2026 11:54:38 am</t>
  </si>
  <si>
    <t>Great North Road, Central Province, Zambia, 11.68 km from Serenje</t>
  </si>
  <si>
    <t>16.02.2026 12:19:16 pm</t>
  </si>
  <si>
    <t>16.02.2026 09:22:31 pm</t>
  </si>
  <si>
    <t>M3, Northern Province, Zambia, 14.17 km from Luwingu</t>
  </si>
  <si>
    <t>16.02.2026 12:05:22 pm</t>
  </si>
  <si>
    <t>Rn1, Haut-Katanga, Democratic Republic of the Congo, 18.31 km from Tshinsenda</t>
  </si>
  <si>
    <t>16.02.2026 06:31:52 pm</t>
  </si>
  <si>
    <t>Tanzania To Zambia Road, Iringa, Mufindi, Tanzania, 3.54 km from Sao-Hill Forest Plantation</t>
  </si>
  <si>
    <t>16.02.2026 01:35:47 pm</t>
  </si>
  <si>
    <t>T1, Mbeya, Tanzania, 7.13 km from Igawa</t>
  </si>
  <si>
    <t>16.02.2026 08:17:18 am</t>
  </si>
  <si>
    <t>KITWE DANGER ZONE!!, ZAMBIA</t>
  </si>
  <si>
    <t>16.02.2026 04:02:27 pm</t>
  </si>
  <si>
    <t>Rn39, Lualaba, Democratic Republic of the Congo, Zakeo</t>
  </si>
  <si>
    <t>17.02.2026 08:56:32 am</t>
  </si>
  <si>
    <t>17.02.2026</t>
  </si>
  <si>
    <t>M3, Northern Province, Zambia, 5.02 km from Lubushi</t>
  </si>
  <si>
    <t>17.02.2026 04:53:30 pm</t>
  </si>
  <si>
    <t>T1, Njombe, Tanzania, 1.81 km from Nyanyemb</t>
  </si>
  <si>
    <t>T348DHG</t>
  </si>
  <si>
    <t>17.02.2026 11:43:29 am</t>
  </si>
  <si>
    <t>Fisenge Bypass, Copperbelt Province, Zambia, Ndola</t>
  </si>
  <si>
    <t>17.02.2026 05:24:02 pm</t>
  </si>
  <si>
    <t>CHALUMBA, ZAMBIA</t>
  </si>
  <si>
    <t>17.02.2026 02:33:04 pm</t>
  </si>
  <si>
    <t>17.02.2026 08:05:13 am</t>
  </si>
  <si>
    <t>Great North Road, Muchinga Province, Zambia, 20.56 km from Katibunga</t>
  </si>
  <si>
    <t>17.02.2026 07:20:25 pm</t>
  </si>
  <si>
    <t>M3, Luapula Province, Zambia, 8.47 km from Kalundu</t>
  </si>
  <si>
    <t>17.02.2026 10:20:34 am</t>
  </si>
  <si>
    <t>Rn1, Haut-Katanga, Democratic Republic of the Congo, 3.47 km from Lwambo</t>
  </si>
  <si>
    <t>17.02.2026 08:59:52 am</t>
  </si>
  <si>
    <t>Mbala - Nakonde Road, Northern Province, Zambia, 11.15 km from Membwe</t>
  </si>
  <si>
    <t>17.02.2026 02:05:44 pm</t>
  </si>
  <si>
    <t>Iringa Road, Morogoro, Kilosa, Tanzania, 2.50 km from Msimba</t>
  </si>
  <si>
    <t>17.02.2026 07:12:27 am</t>
  </si>
  <si>
    <t>116 km/h</t>
  </si>
  <si>
    <t>Great North Road, Central Province, Zambia, 9.16 km from Serenje</t>
  </si>
  <si>
    <t>18.02.2026 09:36:58 am</t>
  </si>
  <si>
    <t>18.02.2026</t>
  </si>
  <si>
    <t>Great North Road, Muchinga Province, Zambia, 5.38 km from Kampimpa</t>
  </si>
  <si>
    <t>18.02.2026 12:55:32 pm</t>
  </si>
  <si>
    <t>18.02.2026 04:48:12 am</t>
  </si>
  <si>
    <t>18.02.2026 05:41:24 pm</t>
  </si>
  <si>
    <t>CHIPILI, ZAMBIA</t>
  </si>
  <si>
    <t>18.02.2026 01:50:42 pm</t>
  </si>
  <si>
    <t>Mbala - Nakonde Road, Northern Province, Zambia, 10.31 km from Chilundumuzi</t>
  </si>
  <si>
    <t>18.02.2026 04:08:27 pm</t>
  </si>
  <si>
    <t>Rn1, Haut-Katanga, Democratic Republic of the Congo, 8.63 km from Sumbilili</t>
  </si>
  <si>
    <t>18.02.2026 12:09:33 pm</t>
  </si>
  <si>
    <t>T1, Morogoro, Tanzania, 2.21 km from Maseyu</t>
  </si>
  <si>
    <t>18.02.2026 07:38:09 am</t>
  </si>
  <si>
    <t>Great North Road, Muchinga Province, Zambia, 16.65 km from Mukukwe</t>
  </si>
  <si>
    <t>18.02.2026 06:29:29 pm</t>
  </si>
  <si>
    <t>M3, Luapula Province, Zambia, 9.05 km from Kalundu</t>
  </si>
  <si>
    <t>19.02.2026 01:12:50 pm</t>
  </si>
  <si>
    <t>19.02.2026</t>
  </si>
  <si>
    <t>19.02.2026 01:45:14 pm</t>
  </si>
  <si>
    <t>Rn39, Lualaba, Democratic Republic of the Congo, 5.18 km from Kisenda</t>
  </si>
  <si>
    <t>19.02.2026 02:49:21 pm</t>
  </si>
  <si>
    <t>T1, Njombe, Tanzania, 2.70 km from Nyololo</t>
  </si>
  <si>
    <t>19.02.2026 12:59:25 pm</t>
  </si>
  <si>
    <t>T1, Mbeya, Mbozi, Tanzania, 7.35 km from Vwawa</t>
  </si>
  <si>
    <t>19.02.2026 07:56:22 am</t>
  </si>
  <si>
    <t>Great North Road, Muchinga Province, Zambia, 12.24 km from Chifumbula</t>
  </si>
  <si>
    <t>19.02.2026 10:49:23 am</t>
  </si>
  <si>
    <t>19.02.2026 09:27:51 am</t>
  </si>
  <si>
    <t>T2, Pwani, Bagamoyo, Tanzania, 1.85 km from Mandera</t>
  </si>
  <si>
    <t>19.02.2026 03:35:59 pm</t>
  </si>
  <si>
    <t>20.02.2026 09:41:48 am</t>
  </si>
  <si>
    <t>20.02.2026</t>
  </si>
  <si>
    <t>20.02.2026 06:38:21 pm</t>
  </si>
  <si>
    <t>108 km/h</t>
  </si>
  <si>
    <t>M3, Luapula Province, Zambia, 8.52 km from Kalundu</t>
  </si>
  <si>
    <t>20.02.2026 06:06:13 am</t>
  </si>
  <si>
    <t>T1, Morogoro, Tanzania, 2.62 km from Ubenazomozi</t>
  </si>
  <si>
    <t>20.02.2026 11:46:00 am</t>
  </si>
  <si>
    <t>20.02.2026 08:43:30 am</t>
  </si>
  <si>
    <t>Iringa Road, Iringa, Tanzania, 7.49 km from Mahenge</t>
  </si>
  <si>
    <t>20.02.2026 06:44:35 am</t>
  </si>
  <si>
    <t>102 km/h</t>
  </si>
  <si>
    <t>T1, Njombe, Tanzania, 1.37 km from Igando</t>
  </si>
  <si>
    <t>20.02.2026 11:44:54 am</t>
  </si>
  <si>
    <t>20.02.2026 09:42:50 am</t>
  </si>
  <si>
    <t>Great North Road, Central Province, Zambia, 21.03 km from Serenje</t>
  </si>
  <si>
    <t>20.02.2026 03:09:47 pm</t>
  </si>
  <si>
    <t>105 km/h</t>
  </si>
  <si>
    <t>20.02.2026 11:46:04 am</t>
  </si>
  <si>
    <t>Lundamatwe, Iringa Road, Iringa, Tanzania</t>
  </si>
  <si>
    <t>20.02.2026 11:29:51 am</t>
  </si>
  <si>
    <t>T3, Copperbelt Province, Zambia, 9.38 km from Pukota</t>
  </si>
  <si>
    <t>20.02.2026 07:06:35 am</t>
  </si>
  <si>
    <t>Rn1, Haut-Katanga, Democratic Republic of the Congo, 2.94 km from Dikula</t>
  </si>
  <si>
    <t>20.02.2026 03:19:14 pm</t>
  </si>
  <si>
    <t>T1, Mbeya, Mbozi, Tanzania, 7.16 km from Vwawa</t>
  </si>
  <si>
    <t>20.02.2026 08:41:48 am</t>
  </si>
  <si>
    <t>Iringa Road, Iringa, Tanzania, 5.75 km from Mahenge</t>
  </si>
  <si>
    <t>22.02.2026 01:06:14 pm</t>
  </si>
  <si>
    <t>22.02.2026</t>
  </si>
  <si>
    <t>M3, Luapula Province, Zambia, 11.39 km from Bahati</t>
  </si>
  <si>
    <t>22.02.2026 12:51:01 pm</t>
  </si>
  <si>
    <t>22.02.2026 06:29:12 pm</t>
  </si>
  <si>
    <t>Iringa Road, Iringa, Tanzania, 5.21 km from Mahenge</t>
  </si>
  <si>
    <t>22.02.2026 01:15:27 pm</t>
  </si>
  <si>
    <t>22.02.2026 03:55:59 pm</t>
  </si>
  <si>
    <t>CHIZATO ZAMBIA</t>
  </si>
  <si>
    <t>23.02.2026 02:18:23 pm</t>
  </si>
  <si>
    <t>23.02.2026</t>
  </si>
  <si>
    <t>23.02.2026 08:42:41 am</t>
  </si>
  <si>
    <t>Great North Road, Muchinga Province, Zambia, 2.40 km from Mkasi</t>
  </si>
  <si>
    <t>23.02.2026 10:25:22 am</t>
  </si>
  <si>
    <t>Great North Road, Muchinga Province, Zambia, 5.55 km from Isoka</t>
  </si>
  <si>
    <t>23.02.2026 09:03:47 am</t>
  </si>
  <si>
    <t>23.02.2026 02:10:47 pm</t>
  </si>
  <si>
    <t>Iringa Road, Iringa, Tanzania, 7.47 km from Mahenge</t>
  </si>
  <si>
    <t>23.02.2026 08:35:02 am</t>
  </si>
  <si>
    <t>Great North Road, Muchinga Province, Zambia, 18.83 km from Katibunga</t>
  </si>
  <si>
    <t>24.02.2026 06:50:17 am</t>
  </si>
  <si>
    <t>24.02.2026</t>
  </si>
  <si>
    <t>Lugalo, Lugalo Ward, Kilolo DC, Iringa Region, Tanzania</t>
  </si>
  <si>
    <t>25.02.2026 06:33:46 am</t>
  </si>
  <si>
    <t>25.02.2026</t>
  </si>
  <si>
    <t>112 km/h</t>
  </si>
  <si>
    <t>Wanging'ombe, T1, Wanging'Ombe DC Ward, Njombe Region, Tanzania</t>
  </si>
  <si>
    <t>25.02.2026 03:49:28 pm</t>
  </si>
  <si>
    <t>25.02.2026 09:28:12 am</t>
  </si>
  <si>
    <t>T3, Copperbelt Province, Zambia, 5.84 km from Pukota</t>
  </si>
  <si>
    <t>25.02.2026 08:51:05 am</t>
  </si>
  <si>
    <t>25.02.2026 02:43:48 pm</t>
  </si>
  <si>
    <t>26.02.2026 11:19:55 am</t>
  </si>
  <si>
    <t>26.02.2026</t>
  </si>
  <si>
    <t>Great North Road, Muchinga Province, Zambia, 15.99 km from Mukwikile</t>
  </si>
  <si>
    <t>26.02.2026 06:48:26 pm</t>
  </si>
  <si>
    <t>ISOKA, ZAMBIA</t>
  </si>
  <si>
    <t>26.02.2026 03:29:02 pm</t>
  </si>
  <si>
    <t>Rue De La Kamoa Mine, Lualaba, Democratic Republic of the Congo, 1.54 km from Tshizunza</t>
  </si>
  <si>
    <t>26.02.2026 10:19:52 am</t>
  </si>
  <si>
    <t>Ubungo, Morogoro Main Road, Kwembe Ward, Dar es Salaam Region, Tanzania</t>
  </si>
  <si>
    <t>26.02.2026 08:00:46 am</t>
  </si>
  <si>
    <t>Great North Road, Muchinga Province, Zambia, 9.17 km from Mwezo</t>
  </si>
  <si>
    <t>26.02.2026 11:10:59 am</t>
  </si>
  <si>
    <t>Fisenge Bypass, Copperbelt Province, Zambia, 33.11 km from Ndola</t>
  </si>
  <si>
    <t>27.02.2026 04:48:49 am</t>
  </si>
  <si>
    <t>27.02.2026</t>
  </si>
  <si>
    <t>Fulwe, Mikese Ward, Morogoro DC, Morogoro Region, Tanzania</t>
  </si>
  <si>
    <t>27.02.2026 05:25:20 am</t>
  </si>
  <si>
    <t>Vwawa, Vwawa Ward, Mbozi DC, Songwe Region, Tanzania</t>
  </si>
  <si>
    <t>27.02.2026 02:48:32 pm</t>
  </si>
  <si>
    <t>Rn1, Lualaba, Democratic Republic of the Congo, 3.25 km from Kazelo</t>
  </si>
  <si>
    <t>27.02.2026 11:38:06 am</t>
  </si>
  <si>
    <t>27.02.2026 03:32:44 pm</t>
  </si>
  <si>
    <t>Kinegemb, Itandula Ward, Mufindi DC, Iringa Region, Tanzania</t>
  </si>
  <si>
    <t>27.02.2026 07:02:13 pm</t>
  </si>
  <si>
    <t>Rue De La Kamoa Mine, Lualaba, Democratic Republic of the Congo, 6.09 km from Kolwezi</t>
  </si>
  <si>
    <t>28.02.2026 03:09:55 pm</t>
  </si>
  <si>
    <t>28.02.2026 06:52:16 am</t>
  </si>
  <si>
    <t>Mafinga TC, T1, Sao Hill Ward, Iringa Region, Tanzania</t>
  </si>
  <si>
    <t>28.02.2026 02:09:23 pm</t>
  </si>
  <si>
    <t>Mambi, Kongolo Ward, Mbarali DC, Mbeya Region, Tanzania</t>
  </si>
  <si>
    <t>28.02.2026 03:31:02 pm</t>
  </si>
  <si>
    <t>Bwawani, Gwata Ward, Morogoro DC, Morogoro Region, Tanzania</t>
  </si>
  <si>
    <t>28.02.2026 03:06:29 pm</t>
  </si>
  <si>
    <t>28.02.2026 03:41:50 pm</t>
  </si>
  <si>
    <t>M3, Luapula Province, Zambia, 8.50 km from Kalundu</t>
  </si>
  <si>
    <t>28.02.2026 02:44:30 pm</t>
  </si>
  <si>
    <t>28.02.2026 01:33:10 pm</t>
  </si>
  <si>
    <t>28.02.2026 07:32:56 am</t>
  </si>
  <si>
    <t>Vehicle no</t>
  </si>
  <si>
    <t xml:space="preserve">Driver name </t>
  </si>
  <si>
    <t xml:space="preserve">TM NAME </t>
  </si>
  <si>
    <t>TC NAME</t>
  </si>
  <si>
    <t>Beginning</t>
  </si>
  <si>
    <t>Initial location</t>
  </si>
  <si>
    <t>End</t>
  </si>
  <si>
    <t>Final location</t>
  </si>
  <si>
    <t xml:space="preserve">DURATION </t>
  </si>
  <si>
    <t>Mileage</t>
  </si>
  <si>
    <t>Offense</t>
  </si>
  <si>
    <t>TUNDUMA PARKING</t>
  </si>
  <si>
    <t>1:02:47</t>
  </si>
  <si>
    <t>35.28 km</t>
  </si>
  <si>
    <t>Tanzania To Zambia Road, 2.24 km from Mafinga</t>
  </si>
  <si>
    <t>3:11:42</t>
  </si>
  <si>
    <t>112.36 km</t>
  </si>
  <si>
    <t>3:14:10</t>
  </si>
  <si>
    <t>112.27 km</t>
  </si>
  <si>
    <t>Iringa Road, 1.24 km from Ruaha Mbuyumi</t>
  </si>
  <si>
    <t>1:56:57</t>
  </si>
  <si>
    <t>76.61 km</t>
  </si>
  <si>
    <t>MAKAMBAKO</t>
  </si>
  <si>
    <t>IPOGOLO IRINGA</t>
  </si>
  <si>
    <t>3:40:41</t>
  </si>
  <si>
    <t>153.85 km</t>
  </si>
  <si>
    <t>T3, 10.55 km from Chingola</t>
  </si>
  <si>
    <t>0:16:11</t>
  </si>
  <si>
    <t>3.80 km</t>
  </si>
  <si>
    <t>T346EBX</t>
  </si>
  <si>
    <t>MBAGALA YARD</t>
  </si>
  <si>
    <t>2:35:17</t>
  </si>
  <si>
    <t>79.72 km</t>
  </si>
  <si>
    <t>5:15:16</t>
  </si>
  <si>
    <t>263.39 km</t>
  </si>
  <si>
    <t>IGUMBILO, IRINGA</t>
  </si>
  <si>
    <t>4:15:32</t>
  </si>
  <si>
    <t>177.29 km</t>
  </si>
  <si>
    <t>T1, Kwalaza</t>
  </si>
  <si>
    <t>3:28:46</t>
  </si>
  <si>
    <t>103.77 km</t>
  </si>
  <si>
    <t>IFUNDA, IRINGA</t>
  </si>
  <si>
    <t>GL KURASINI YARD</t>
  </si>
  <si>
    <t>8:09:09</t>
  </si>
  <si>
    <t>285.22 km</t>
  </si>
  <si>
    <t>T573DYR</t>
  </si>
  <si>
    <t>ILULA SOKONI</t>
  </si>
  <si>
    <t>3:29:32</t>
  </si>
  <si>
    <t>140.45 km</t>
  </si>
  <si>
    <t>2:53:15</t>
  </si>
  <si>
    <t>76.01 km</t>
  </si>
  <si>
    <t>7:27:48</t>
  </si>
  <si>
    <t>277.09 km</t>
  </si>
  <si>
    <t>Iringa Road, 12.02 km from Morogoro</t>
  </si>
  <si>
    <t>5:30:00</t>
  </si>
  <si>
    <t>242.15 km</t>
  </si>
  <si>
    <t>6:39:36</t>
  </si>
  <si>
    <t>230.75 km</t>
  </si>
  <si>
    <t>Iringa Road, 1.37 km from Ruaha Mbuyumi</t>
  </si>
  <si>
    <t>3:34:49</t>
  </si>
  <si>
    <t>108.34 km</t>
  </si>
  <si>
    <t>T1, 1.44 km from Mayale</t>
  </si>
  <si>
    <t>3:54:38</t>
  </si>
  <si>
    <t>143.29 km</t>
  </si>
  <si>
    <t>T1, 5.88 km from Igando</t>
  </si>
  <si>
    <t>3:18:22</t>
  </si>
  <si>
    <t>126.81 km</t>
  </si>
  <si>
    <t>Tanzam Road, 2.41 km from Mbeya</t>
  </si>
  <si>
    <t>TUNDUMA BORDER TZ SIDE</t>
  </si>
  <si>
    <t>3:33:51</t>
  </si>
  <si>
    <t>90.83 km</t>
  </si>
  <si>
    <t>Morogoro Main Road, 1.27 km from Karabaka</t>
  </si>
  <si>
    <t>DAR ES SALAAM</t>
  </si>
  <si>
    <t>2:05:00</t>
  </si>
  <si>
    <t>60.92 km</t>
  </si>
  <si>
    <t>T1, 1.17 km from Uyole</t>
  </si>
  <si>
    <t>4:38:58</t>
  </si>
  <si>
    <t>161.31 km</t>
  </si>
  <si>
    <t>Great North Road, Nakonde</t>
  </si>
  <si>
    <t>0:24:09</t>
  </si>
  <si>
    <t>6.55 km</t>
  </si>
  <si>
    <t>1:41:28</t>
  </si>
  <si>
    <t>44.32 km</t>
  </si>
  <si>
    <t>0:17:17</t>
  </si>
  <si>
    <t>6.49 km</t>
  </si>
  <si>
    <t>0:18:42</t>
  </si>
  <si>
    <t>6.57 km</t>
  </si>
  <si>
    <t>T395ECN</t>
  </si>
  <si>
    <t>1:52:56</t>
  </si>
  <si>
    <t>44.51 km</t>
  </si>
  <si>
    <t>0:25:27</t>
  </si>
  <si>
    <t>6.62 km</t>
  </si>
  <si>
    <t>0:20:13</t>
  </si>
  <si>
    <t>6.53 km</t>
  </si>
  <si>
    <t>0:24:34</t>
  </si>
  <si>
    <t>6.59 km</t>
  </si>
  <si>
    <t>0:20:28</t>
  </si>
  <si>
    <t>T729DYR</t>
  </si>
  <si>
    <t>2:41:29</t>
  </si>
  <si>
    <t>113.31 km</t>
  </si>
  <si>
    <t>T1, Nakonde</t>
  </si>
  <si>
    <t>0:19:18</t>
  </si>
  <si>
    <t>6.74 km</t>
  </si>
  <si>
    <t>2:14:04</t>
  </si>
  <si>
    <t>44.45 km</t>
  </si>
  <si>
    <t>0:29:34</t>
  </si>
  <si>
    <t>9.28 km</t>
  </si>
  <si>
    <t>MAKAMBAKO WBG</t>
  </si>
  <si>
    <t>Tanzam Road, 2.34 km from Mbeya</t>
  </si>
  <si>
    <t>5:27:04</t>
  </si>
  <si>
    <t>172.48 km</t>
  </si>
  <si>
    <t>Iringa Road, 3.74 km from Ikokoto</t>
  </si>
  <si>
    <t>0:43:36</t>
  </si>
  <si>
    <t>15.05 km</t>
  </si>
  <si>
    <t>IGURUSI</t>
  </si>
  <si>
    <t>3:15:31</t>
  </si>
  <si>
    <t>121.68 km</t>
  </si>
  <si>
    <t>3:24:09</t>
  </si>
  <si>
    <t>120.93 km</t>
  </si>
  <si>
    <t>4:29:12</t>
  </si>
  <si>
    <t>190.06 km</t>
  </si>
  <si>
    <t>KISENDA DRC</t>
  </si>
  <si>
    <t>Rn39, 6.15 km from Kazembe</t>
  </si>
  <si>
    <t>0:56:21</t>
  </si>
  <si>
    <t>13.32 km</t>
  </si>
  <si>
    <t>T735DYR</t>
  </si>
  <si>
    <t>1:18:56</t>
  </si>
  <si>
    <t>35.62 km</t>
  </si>
  <si>
    <t>3:02:33</t>
  </si>
  <si>
    <t>126.36 km</t>
  </si>
  <si>
    <t>2:20:02</t>
  </si>
  <si>
    <t>80.36 km</t>
  </si>
  <si>
    <t>2/15/2026  15:40:21 PM</t>
  </si>
  <si>
    <t>2/15/2026  17:40:19 PM</t>
  </si>
  <si>
    <t>2:00</t>
  </si>
  <si>
    <t>120.5 km</t>
  </si>
  <si>
    <t xml:space="preserve">Driving Without Convoy Day </t>
  </si>
  <si>
    <t>M3, 10.45 km from Shikasenge</t>
  </si>
  <si>
    <t>KASAMA, ZAMBIA</t>
  </si>
  <si>
    <t>0:57:00</t>
  </si>
  <si>
    <t>32.16 km</t>
  </si>
  <si>
    <t>GENERAL PARKING - LUBUMBASHI</t>
  </si>
  <si>
    <t>0:36:08</t>
  </si>
  <si>
    <t>21.49 km</t>
  </si>
  <si>
    <t>0:26:21</t>
  </si>
  <si>
    <t>9.65 km</t>
  </si>
  <si>
    <t>0:25:08</t>
  </si>
  <si>
    <t>9.99 km</t>
  </si>
  <si>
    <t>0:36:45</t>
  </si>
  <si>
    <t>21.55 km</t>
  </si>
  <si>
    <t>T2, Mkata</t>
  </si>
  <si>
    <t>KANGE PARKING - TANGA</t>
  </si>
  <si>
    <t>3:27:41</t>
  </si>
  <si>
    <t>127.28 km</t>
  </si>
  <si>
    <t>M1, 12.91 km from Sementi</t>
  </si>
  <si>
    <t>Mbala - Nakonde Road, 13.42 km from Chilundumuzi</t>
  </si>
  <si>
    <t>1:56:06</t>
  </si>
  <si>
    <t>115.11 km</t>
  </si>
  <si>
    <t>3:26:47</t>
  </si>
  <si>
    <t>93.44 km</t>
  </si>
  <si>
    <t>WHISKY DRC</t>
  </si>
  <si>
    <t>0:32:40</t>
  </si>
  <si>
    <t>0.79 km</t>
  </si>
  <si>
    <t>14:36:42</t>
  </si>
  <si>
    <t>624.65 km</t>
  </si>
  <si>
    <t>Tanzania To Zambia Road, 2.87 km from Ugwachanya</t>
  </si>
  <si>
    <t>2:50:10</t>
  </si>
  <si>
    <t>140.73 km</t>
  </si>
  <si>
    <t>Iringa Road, 3.87 km from Ikokoto</t>
  </si>
  <si>
    <t>5:39:57</t>
  </si>
  <si>
    <t>215.17 km</t>
  </si>
  <si>
    <t>Rn1, 1.78 km from Kasumbalesa</t>
  </si>
  <si>
    <t>0:25:05</t>
  </si>
  <si>
    <t>0.69 km</t>
  </si>
  <si>
    <t>CHIMALA FILLING STATION</t>
  </si>
  <si>
    <t>2:55:14</t>
  </si>
  <si>
    <t>87.63 km</t>
  </si>
  <si>
    <t>T1, 1.22 km from Mangere</t>
  </si>
  <si>
    <t>2:19:29</t>
  </si>
  <si>
    <t>70.05 km</t>
  </si>
  <si>
    <t>Rn39, 5.53 km from Kisenda</t>
  </si>
  <si>
    <t>Rn39, 6.17 km from Kazembe</t>
  </si>
  <si>
    <t>0:37:43</t>
  </si>
  <si>
    <t>8.08 km</t>
  </si>
  <si>
    <t>T2, Mkata Mashariki</t>
  </si>
  <si>
    <t>T1, Majengo</t>
  </si>
  <si>
    <t>3:18:51</t>
  </si>
  <si>
    <t>124.52 km</t>
  </si>
  <si>
    <t>6:57:53</t>
  </si>
  <si>
    <t>257.02 km</t>
  </si>
  <si>
    <t>2:23:00</t>
  </si>
  <si>
    <t>113.34 km</t>
  </si>
  <si>
    <t>T1, 3.17 km from Edetelo</t>
  </si>
  <si>
    <t>3:08:47</t>
  </si>
  <si>
    <t>118.22 km</t>
  </si>
  <si>
    <t>2:22:42</t>
  </si>
  <si>
    <t>63.86 km</t>
  </si>
  <si>
    <t>2:11:38</t>
  </si>
  <si>
    <t>63.98 km</t>
  </si>
  <si>
    <t>2026-02-23 21:17:30</t>
  </si>
  <si>
    <t>Rn39, 5.54 km from Kisenda</t>
  </si>
  <si>
    <t>2026-02-23 22:45:00</t>
  </si>
  <si>
    <t>Route De La Mine Deziwa, 5.69 km from Kisenda</t>
  </si>
  <si>
    <t>1:27:30</t>
  </si>
  <si>
    <t>Mambi</t>
  </si>
  <si>
    <t>2:08:39</t>
  </si>
  <si>
    <t>61.00 km</t>
  </si>
  <si>
    <t>Mbeya City, Mahakama Avenue</t>
  </si>
  <si>
    <t>3:45:15</t>
  </si>
  <si>
    <t>93.21 km</t>
  </si>
  <si>
    <t>5:01:20</t>
  </si>
  <si>
    <t>205.61 km</t>
  </si>
  <si>
    <t>Kikwaraza</t>
  </si>
  <si>
    <t>5:29:08</t>
  </si>
  <si>
    <t>185.34 km</t>
  </si>
  <si>
    <t>3:08:12</t>
  </si>
  <si>
    <t>119.26 km</t>
  </si>
  <si>
    <t>Kidoma</t>
  </si>
  <si>
    <t>6:04:13</t>
  </si>
  <si>
    <t>253.07 km</t>
  </si>
  <si>
    <t>Pera</t>
  </si>
  <si>
    <t>0:32:27</t>
  </si>
  <si>
    <t>11.80 km</t>
  </si>
  <si>
    <t>Rn39, 5.52 km from Kisenda</t>
  </si>
  <si>
    <t>Rn39, 5.77 km from Kazembe</t>
  </si>
  <si>
    <t>0:42:28</t>
  </si>
  <si>
    <t>7.63 km</t>
  </si>
  <si>
    <t>4:07:40</t>
  </si>
  <si>
    <t>164.73 km</t>
  </si>
  <si>
    <t>2:30:29</t>
  </si>
  <si>
    <t>61.35 km</t>
  </si>
  <si>
    <t>Mtandika 'B'</t>
  </si>
  <si>
    <t>7:01:45</t>
  </si>
  <si>
    <t>245.04 km</t>
  </si>
  <si>
    <t>CHALINZE</t>
  </si>
  <si>
    <t>Ubena Zomozi</t>
  </si>
  <si>
    <t>0:36:00</t>
  </si>
  <si>
    <t>19.72 km</t>
  </si>
  <si>
    <t>DCG - KISARAWE</t>
  </si>
  <si>
    <t>2:15:49</t>
  </si>
  <si>
    <t>40.45 km</t>
  </si>
  <si>
    <t>0:40:52</t>
  </si>
  <si>
    <t>9.15 km</t>
  </si>
  <si>
    <t>0:37:39</t>
  </si>
  <si>
    <t>9.19 km</t>
  </si>
  <si>
    <t>1:02:41</t>
  </si>
  <si>
    <t>26.84 km</t>
  </si>
  <si>
    <t>1:18:30</t>
  </si>
  <si>
    <t>21.48 km</t>
  </si>
  <si>
    <t>IGAWA T JUNCTION</t>
  </si>
  <si>
    <t>KIBENA, IRINGA</t>
  </si>
  <si>
    <t>4:06:22</t>
  </si>
  <si>
    <t>158.90 km</t>
  </si>
  <si>
    <t>3:23:28</t>
  </si>
  <si>
    <t>107.80 km</t>
  </si>
  <si>
    <t>Iringa, Dar - Mbeya Highway</t>
  </si>
  <si>
    <t>Tambuka Reli</t>
  </si>
  <si>
    <t>4:29:19</t>
  </si>
  <si>
    <t>181.40 km</t>
  </si>
  <si>
    <t>3:27:50</t>
  </si>
  <si>
    <t>147.83 km</t>
  </si>
  <si>
    <t>IDLING OPERATIONAL DELAY CLASSIFICATION SUMMARY</t>
  </si>
  <si>
    <t>OVERALL VIOLATIONS REPORT 01.03.2026.xlsx</t>
  </si>
  <si>
    <t>Total idling records</t>
  </si>
  <si>
    <t>Total NO OF EVENTS</t>
  </si>
  <si>
    <t>Category Summary (event-weighted)</t>
  </si>
  <si>
    <t>Category</t>
  </si>
  <si>
    <t>Records</t>
  </si>
  <si>
    <t>Records %</t>
  </si>
  <si>
    <t>Events %</t>
  </si>
  <si>
    <t>Interpretation</t>
  </si>
  <si>
    <t>Stuck in traffic jam / checkpoint area</t>
  </si>
  <si>
    <t>Likely operational delay</t>
  </si>
  <si>
    <t>Unclassified / needs review</t>
  </si>
  <si>
    <t>Needs manual review</t>
  </si>
  <si>
    <t>At border clearance</t>
  </si>
  <si>
    <t>Waiting at loading / offloading</t>
  </si>
  <si>
    <t>Waiting at weighbridge</t>
  </si>
  <si>
    <t>Operational delay (sum of 5 categories)</t>
  </si>
  <si>
    <t>Top Idling Hotspots by NO OF EVENTS (evidence)</t>
  </si>
  <si>
    <t>Same-day trucks in area</t>
  </si>
  <si>
    <t>Same-day area events</t>
  </si>
  <si>
    <t>Not operational delay  (Needs 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</si>
</sst>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mmm\-yy;@"/>
    <numFmt numFmtId="165" formatCode="#0"/>
    <numFmt numFmtId="166" formatCode="0.00&quot; km&quot;"/>
    <numFmt numFmtId="167" formatCode="dd\.mm\.yyyy\ hh:mm:ss"/>
    <numFmt numFmtId="168" formatCode="#0&quot; km/h&quot;"/>
    <numFmt numFmtId="169" formatCode="yyyy\-mm\-dd\ hh:mm:ss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8"/>
      <color theme="1"/>
      <name val="Century Gothic"/>
      <family val="2"/>
    </font>
    <font>
      <sz val="8"/>
      <name val="Century Gothic"/>
      <family val="2"/>
    </font>
    <font>
      <sz val="8"/>
      <color theme="1" tint="0.14999847407452621"/>
      <name val="Century Gothic"/>
      <family val="2"/>
    </font>
    <font>
      <sz val="8"/>
      <color theme="1" tint="0.14999847407452621"/>
      <name val="Calibri"/>
      <family val="2"/>
    </font>
    <font>
      <b/>
      <sz val="14"/>
      <name val="Aptos Narrow"/>
    </font>
    <font>
      <b/>
      <sz val="11"/>
      <name val="Aptos Narrow"/>
    </font>
    <font>
      <b/>
      <sz val="11"/>
      <color rgb="FFFFFFFF"/>
      <name val="Aptos Narrow"/>
    </font>
    <font>
      <b/>
      <sz val="1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rgb="FFE1E1E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E1E1E1"/>
      </patternFill>
    </fill>
    <fill>
      <patternFill patternType="solid">
        <fgColor rgb="FF00B050"/>
        <bgColor indexed="64"/>
      </patternFill>
    </fill>
    <fill>
      <patternFill patternType="solid">
        <fgColor rgb="FF1F4E78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0" fillId="6" borderId="0" xfId="0" applyFill="1"/>
    <xf numFmtId="0" fontId="0" fillId="0" borderId="0" xfId="0" applyAlignment="1">
      <alignment horizontal="left"/>
    </xf>
    <xf numFmtId="0" fontId="2" fillId="0" borderId="0" xfId="0" applyFont="1"/>
    <xf numFmtId="0" fontId="3" fillId="5" borderId="1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1" fillId="8" borderId="1" xfId="0" applyFont="1" applyFill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6" borderId="0" xfId="0" applyFill="1" applyAlignment="1">
      <alignment horizontal="center"/>
    </xf>
    <xf numFmtId="3" fontId="3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0" fontId="0" fillId="0" borderId="0" xfId="0" pivotButton="1"/>
    <xf numFmtId="0" fontId="4" fillId="0" borderId="0" xfId="0" applyFont="1"/>
    <xf numFmtId="165" fontId="4" fillId="10" borderId="5" xfId="0" applyNumberFormat="1" applyFont="1" applyFill="1" applyBorder="1" applyAlignment="1">
      <alignment horizontal="left" vertical="center"/>
    </xf>
    <xf numFmtId="166" fontId="4" fillId="10" borderId="5" xfId="0" applyNumberFormat="1" applyFont="1" applyFill="1" applyBorder="1" applyAlignment="1">
      <alignment horizontal="left" vertical="center"/>
    </xf>
    <xf numFmtId="165" fontId="6" fillId="11" borderId="3" xfId="0" applyNumberFormat="1" applyFont="1" applyFill="1" applyBorder="1" applyAlignment="1">
      <alignment horizontal="left" vertical="center" wrapText="1"/>
    </xf>
    <xf numFmtId="1" fontId="6" fillId="11" borderId="3" xfId="0" applyNumberFormat="1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/>
    </xf>
    <xf numFmtId="165" fontId="6" fillId="11" borderId="2" xfId="0" applyNumberFormat="1" applyFont="1" applyFill="1" applyBorder="1" applyAlignment="1">
      <alignment horizontal="left" vertical="center" wrapText="1"/>
    </xf>
    <xf numFmtId="165" fontId="4" fillId="10" borderId="7" xfId="0" applyNumberFormat="1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 vertical="center"/>
    </xf>
    <xf numFmtId="165" fontId="6" fillId="3" borderId="3" xfId="0" applyNumberFormat="1" applyFont="1" applyFill="1" applyBorder="1" applyAlignment="1">
      <alignment horizontal="left" vertical="center"/>
    </xf>
    <xf numFmtId="165" fontId="6" fillId="3" borderId="4" xfId="0" applyNumberFormat="1" applyFont="1" applyFill="1" applyBorder="1" applyAlignment="1">
      <alignment horizontal="left" vertical="center"/>
    </xf>
    <xf numFmtId="165" fontId="6" fillId="3" borderId="1" xfId="0" applyNumberFormat="1" applyFont="1" applyFill="1" applyBorder="1" applyAlignment="1">
      <alignment horizontal="left" vertical="center"/>
    </xf>
    <xf numFmtId="165" fontId="6" fillId="3" borderId="2" xfId="0" applyNumberFormat="1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/>
    </xf>
    <xf numFmtId="165" fontId="6" fillId="9" borderId="5" xfId="0" applyNumberFormat="1" applyFont="1" applyFill="1" applyBorder="1" applyAlignment="1">
      <alignment horizontal="left" vertical="center"/>
    </xf>
    <xf numFmtId="167" fontId="6" fillId="9" borderId="5" xfId="0" applyNumberFormat="1" applyFont="1" applyFill="1" applyBorder="1" applyAlignment="1">
      <alignment horizontal="left" vertical="center"/>
    </xf>
    <xf numFmtId="167" fontId="6" fillId="9" borderId="6" xfId="0" applyNumberFormat="1" applyFont="1" applyFill="1" applyBorder="1" applyAlignment="1">
      <alignment horizontal="left" vertical="center"/>
    </xf>
    <xf numFmtId="165" fontId="6" fillId="9" borderId="7" xfId="0" applyNumberFormat="1" applyFont="1" applyFill="1" applyBorder="1" applyAlignment="1">
      <alignment horizontal="left" vertical="center"/>
    </xf>
    <xf numFmtId="168" fontId="6" fillId="9" borderId="5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4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6" borderId="0" xfId="0" applyFont="1" applyFill="1" applyAlignment="1">
      <alignment horizontal="left"/>
    </xf>
    <xf numFmtId="0" fontId="6" fillId="6" borderId="5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1" fontId="6" fillId="5" borderId="4" xfId="0" applyNumberFormat="1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4" fillId="2" borderId="1" xfId="0" applyFont="1" applyFill="1" applyBorder="1"/>
    <xf numFmtId="0" fontId="6" fillId="9" borderId="6" xfId="0" applyFont="1" applyFill="1" applyBorder="1" applyAlignment="1">
      <alignment horizontal="left" vertical="center"/>
    </xf>
    <xf numFmtId="49" fontId="6" fillId="5" borderId="3" xfId="0" applyNumberFormat="1" applyFont="1" applyFill="1" applyBorder="1" applyAlignment="1">
      <alignment horizontal="left"/>
    </xf>
    <xf numFmtId="49" fontId="6" fillId="6" borderId="5" xfId="0" applyNumberFormat="1" applyFont="1" applyFill="1" applyBorder="1" applyAlignment="1">
      <alignment horizontal="left"/>
    </xf>
    <xf numFmtId="49" fontId="0" fillId="0" borderId="0" xfId="0" applyNumberFormat="1"/>
    <xf numFmtId="169" fontId="6" fillId="5" borderId="3" xfId="0" applyNumberFormat="1" applyFont="1" applyFill="1" applyBorder="1" applyAlignment="1">
      <alignment horizontal="left"/>
    </xf>
    <xf numFmtId="169" fontId="6" fillId="6" borderId="5" xfId="0" applyNumberFormat="1" applyFont="1" applyFill="1" applyBorder="1" applyAlignment="1">
      <alignment horizontal="left"/>
    </xf>
    <xf numFmtId="169" fontId="0" fillId="0" borderId="0" xfId="0" applyNumberFormat="1"/>
    <xf numFmtId="49" fontId="2" fillId="0" borderId="0" xfId="0" applyNumberFormat="1" applyFont="1"/>
    <xf numFmtId="169" fontId="2" fillId="0" borderId="0" xfId="0" applyNumberFormat="1" applyFont="1"/>
    <xf numFmtId="49" fontId="6" fillId="3" borderId="3" xfId="0" applyNumberFormat="1" applyFont="1" applyFill="1" applyBorder="1" applyAlignment="1">
      <alignment horizontal="left" vertical="center"/>
    </xf>
    <xf numFmtId="49" fontId="6" fillId="9" borderId="5" xfId="0" applyNumberFormat="1" applyFont="1" applyFill="1" applyBorder="1" applyAlignment="1">
      <alignment horizontal="left" vertical="center"/>
    </xf>
    <xf numFmtId="49" fontId="7" fillId="0" borderId="0" xfId="0" applyNumberFormat="1" applyFont="1" applyAlignment="1">
      <alignment vertical="center"/>
    </xf>
    <xf numFmtId="0" fontId="6" fillId="6" borderId="7" xfId="0" applyFont="1" applyFill="1" applyBorder="1" applyAlignment="1">
      <alignment horizontal="left" vertical="center"/>
    </xf>
    <xf numFmtId="49" fontId="6" fillId="11" borderId="3" xfId="0" applyNumberFormat="1" applyFont="1" applyFill="1" applyBorder="1" applyAlignment="1">
      <alignment horizontal="left" vertical="center" wrapText="1"/>
    </xf>
    <xf numFmtId="49" fontId="4" fillId="10" borderId="5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169" fontId="6" fillId="11" borderId="3" xfId="0" applyNumberFormat="1" applyFont="1" applyFill="1" applyBorder="1" applyAlignment="1">
      <alignment horizontal="left" vertical="center" wrapText="1"/>
    </xf>
    <xf numFmtId="169" fontId="4" fillId="10" borderId="5" xfId="0" applyNumberFormat="1" applyFont="1" applyFill="1" applyBorder="1" applyAlignment="1">
      <alignment horizontal="left" vertical="center"/>
    </xf>
    <xf numFmtId="169" fontId="0" fillId="0" borderId="0" xfId="0" applyNumberFormat="1" applyAlignment="1">
      <alignment horizontal="center"/>
    </xf>
    <xf numFmtId="15" fontId="3" fillId="0" borderId="1" xfId="0" applyNumberFormat="1" applyFont="1" applyBorder="1" applyAlignment="1">
      <alignment horizontal="left"/>
    </xf>
    <xf numFmtId="10" fontId="0" fillId="0" borderId="0" xfId="0" applyNumberFormat="1"/>
    <xf numFmtId="0" fontId="9" fillId="0" borderId="0" xfId="0" applyFont="1"/>
    <xf numFmtId="0" fontId="10" fillId="13" borderId="0" xfId="0" applyFont="1" applyFill="1"/>
    <xf numFmtId="0" fontId="10" fillId="13" borderId="1" xfId="0" applyFont="1" applyFill="1" applyBorder="1"/>
    <xf numFmtId="0" fontId="0" fillId="0" borderId="1" xfId="0" applyBorder="1"/>
    <xf numFmtId="10" fontId="0" fillId="0" borderId="1" xfId="0" applyNumberFormat="1" applyBorder="1"/>
    <xf numFmtId="0" fontId="9" fillId="0" borderId="1" xfId="0" applyFont="1" applyBorder="1"/>
    <xf numFmtId="0" fontId="1" fillId="0" borderId="1" xfId="0" applyFont="1" applyBorder="1"/>
    <xf numFmtId="0" fontId="11" fillId="0" borderId="0" xfId="0" applyFont="1"/>
    <xf numFmtId="10" fontId="0" fillId="14" borderId="1" xfId="0" applyNumberFormat="1" applyFill="1" applyBorder="1"/>
    <xf numFmtId="0" fontId="0" fillId="14" borderId="1" xfId="0" applyFill="1" applyBorder="1"/>
    <xf numFmtId="0" fontId="0" fillId="2" borderId="0" xfId="0" applyFill="1" applyAlignment="1">
      <alignment horizontal="center"/>
    </xf>
    <xf numFmtId="0" fontId="0" fillId="0" borderId="0" xfId="0"/>
    <xf numFmtId="0" fontId="0" fillId="1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/>
    <xf numFmtId="0" fontId="0" fillId="7" borderId="1" xfId="0" applyFill="1" applyBorder="1" applyAlignment="1">
      <alignment horizontal="center"/>
    </xf>
    <xf numFmtId="0" fontId="0" fillId="0" borderId="8" xfId="0" applyBorder="1"/>
    <xf numFmtId="0" fontId="8" fillId="7" borderId="0" xfId="0" applyFont="1" applyFill="1"/>
    <xf numFmtId="0" fontId="0" fillId="7" borderId="0" xfId="0" applyFill="1"/>
  </cellXfs>
  <cellStyles count="1"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theme="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8"/>
        <color theme="1"/>
        <name val="Century Gothic"/>
        <family val="2"/>
      </font>
      <numFmt numFmtId="166" formatCode="0.00&quot; km&quot;"/>
      <fill>
        <patternFill patternType="solid">
          <fgColor rgb="FFF2F2F2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8"/>
        <color theme="1"/>
        <name val="Century Gothic"/>
        <family val="2"/>
      </font>
      <numFmt numFmtId="30" formatCode="@"/>
      <fill>
        <patternFill patternType="solid">
          <fgColor rgb="FFF2F2F2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/>
        <name val="Century Gothic"/>
        <family val="2"/>
      </font>
      <numFmt numFmtId="165" formatCode="#0"/>
      <fill>
        <patternFill patternType="solid">
          <fgColor rgb="FFF2F2F2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8"/>
        <color theme="1"/>
        <name val="Century Gothic"/>
        <family val="2"/>
      </font>
      <numFmt numFmtId="169" formatCode="yyyy\-mm\-dd\ hh:mm:ss"/>
      <fill>
        <patternFill patternType="solid">
          <fgColor rgb="FFF2F2F2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/>
        <name val="Century Gothic"/>
        <family val="2"/>
      </font>
      <numFmt numFmtId="165" formatCode="#0"/>
      <fill>
        <patternFill patternType="solid">
          <fgColor rgb="FFF2F2F2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8"/>
        <color theme="1"/>
        <name val="Century Gothic"/>
        <family val="2"/>
      </font>
      <numFmt numFmtId="30" formatCode="@"/>
      <fill>
        <patternFill patternType="solid">
          <fgColor rgb="FFF2F2F2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/>
        <name val="Century Gothic"/>
        <family val="2"/>
      </font>
      <numFmt numFmtId="169" formatCode="yyyy\-mm\-dd\ hh:mm:ss"/>
      <fill>
        <patternFill patternType="solid">
          <fgColor rgb="FFF2F2F2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8"/>
        <color theme="1"/>
        <name val="Century Gothic"/>
        <family val="2"/>
      </font>
      <numFmt numFmtId="165" formatCode="#0"/>
      <fill>
        <patternFill patternType="solid">
          <fgColor rgb="FFF2F2F2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8"/>
        <color theme="1"/>
        <name val="Century Gothic"/>
        <family val="2"/>
      </font>
      <numFmt numFmtId="165" formatCode="#0"/>
      <fill>
        <patternFill patternType="solid">
          <fgColor rgb="FFF2F2F2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8"/>
        <color theme="1"/>
        <name val="Century Gothic"/>
        <family val="2"/>
      </font>
      <numFmt numFmtId="165" formatCode="#0"/>
      <fill>
        <patternFill patternType="solid">
          <fgColor rgb="FFF2F2F2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8"/>
        <color theme="1"/>
        <name val="Century Gothic"/>
        <family val="2"/>
      </font>
      <numFmt numFmtId="165" formatCode="#0"/>
      <fill>
        <patternFill patternType="solid">
          <fgColor rgb="FFF2F2F2"/>
          <bgColor theme="0"/>
        </patternFill>
      </fill>
      <alignment horizontal="left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/>
        <name val="Century Gothic"/>
        <family val="2"/>
      </font>
      <fill>
        <patternFill patternType="solid">
          <fgColor rgb="FFF2F2F2"/>
          <bgColor theme="0"/>
        </patternFill>
      </fill>
      <alignment horizontal="left" vertical="center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bgColor rgb="FFFFFF00"/>
        </patternFill>
      </fill>
      <alignment horizontal="left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rgb="FF464646"/>
        <name val="Arial"/>
      </font>
      <numFmt numFmtId="165" formatCode="#0"/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165" formatCode="#0"/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464646"/>
        <name val="Arial"/>
      </font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168" formatCode="#0&quot; km/h&quot;"/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464646"/>
        <name val="Arial"/>
      </font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165" formatCode="#0"/>
      <fill>
        <patternFill patternType="solid">
          <fgColor rgb="FFFFFFFF"/>
          <bgColor theme="0"/>
        </patternFill>
      </fill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167" formatCode="dd\.mm\.yyyy\ hh:mm:ss"/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464646"/>
        <name val="Arial"/>
      </font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167" formatCode="dd\.mm\.yyyy\ hh:mm:ss"/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464646"/>
        <name val="Arial"/>
      </font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30" formatCode="@"/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464646"/>
        <name val="Arial"/>
      </font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167" formatCode="dd\.mm\.yyyy\ hh:mm:ss"/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464646"/>
        <name val="Arial"/>
      </font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165" formatCode="#0"/>
      <fill>
        <patternFill patternType="solid">
          <fgColor rgb="FFFFFFFF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>
          <bgColor theme="0"/>
        </patternFill>
      </fill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165" formatCode="#0"/>
      <fill>
        <patternFill patternType="solid">
          <fgColor rgb="FFFFFFFF"/>
          <bgColor theme="0"/>
        </patternFill>
      </fill>
      <alignment horizontal="left" vertical="center"/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165" formatCode="#0"/>
      <fill>
        <patternFill patternType="solid">
          <fgColor rgb="FFE1E1E1"/>
          <bgColor theme="7" tint="0.3999755851924192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0" formatCode="General"/>
      <fill>
        <patternFill patternType="solid">
          <fgColor indexed="64"/>
          <bgColor theme="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30" formatCode="@"/>
      <fill>
        <patternFill patternType="solid">
          <fgColor indexed="64"/>
          <bgColor theme="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169" formatCode="yyyy\-mm\-dd\ hh:mm:ss"/>
      <fill>
        <patternFill patternType="solid">
          <fgColor indexed="64"/>
          <bgColor theme="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</dxf>
    <dxf>
      <border outline="0"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7" tint="0.5999938962981048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169" formatCode="yyyy\-mm\-dd\ hh:mm:ss"/>
      <fill>
        <patternFill patternType="solid">
          <fgColor indexed="64"/>
          <bgColor theme="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30" formatCode="@"/>
      <fill>
        <patternFill patternType="solid">
          <fgColor indexed="64"/>
          <bgColor theme="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numFmt numFmtId="169" formatCode="yyyy\-mm\-dd\ hh:mm:ss"/>
      <fill>
        <patternFill patternType="solid">
          <fgColor indexed="64"/>
          <bgColor theme="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0"/>
        </patternFill>
      </fill>
      <alignment horizontal="left" vertical="bottom"/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 tint="0.14999847407452621"/>
        <name val="Century Gothic"/>
        <family val="2"/>
      </font>
      <fill>
        <patternFill patternType="solid">
          <fgColor indexed="64"/>
          <bgColor theme="7" tint="0.59999389629810485"/>
        </patternFill>
      </fill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HARSH BRAKE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C-4731-85AB-D0936A0A9FA5}"/>
            </c:ext>
          </c:extLst>
        </c:ser>
        <c:ser>
          <c:idx val="1"/>
          <c:order val="1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C-4731-85AB-D0936A0A9FA5}"/>
            </c:ext>
          </c:extLst>
        </c:ser>
        <c:ser>
          <c:idx val="2"/>
          <c:order val="2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DC-4731-85AB-D0936A0A9FA5}"/>
            </c:ext>
          </c:extLst>
        </c:ser>
        <c:ser>
          <c:idx val="3"/>
          <c:order val="3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DC-4731-85AB-D0936A0A9FA5}"/>
            </c:ext>
          </c:extLst>
        </c:ser>
        <c:ser>
          <c:idx val="4"/>
          <c:order val="4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DC-4731-85AB-D0936A0A9FA5}"/>
            </c:ext>
          </c:extLst>
        </c:ser>
        <c:ser>
          <c:idx val="5"/>
          <c:order val="5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DC-4731-85AB-D0936A0A9FA5}"/>
            </c:ext>
          </c:extLst>
        </c:ser>
        <c:ser>
          <c:idx val="6"/>
          <c:order val="6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DC-4731-85AB-D0936A0A9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503680"/>
        <c:axId val="1150497920"/>
      </c:barChart>
      <c:scatterChart>
        <c:scatterStyle val="lineMarker"/>
        <c:varyColors val="0"/>
        <c:ser>
          <c:idx val="7"/>
          <c:order val="7"/>
          <c:tx>
            <c:v>AVERAGE</c:v>
          </c:tx>
          <c:spPr>
            <a:ln w="25400" cap="rnd">
              <a:noFill/>
              <a:prstDash val="solid"/>
              <a:round/>
            </a:ln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xVal>
            <c:numLit>
              <c:formatCode>General</c:formatCode>
              <c:ptCount val="1"/>
              <c:pt idx="0">
                <c:v>0.5</c:v>
              </c:pt>
            </c:numLit>
          </c:xVal>
          <c:y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DC-4731-85AB-D0936A0A9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503680"/>
        <c:axId val="1150497920"/>
      </c:scatterChart>
      <c:catAx>
        <c:axId val="115050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97920"/>
        <c:crosses val="autoZero"/>
        <c:auto val="1"/>
        <c:lblAlgn val="ctr"/>
        <c:lblOffset val="100"/>
        <c:noMultiLvlLbl val="0"/>
      </c:catAx>
      <c:valAx>
        <c:axId val="115049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0368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Exceeded idle</a:t>
            </a:r>
          </a:p>
        </c:rich>
      </c:tx>
      <c:layout>
        <c:manualLayout>
          <c:xMode val="edge"/>
          <c:yMode val="edge"/>
          <c:x val="0.41186789151356068"/>
          <c:y val="2.314814814814815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E-4030-B47A-B14CE86C5DAC}"/>
            </c:ext>
          </c:extLst>
        </c:ser>
        <c:ser>
          <c:idx val="1"/>
          <c:order val="1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E-4030-B47A-B14CE86C5DAC}"/>
            </c:ext>
          </c:extLst>
        </c:ser>
        <c:ser>
          <c:idx val="2"/>
          <c:order val="2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1E-4030-B47A-B14CE86C5DAC}"/>
            </c:ext>
          </c:extLst>
        </c:ser>
        <c:ser>
          <c:idx val="3"/>
          <c:order val="3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1E-4030-B47A-B14CE86C5DAC}"/>
            </c:ext>
          </c:extLst>
        </c:ser>
        <c:ser>
          <c:idx val="4"/>
          <c:order val="4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1E-4030-B47A-B14CE86C5DAC}"/>
            </c:ext>
          </c:extLst>
        </c:ser>
        <c:ser>
          <c:idx val="5"/>
          <c:order val="5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1E-4030-B47A-B14CE86C5DAC}"/>
            </c:ext>
          </c:extLst>
        </c:ser>
        <c:ser>
          <c:idx val="6"/>
          <c:order val="6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1E-4030-B47A-B14CE86C5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824304"/>
        <c:axId val="1144824784"/>
      </c:barChart>
      <c:scatterChart>
        <c:scatterStyle val="lineMarker"/>
        <c:varyColors val="0"/>
        <c:ser>
          <c:idx val="7"/>
          <c:order val="7"/>
          <c:tx>
            <c:v>AVERAGE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xVal>
            <c:numLit>
              <c:formatCode>General</c:formatCode>
              <c:ptCount val="1"/>
              <c:pt idx="0">
                <c:v>0.5</c:v>
              </c:pt>
            </c:numLit>
          </c:xVal>
          <c:y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1E-4030-B47A-B14CE86C5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824304"/>
        <c:axId val="1144824784"/>
      </c:scatterChart>
      <c:catAx>
        <c:axId val="114482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824784"/>
        <c:crosses val="autoZero"/>
        <c:auto val="1"/>
        <c:lblAlgn val="ctr"/>
        <c:lblOffset val="100"/>
        <c:noMultiLvlLbl val="0"/>
      </c:catAx>
      <c:valAx>
        <c:axId val="114482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8243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OFFENSE</a:t>
            </a:r>
            <a:r>
              <a:rPr lang="en-US" baseline="0"/>
              <a:t> report 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9020289448551762"/>
          <c:y val="2.654531664770572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2414470672206057E-2"/>
          <c:y val="0.30001042455747762"/>
          <c:w val="0.95893990294886156"/>
          <c:h val="0.62435749285605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SUMMARY '!$C$2</c:f>
              <c:strCache>
                <c:ptCount val="1"/>
                <c:pt idx="0">
                  <c:v>Night driving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solidFill>
                <a:schemeClr val="bg1">
                  <a:lumMod val="65000"/>
                </a:schemeClr>
              </a:solidFill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FEBRUARY MONTH 2026</c:v>
                </c:pt>
                <c:pt idx="1">
                  <c:v>28-Feb-26</c:v>
                </c:pt>
              </c:strCache>
            </c:strRef>
          </c:cat>
          <c:val>
            <c:numRef>
              <c:f>'OVERALL SUMMARY '!$C$3:$C$4</c:f>
              <c:numCache>
                <c:formatCode>#,##0</c:formatCode>
                <c:ptCount val="2"/>
                <c:pt idx="0">
                  <c:v>29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5-4A0C-A0F5-A0F1CB10F03E}"/>
            </c:ext>
          </c:extLst>
        </c:ser>
        <c:ser>
          <c:idx val="1"/>
          <c:order val="1"/>
          <c:tx>
            <c:strRef>
              <c:f>'OVERALL SUMMARY '!$D$2</c:f>
              <c:strCache>
                <c:ptCount val="1"/>
                <c:pt idx="0">
                  <c:v>Early start 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2"/>
              </a:solidFill>
              <a:ln>
                <a:solidFill>
                  <a:srgbClr val="FFC000"/>
                </a:solidFill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FEBRUARY MONTH 2026</c:v>
                </c:pt>
                <c:pt idx="1">
                  <c:v>28-Feb-26</c:v>
                </c:pt>
              </c:strCache>
            </c:strRef>
          </c:cat>
          <c:val>
            <c:numRef>
              <c:f>'OVERALL SUMMARY '!$D$3:$D$4</c:f>
              <c:numCache>
                <c:formatCode>#,##0</c:formatCode>
                <c:ptCount val="2"/>
                <c:pt idx="0">
                  <c:v>60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A5-4A0C-A0F5-A0F1CB10F03E}"/>
            </c:ext>
          </c:extLst>
        </c:ser>
        <c:ser>
          <c:idx val="2"/>
          <c:order val="2"/>
          <c:tx>
            <c:strRef>
              <c:f>'OVERALL SUMMARY '!$E$2</c:f>
              <c:strCache>
                <c:ptCount val="1"/>
                <c:pt idx="0">
                  <c:v>Driving Without Convoy Night  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dLbls>
            <c:spPr>
              <a:solidFill>
                <a:srgbClr val="FFC000"/>
              </a:solidFill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FEBRUARY MONTH 2026</c:v>
                </c:pt>
                <c:pt idx="1">
                  <c:v>28-Feb-26</c:v>
                </c:pt>
              </c:strCache>
            </c:strRef>
          </c:cat>
          <c:val>
            <c:numRef>
              <c:f>'OVERALL SUMMARY '!$E$3:$E$4</c:f>
              <c:numCache>
                <c:formatCode>#,##0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A5-4A0C-A0F5-A0F1CB10F03E}"/>
            </c:ext>
          </c:extLst>
        </c:ser>
        <c:ser>
          <c:idx val="3"/>
          <c:order val="3"/>
          <c:tx>
            <c:strRef>
              <c:f>'OVERALL SUMMARY '!$F$2</c:f>
              <c:strCache>
                <c:ptCount val="1"/>
                <c:pt idx="0">
                  <c:v>Driving Without Convoy Day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FEBRUARY MONTH 2026</c:v>
                </c:pt>
                <c:pt idx="1">
                  <c:v>28-Feb-26</c:v>
                </c:pt>
              </c:strCache>
            </c:strRef>
          </c:cat>
          <c:val>
            <c:numRef>
              <c:f>'OVERALL SUMMARY '!$F$3:$F$4</c:f>
              <c:numCache>
                <c:formatCode>#,##0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A5-4A0C-A0F5-A0F1CB10F03E}"/>
            </c:ext>
          </c:extLst>
        </c:ser>
        <c:ser>
          <c:idx val="4"/>
          <c:order val="4"/>
          <c:tx>
            <c:strRef>
              <c:f>'OVERALL SUMMARY '!$G$2</c:f>
              <c:strCache>
                <c:ptCount val="1"/>
                <c:pt idx="0">
                  <c:v>Exceeded idle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FEBRUARY MONTH 2026</c:v>
                </c:pt>
                <c:pt idx="1">
                  <c:v>28-Feb-26</c:v>
                </c:pt>
              </c:strCache>
            </c:strRef>
          </c:cat>
          <c:val>
            <c:numRef>
              <c:f>'OVERALL SUMMARY '!$G$3:$G$4</c:f>
              <c:numCache>
                <c:formatCode>General</c:formatCode>
                <c:ptCount val="2"/>
                <c:pt idx="0" formatCode="0">
                  <c:v>4292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A5-4A0C-A0F5-A0F1CB10F03E}"/>
            </c:ext>
          </c:extLst>
        </c:ser>
        <c:ser>
          <c:idx val="5"/>
          <c:order val="5"/>
          <c:tx>
            <c:strRef>
              <c:f>'OVERALL SUMMARY '!$H$2</c:f>
              <c:strCache>
                <c:ptCount val="1"/>
                <c:pt idx="0">
                  <c:v>HARSH BRAKE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FEBRUARY MONTH 2026</c:v>
                </c:pt>
                <c:pt idx="1">
                  <c:v>28-Feb-26</c:v>
                </c:pt>
              </c:strCache>
            </c:strRef>
          </c:cat>
          <c:val>
            <c:numRef>
              <c:f>'OVERALL SUMMARY '!$H$3:$H$4</c:f>
              <c:numCache>
                <c:formatCode>General</c:formatCode>
                <c:ptCount val="2"/>
                <c:pt idx="0">
                  <c:v>1535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A5-4A0C-A0F5-A0F1CB10F03E}"/>
            </c:ext>
          </c:extLst>
        </c:ser>
        <c:ser>
          <c:idx val="6"/>
          <c:order val="6"/>
          <c:tx>
            <c:strRef>
              <c:f>'OVERALL SUMMARY '!$I$2</c:f>
              <c:strCache>
                <c:ptCount val="1"/>
                <c:pt idx="0">
                  <c:v>Over Speeding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solidFill>
                  <a:schemeClr val="tx1"/>
                </a:solidFill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FEBRUARY MONTH 2026</c:v>
                </c:pt>
                <c:pt idx="1">
                  <c:v>28-Feb-26</c:v>
                </c:pt>
              </c:strCache>
            </c:strRef>
          </c:cat>
          <c:val>
            <c:numRef>
              <c:f>'OVERALL SUMMARY '!$I$3:$I$4</c:f>
              <c:numCache>
                <c:formatCode>General</c:formatCode>
                <c:ptCount val="2"/>
                <c:pt idx="0" formatCode="#0">
                  <c:v>943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A5-4A0C-A0F5-A0F1CB10F0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60821056"/>
        <c:axId val="960820096"/>
      </c:barChart>
      <c:catAx>
        <c:axId val="960821056"/>
        <c:scaling>
          <c:orientation val="minMax"/>
        </c:scaling>
        <c:delete val="1"/>
        <c:axPos val="b"/>
        <c:majorGridlines>
          <c:spPr>
            <a:ln w="285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crossAx val="960820096"/>
        <c:crosses val="autoZero"/>
        <c:auto val="1"/>
        <c:lblAlgn val="ctr"/>
        <c:lblOffset val="100"/>
        <c:noMultiLvlLbl val="0"/>
      </c:catAx>
      <c:valAx>
        <c:axId val="960820096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960821056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7.4458501463048429E-2"/>
          <c:y val="0.10748761215086421"/>
          <c:w val="0.84747158501178688"/>
          <c:h val="9.488154227853028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1318260</xdr:colOff>
      <xdr:row>24</xdr:row>
      <xdr:rowOff>0</xdr:rowOff>
    </xdr:from>
    <xdr:to>
      <xdr:col>3</xdr:col>
      <xdr:colOff>944880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1303020</xdr:colOff>
      <xdr:row>24</xdr:row>
      <xdr:rowOff>0</xdr:rowOff>
    </xdr:from>
    <xdr:to>
      <xdr:col>3</xdr:col>
      <xdr:colOff>929640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31750</xdr:colOff>
      <xdr:row>7</xdr:row>
      <xdr:rowOff>127000</xdr:rowOff>
    </xdr:from>
    <xdr:to>
      <xdr:col>7</xdr:col>
      <xdr:colOff>539750</xdr:colOff>
      <xdr:row>31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3"/>
      <sheetName val="Sheet1"/>
    </sheetNames>
    <sheetDataSet>
      <sheetData sheetId="0">
        <row r="1">
          <cell r="B1" t="str">
            <v>TRUCK</v>
          </cell>
          <cell r="C1" t="str">
            <v>TRAILER</v>
          </cell>
          <cell r="D1" t="str">
            <v>TRAILER 2</v>
          </cell>
          <cell r="E1" t="str">
            <v>DRIVER NAME</v>
          </cell>
          <cell r="F1" t="str">
            <v>DRIVER PHONE</v>
          </cell>
          <cell r="G1" t="str">
            <v>LICENCE</v>
          </cell>
          <cell r="H1" t="str">
            <v>PASSPORT</v>
          </cell>
          <cell r="I1" t="str">
            <v>TIN NUMBER</v>
          </cell>
          <cell r="J1" t="str">
            <v>TC NAME</v>
          </cell>
        </row>
        <row r="2">
          <cell r="B2" t="str">
            <v>T264EBX</v>
          </cell>
          <cell r="C2" t="str">
            <v>T891EBY</v>
          </cell>
          <cell r="D2" t="str">
            <v> </v>
          </cell>
          <cell r="E2" t="str">
            <v xml:space="preserve">
AGATHA TOMAS KENJO</v>
          </cell>
          <cell r="F2">
            <v>693911707</v>
          </cell>
          <cell r="G2">
            <v>4006928283</v>
          </cell>
          <cell r="H2" t="str">
            <v>TAE696347</v>
          </cell>
          <cell r="I2" t="str">
            <v>156-487-198</v>
          </cell>
          <cell r="J2" t="str">
            <v>IRENE SHIJA</v>
          </cell>
        </row>
        <row r="3">
          <cell r="B3" t="str">
            <v>T740EBX</v>
          </cell>
          <cell r="C3" t="str">
            <v>T246EBZ</v>
          </cell>
          <cell r="D3" t="str">
            <v>T297EBW</v>
          </cell>
          <cell r="E3" t="str">
            <v>ABASS HARUNA MDAKI</v>
          </cell>
          <cell r="F3">
            <v>765183136</v>
          </cell>
          <cell r="G3">
            <v>4000408865</v>
          </cell>
          <cell r="H3" t="str">
            <v>TAE704028</v>
          </cell>
          <cell r="I3">
            <v>116133202</v>
          </cell>
          <cell r="J3" t="str">
            <v>PLASDUS MAHUMBA</v>
          </cell>
        </row>
        <row r="4">
          <cell r="B4" t="str">
            <v>T221EBX</v>
          </cell>
          <cell r="C4" t="str">
            <v>T918EBY</v>
          </cell>
          <cell r="D4" t="str">
            <v> </v>
          </cell>
          <cell r="E4" t="str">
            <v>ABDALLAH AMARI MBARAKA</v>
          </cell>
          <cell r="F4">
            <v>676521132</v>
          </cell>
          <cell r="G4">
            <v>4000898073</v>
          </cell>
          <cell r="H4" t="str">
            <v>TAE712206</v>
          </cell>
          <cell r="I4" t="str">
            <v>118-316-207</v>
          </cell>
          <cell r="J4" t="str">
            <v>IRENE SHIJA</v>
          </cell>
        </row>
        <row r="5">
          <cell r="B5" t="str">
            <v>T793EBW</v>
          </cell>
          <cell r="C5" t="str">
            <v>T831ECG</v>
          </cell>
          <cell r="D5" t="str">
            <v>T105EBW</v>
          </cell>
          <cell r="E5" t="str">
            <v>ABDALLAH BAKARI ABDALLAH</v>
          </cell>
          <cell r="F5">
            <v>784974076</v>
          </cell>
          <cell r="G5">
            <v>4000051500</v>
          </cell>
          <cell r="H5" t="str">
            <v>TAE616012</v>
          </cell>
          <cell r="I5">
            <v>134431873</v>
          </cell>
          <cell r="J5" t="str">
            <v>Ayoub BENESTA</v>
          </cell>
        </row>
        <row r="6">
          <cell r="B6" t="str">
            <v>T719EBX</v>
          </cell>
          <cell r="C6" t="str">
            <v>T239EBZ</v>
          </cell>
          <cell r="D6" t="str">
            <v>T754EBV</v>
          </cell>
          <cell r="E6" t="str">
            <v>ABDALLAH CHITAMU YUSUPH</v>
          </cell>
          <cell r="F6">
            <v>784665521</v>
          </cell>
          <cell r="G6">
            <v>4000015669</v>
          </cell>
          <cell r="H6" t="str">
            <v>TAE567596</v>
          </cell>
          <cell r="I6">
            <v>111152926</v>
          </cell>
          <cell r="J6" t="str">
            <v>PLASDUS MAHUMBA</v>
          </cell>
        </row>
        <row r="7">
          <cell r="B7" t="str">
            <v>T794EBW</v>
          </cell>
          <cell r="C7" t="str">
            <v>T826ECG</v>
          </cell>
          <cell r="D7"/>
          <cell r="E7" t="str">
            <v>ABDALLAH HAMISI MKUMBO</v>
          </cell>
          <cell r="F7" t="str">
            <v>T404DHG</v>
          </cell>
          <cell r="G7">
            <v>395</v>
          </cell>
          <cell r="H7" t="str">
            <v>TAE692677</v>
          </cell>
          <cell r="I7">
            <v>117168492</v>
          </cell>
          <cell r="J7" t="str">
            <v>SADI KIMWAGA</v>
          </cell>
        </row>
        <row r="8">
          <cell r="B8" t="str">
            <v>T815DDS</v>
          </cell>
          <cell r="C8" t="str">
            <v>T380DEH</v>
          </cell>
          <cell r="D8" t="str">
            <v> </v>
          </cell>
          <cell r="E8" t="str">
            <v>ABDALLAH MUHUSINI IBRAIM</v>
          </cell>
          <cell r="F8">
            <v>752311998</v>
          </cell>
          <cell r="G8">
            <v>4000412487</v>
          </cell>
          <cell r="H8" t="str">
            <v>TAE441561</v>
          </cell>
          <cell r="I8" t="e">
            <v>#N/A</v>
          </cell>
          <cell r="J8" t="str">
            <v>Martha GOLODI</v>
          </cell>
        </row>
        <row r="9">
          <cell r="B9" t="str">
            <v>T806DYR</v>
          </cell>
          <cell r="C9" t="str">
            <v>T806DYT</v>
          </cell>
          <cell r="D9" t="str">
            <v> </v>
          </cell>
          <cell r="E9" t="str">
            <v>ABDALLAH OMAR ABDALLAH</v>
          </cell>
          <cell r="F9">
            <v>717855405</v>
          </cell>
          <cell r="G9">
            <v>4000327712</v>
          </cell>
          <cell r="H9" t="str">
            <v>TAE645252</v>
          </cell>
          <cell r="I9" t="e">
            <v>#N/A</v>
          </cell>
          <cell r="J9" t="str">
            <v>IRENE SHIJA</v>
          </cell>
        </row>
        <row r="10">
          <cell r="B10" t="str">
            <v>T334EBX</v>
          </cell>
          <cell r="C10" t="str">
            <v>T454EBW</v>
          </cell>
          <cell r="D10" t="str">
            <v>T338EBW</v>
          </cell>
          <cell r="E10" t="str">
            <v>ABDALLAH RASHID MBWANA</v>
          </cell>
          <cell r="F10">
            <v>789149777</v>
          </cell>
          <cell r="G10">
            <v>4000584320</v>
          </cell>
          <cell r="H10" t="str">
            <v>TAE628829</v>
          </cell>
          <cell r="I10" t="e">
            <v>#N/A</v>
          </cell>
          <cell r="J10" t="str">
            <v>Martha GOLODI</v>
          </cell>
        </row>
        <row r="11">
          <cell r="B11" t="str">
            <v>T256DDJ</v>
          </cell>
          <cell r="C11" t="str">
            <v>T874DHG</v>
          </cell>
          <cell r="D11" t="str">
            <v> </v>
          </cell>
          <cell r="E11" t="str">
            <v>ABDALLAH SAIDI RAMADHANI</v>
          </cell>
          <cell r="F11">
            <v>684523510</v>
          </cell>
          <cell r="G11">
            <v>4001117439</v>
          </cell>
          <cell r="H11" t="str">
            <v>TAE669826</v>
          </cell>
          <cell r="I11" t="e">
            <v>#N/A</v>
          </cell>
          <cell r="J11" t="str">
            <v>LUSAJO KASUNGA</v>
          </cell>
        </row>
        <row r="12">
          <cell r="B12" t="str">
            <v>T770DYR</v>
          </cell>
          <cell r="C12" t="str">
            <v>T825DYT</v>
          </cell>
          <cell r="D12" t="str">
            <v> </v>
          </cell>
          <cell r="E12"/>
          <cell r="F12"/>
          <cell r="G12"/>
          <cell r="H12"/>
          <cell r="I12">
            <v>115674277</v>
          </cell>
          <cell r="J12" t="str">
            <v>SADI KIMWAGA</v>
          </cell>
        </row>
        <row r="13">
          <cell r="B13" t="str">
            <v>T791EBW</v>
          </cell>
          <cell r="C13" t="str">
            <v>T833ECG</v>
          </cell>
          <cell r="D13" t="str">
            <v>T936EBV</v>
          </cell>
          <cell r="E13" t="str">
            <v xml:space="preserve">ABDALLH SADI RAMADHANI </v>
          </cell>
          <cell r="F13">
            <v>684523510</v>
          </cell>
          <cell r="G13">
            <v>4001117439</v>
          </cell>
          <cell r="H13" t="str">
            <v>TAE669826</v>
          </cell>
          <cell r="I13" t="e">
            <v>#N/A</v>
          </cell>
          <cell r="J13" t="str">
            <v>PLASDUS MAHUMBA</v>
          </cell>
        </row>
        <row r="14">
          <cell r="B14" t="str">
            <v>T959DSX</v>
          </cell>
          <cell r="C14" t="str">
            <v>T395DTD</v>
          </cell>
          <cell r="D14" t="str">
            <v> </v>
          </cell>
          <cell r="E14" t="str">
            <v>ABDI IBRAHIM MDHIHILI</v>
          </cell>
          <cell r="F14">
            <v>784113831</v>
          </cell>
          <cell r="G14"/>
          <cell r="H14" t="str">
            <v>TAE407933</v>
          </cell>
          <cell r="I14" t="str">
            <v>115-105302</v>
          </cell>
          <cell r="J14" t="str">
            <v>LUSAJO KASUNGA</v>
          </cell>
        </row>
        <row r="15">
          <cell r="B15" t="str">
            <v>T793DDS</v>
          </cell>
          <cell r="C15" t="str">
            <v>T395DEH</v>
          </cell>
          <cell r="D15" t="str">
            <v> </v>
          </cell>
          <cell r="E15" t="str">
            <v>ABDILLAHI OMARI MRISHO</v>
          </cell>
          <cell r="F15" t="str">
            <v>0784515537/0656202420</v>
          </cell>
          <cell r="G15">
            <v>4002529453</v>
          </cell>
          <cell r="H15" t="str">
            <v>TAE468159</v>
          </cell>
          <cell r="I15" t="str">
            <v>124-868-750</v>
          </cell>
          <cell r="J15" t="str">
            <v>SADI KIMWAGA</v>
          </cell>
        </row>
        <row r="16">
          <cell r="B16" t="str">
            <v>T854EBY</v>
          </cell>
          <cell r="C16" t="str">
            <v>T539EBY</v>
          </cell>
          <cell r="D16" t="str">
            <v>T608EBV</v>
          </cell>
          <cell r="E16" t="str">
            <v>ABDUL BAKARI PESA</v>
          </cell>
          <cell r="F16">
            <v>4000023282</v>
          </cell>
          <cell r="G16">
            <v>782868980</v>
          </cell>
          <cell r="H16" t="str">
            <v>TAE487625</v>
          </cell>
          <cell r="I16" t="str">
            <v>113-245-190</v>
          </cell>
          <cell r="J16" t="str">
            <v>Martha GOLODI</v>
          </cell>
        </row>
        <row r="17">
          <cell r="B17" t="str">
            <v>T821EBW</v>
          </cell>
          <cell r="C17" t="str">
            <v>T347ECH</v>
          </cell>
          <cell r="D17" t="str">
            <v>T766EBV</v>
          </cell>
          <cell r="E17" t="str">
            <v>ABDUL HASSAN SADICK</v>
          </cell>
          <cell r="F17">
            <v>715511260</v>
          </cell>
          <cell r="G17">
            <v>4003292276</v>
          </cell>
          <cell r="H17" t="str">
            <v>TAE634162</v>
          </cell>
          <cell r="I17">
            <v>128340084</v>
          </cell>
          <cell r="J17" t="str">
            <v>PLASDUS MAHUMBA</v>
          </cell>
        </row>
        <row r="18">
          <cell r="B18" t="str">
            <v>T259EBX</v>
          </cell>
          <cell r="C18" t="str">
            <v>T892EBY</v>
          </cell>
          <cell r="D18" t="str">
            <v>T705EBV</v>
          </cell>
          <cell r="E18" t="str">
            <v>ABDUL NASSORO SELEMANI</v>
          </cell>
          <cell r="F18">
            <v>766433318</v>
          </cell>
          <cell r="G18">
            <v>4003788233</v>
          </cell>
          <cell r="H18" t="str">
            <v>TAE084601</v>
          </cell>
          <cell r="I18" t="e">
            <v>#N/A</v>
          </cell>
          <cell r="J18" t="str">
            <v>LUSAJO KASUNGA</v>
          </cell>
        </row>
        <row r="19">
          <cell r="B19" t="str">
            <v>T147EBX</v>
          </cell>
          <cell r="C19" t="str">
            <v>T584EBX</v>
          </cell>
          <cell r="D19" t="str">
            <v>T705EBV</v>
          </cell>
          <cell r="E19" t="str">
            <v>ABDUL SWEDI URASA</v>
          </cell>
          <cell r="F19">
            <v>763632115</v>
          </cell>
          <cell r="G19">
            <v>4000324162</v>
          </cell>
          <cell r="H19" t="str">
            <v>TAE684498</v>
          </cell>
          <cell r="I19" t="e">
            <v>#N/A</v>
          </cell>
          <cell r="J19" t="str">
            <v>IRENE SHIJA</v>
          </cell>
        </row>
        <row r="20">
          <cell r="B20" t="str">
            <v>T862EBY</v>
          </cell>
          <cell r="C20" t="str">
            <v>T652EBY</v>
          </cell>
          <cell r="D20" t="str">
            <v>T583EBV</v>
          </cell>
          <cell r="E20" t="str">
            <v>ABDULHAFIDH RADMAN ALLY</v>
          </cell>
          <cell r="F20">
            <v>741273498</v>
          </cell>
          <cell r="G20">
            <v>4000113428</v>
          </cell>
          <cell r="H20" t="str">
            <v>AB1759669</v>
          </cell>
          <cell r="I20">
            <v>112754687</v>
          </cell>
          <cell r="J20" t="str">
            <v>LUSAJO KASUNGA</v>
          </cell>
        </row>
        <row r="21">
          <cell r="B21" t="str">
            <v>T104EBX</v>
          </cell>
          <cell r="C21" t="str">
            <v>T574EBX</v>
          </cell>
          <cell r="D21" t="str">
            <v>T569EBV</v>
          </cell>
          <cell r="E21" t="str">
            <v>ABDULHAMIDU SHABANI KASHAKALA</v>
          </cell>
          <cell r="F21">
            <v>684988552</v>
          </cell>
          <cell r="G21">
            <v>4000165382</v>
          </cell>
          <cell r="H21" t="str">
            <v>TAE833656</v>
          </cell>
          <cell r="I21" t="e">
            <v>#N/A</v>
          </cell>
          <cell r="J21" t="str">
            <v>IRENE SHIJA</v>
          </cell>
        </row>
        <row r="22">
          <cell r="B22" t="str">
            <v>T788DYR</v>
          </cell>
          <cell r="C22" t="str">
            <v>T814DYT</v>
          </cell>
          <cell r="D22" t="str">
            <v> </v>
          </cell>
          <cell r="E22" t="str">
            <v>ABDULKARIM ATHUMAN GWABANANGA</v>
          </cell>
          <cell r="F22">
            <v>755884632</v>
          </cell>
          <cell r="G22">
            <v>4001654454</v>
          </cell>
          <cell r="H22" t="str">
            <v>TAE634558</v>
          </cell>
          <cell r="I22" t="str">
            <v>121-530-856</v>
          </cell>
          <cell r="J22" t="str">
            <v>Martha GOLODI</v>
          </cell>
        </row>
        <row r="23">
          <cell r="B23" t="str">
            <v>T652DTQ</v>
          </cell>
          <cell r="C23" t="str">
            <v>T807DTQ</v>
          </cell>
          <cell r="D23" t="str">
            <v> </v>
          </cell>
          <cell r="E23" t="str">
            <v>ABILLAH BAKARI MHINA</v>
          </cell>
          <cell r="F23" t="str">
            <v>716197711/0696094949</v>
          </cell>
          <cell r="G23">
            <v>4000961921</v>
          </cell>
          <cell r="H23" t="str">
            <v>TAE715130</v>
          </cell>
          <cell r="I23" t="str">
            <v>118-565-363</v>
          </cell>
          <cell r="J23" t="str">
            <v>IRENE SHIJA</v>
          </cell>
        </row>
        <row r="24">
          <cell r="B24" t="str">
            <v>T772DYR</v>
          </cell>
          <cell r="C24" t="str">
            <v>T819DYT</v>
          </cell>
          <cell r="D24" t="str">
            <v> </v>
          </cell>
          <cell r="E24" t="str">
            <v>ABUBAKAR JUMA YUSUPH</v>
          </cell>
          <cell r="F24">
            <v>659846853</v>
          </cell>
          <cell r="G24">
            <v>4001935086</v>
          </cell>
          <cell r="H24" t="str">
            <v>TAE668299</v>
          </cell>
          <cell r="I24" t="e">
            <v>#N/A</v>
          </cell>
          <cell r="J24" t="str">
            <v>IRENE SHIJA</v>
          </cell>
        </row>
        <row r="25">
          <cell r="B25" t="str">
            <v>T677EBX</v>
          </cell>
          <cell r="C25" t="str">
            <v>T587EBY</v>
          </cell>
          <cell r="D25" t="str">
            <v>T734EBV</v>
          </cell>
          <cell r="E25" t="str">
            <v>ABUBAKARY OMARY KABAKA</v>
          </cell>
          <cell r="F25">
            <v>686672582</v>
          </cell>
          <cell r="G25">
            <v>4000039832</v>
          </cell>
          <cell r="H25" t="str">
            <v>TAE613867</v>
          </cell>
          <cell r="I25" t="e">
            <v>#N/A</v>
          </cell>
          <cell r="J25" t="str">
            <v>LUSAJO KASUNGA</v>
          </cell>
        </row>
        <row r="26">
          <cell r="B26" t="str">
            <v>T126EBX</v>
          </cell>
          <cell r="C26" t="str">
            <v>T587EBX</v>
          </cell>
          <cell r="D26" t="str">
            <v>T531EBV</v>
          </cell>
          <cell r="E26" t="str">
            <v>ADAMU ALLY KATUA</v>
          </cell>
          <cell r="F26">
            <v>719778577</v>
          </cell>
          <cell r="G26">
            <v>4001010543</v>
          </cell>
          <cell r="H26" t="str">
            <v>TAE499026</v>
          </cell>
          <cell r="I26">
            <v>112835156</v>
          </cell>
          <cell r="J26" t="str">
            <v>Martha GOLODI</v>
          </cell>
        </row>
        <row r="27">
          <cell r="B27" t="str">
            <v>T270DDJ</v>
          </cell>
          <cell r="C27" t="str">
            <v>T937DDJ</v>
          </cell>
          <cell r="D27" t="str">
            <v> </v>
          </cell>
          <cell r="E27" t="str">
            <v>HAMIDU MAJID MARUZUKU</v>
          </cell>
          <cell r="F27">
            <v>742131725</v>
          </cell>
          <cell r="G27">
            <v>4001726848</v>
          </cell>
          <cell r="H27" t="str">
            <v>TAE690482</v>
          </cell>
          <cell r="I27"/>
          <cell r="J27" t="str">
            <v>SADI KIMWAGA</v>
          </cell>
        </row>
        <row r="28">
          <cell r="B28" t="str">
            <v>T718DEB</v>
          </cell>
          <cell r="C28" t="str">
            <v>T354DBH</v>
          </cell>
          <cell r="D28" t="str">
            <v> </v>
          </cell>
          <cell r="E28" t="str">
            <v xml:space="preserve">ADEN FREDRICK LAWRANCE </v>
          </cell>
          <cell r="F28">
            <v>688377606</v>
          </cell>
          <cell r="G28">
            <v>4001058213</v>
          </cell>
          <cell r="H28" t="str">
            <v>TAE859734</v>
          </cell>
          <cell r="I28" t="e">
            <v>#N/A</v>
          </cell>
          <cell r="J28" t="str">
            <v>PLASDUS MAHUMBA</v>
          </cell>
        </row>
        <row r="29">
          <cell r="B29" t="str">
            <v>T732DEB</v>
          </cell>
          <cell r="C29" t="str">
            <v>T738DEU</v>
          </cell>
          <cell r="D29" t="str">
            <v> </v>
          </cell>
          <cell r="E29" t="str">
            <v>AFFIF ISMAIL KIZENGA</v>
          </cell>
          <cell r="F29">
            <v>682325908</v>
          </cell>
          <cell r="G29">
            <v>4000826963</v>
          </cell>
          <cell r="H29" t="str">
            <v>TAE726027</v>
          </cell>
          <cell r="I29" t="e">
            <v>#N/A</v>
          </cell>
          <cell r="J29" t="str">
            <v>LUSAJO KASUNGA</v>
          </cell>
        </row>
        <row r="30">
          <cell r="B30" t="str">
            <v>T989EBW</v>
          </cell>
          <cell r="C30" t="str">
            <v>T502EBW</v>
          </cell>
          <cell r="D30" t="str">
            <v>T562EBV</v>
          </cell>
          <cell r="E30" t="str">
            <v>AGREY HAMISI KOZMO</v>
          </cell>
          <cell r="F30">
            <v>699484646</v>
          </cell>
          <cell r="G30">
            <v>4001180609</v>
          </cell>
          <cell r="H30" t="str">
            <v>TAE676830</v>
          </cell>
          <cell r="I30" t="e">
            <v>#N/A</v>
          </cell>
          <cell r="J30" t="str">
            <v>SADI KIMWAGA</v>
          </cell>
        </row>
        <row r="31">
          <cell r="B31" t="str">
            <v>T702EBX</v>
          </cell>
          <cell r="C31" t="str">
            <v>T265EBZ</v>
          </cell>
          <cell r="D31" t="str">
            <v>T676EBV</v>
          </cell>
          <cell r="E31" t="str">
            <v>AHMAD ABDULRRAHMAN AMIN</v>
          </cell>
          <cell r="F31">
            <v>693085270</v>
          </cell>
          <cell r="G31">
            <v>4003843773</v>
          </cell>
          <cell r="H31" t="str">
            <v>TAE511749</v>
          </cell>
          <cell r="I31" t="e">
            <v>#N/A</v>
          </cell>
          <cell r="J31" t="str">
            <v>LUSAJO KASUNGA</v>
          </cell>
        </row>
        <row r="32">
          <cell r="B32" t="str">
            <v>T227EBX</v>
          </cell>
          <cell r="C32" t="str">
            <v>T919EBY</v>
          </cell>
          <cell r="D32" t="str">
            <v> </v>
          </cell>
          <cell r="E32" t="str">
            <v>AHMAD MOHAMED STAMBULI</v>
          </cell>
          <cell r="F32" t="str">
            <v>756246005/0677683369</v>
          </cell>
          <cell r="G32">
            <v>400323980</v>
          </cell>
          <cell r="H32" t="str">
            <v>TAE401761</v>
          </cell>
          <cell r="I32" t="e">
            <v>#N/A</v>
          </cell>
          <cell r="J32" t="str">
            <v>IRENE SHIJA</v>
          </cell>
        </row>
        <row r="33">
          <cell r="B33" t="str">
            <v>T633DTQ</v>
          </cell>
          <cell r="C33" t="str">
            <v>T775DTQ</v>
          </cell>
          <cell r="D33" t="str">
            <v> </v>
          </cell>
          <cell r="E33" t="str">
            <v>AHMADA HAMADI MROKOZI</v>
          </cell>
          <cell r="F33">
            <v>744893080</v>
          </cell>
          <cell r="G33">
            <v>4000364346</v>
          </cell>
          <cell r="H33" t="str">
            <v>TAE654858</v>
          </cell>
          <cell r="I33" t="e">
            <v>#N/A</v>
          </cell>
          <cell r="J33" t="str">
            <v>Martha GOLODI</v>
          </cell>
        </row>
        <row r="34">
          <cell r="B34" t="str">
            <v>T581DTQ</v>
          </cell>
          <cell r="C34" t="str">
            <v>T778DTQ</v>
          </cell>
          <cell r="D34" t="str">
            <v> </v>
          </cell>
          <cell r="E34" t="str">
            <v>AHMED CONSTANTINE MAGERE</v>
          </cell>
          <cell r="F34">
            <v>744868206</v>
          </cell>
          <cell r="G34">
            <v>4002111587</v>
          </cell>
          <cell r="H34" t="str">
            <v>TAE653479</v>
          </cell>
          <cell r="I34">
            <v>123469453</v>
          </cell>
          <cell r="J34" t="str">
            <v>Ayoub BENESTA</v>
          </cell>
        </row>
        <row r="35">
          <cell r="B35" t="str">
            <v>T332DHG</v>
          </cell>
          <cell r="C35" t="str">
            <v>T902DHG</v>
          </cell>
          <cell r="D35" t="str">
            <v> </v>
          </cell>
          <cell r="E35" t="str">
            <v>AHMED JAFARI SHILANGILA</v>
          </cell>
          <cell r="F35">
            <v>753507437</v>
          </cell>
          <cell r="G35">
            <v>4000156334</v>
          </cell>
          <cell r="H35" t="str">
            <v>TAE928883</v>
          </cell>
          <cell r="I35" t="str">
            <v>113-312-874</v>
          </cell>
          <cell r="J35" t="str">
            <v>SADI KIMWAGA</v>
          </cell>
        </row>
        <row r="36">
          <cell r="B36" t="str">
            <v>T703EBX</v>
          </cell>
          <cell r="C36" t="str">
            <v>T199EBZ</v>
          </cell>
          <cell r="D36" t="str">
            <v>T155EBW</v>
          </cell>
          <cell r="E36" t="str">
            <v>AHMED SAID LUWANDA</v>
          </cell>
          <cell r="F36">
            <v>689002072</v>
          </cell>
          <cell r="G36">
            <v>4000549571</v>
          </cell>
          <cell r="H36" t="str">
            <v>TAE490322</v>
          </cell>
          <cell r="I36" t="str">
            <v>114-131-687</v>
          </cell>
          <cell r="J36" t="str">
            <v>LUSAJO KASUNGA</v>
          </cell>
        </row>
        <row r="37">
          <cell r="B37" t="str">
            <v>T299DCT</v>
          </cell>
          <cell r="C37" t="str">
            <v>T307DAK</v>
          </cell>
          <cell r="D37" t="str">
            <v> </v>
          </cell>
          <cell r="E37" t="str">
            <v>AHMED SHAMSHU MOHAMED</v>
          </cell>
          <cell r="F37">
            <v>782821671</v>
          </cell>
          <cell r="G37">
            <v>4000398951</v>
          </cell>
          <cell r="H37" t="str">
            <v>TAE537392</v>
          </cell>
          <cell r="I37" t="str">
            <v>116-005-034</v>
          </cell>
          <cell r="J37" t="str">
            <v>Ayoub BENESTA</v>
          </cell>
        </row>
        <row r="38">
          <cell r="B38" t="str">
            <v>T995EBW</v>
          </cell>
          <cell r="C38" t="str">
            <v>T275ECE</v>
          </cell>
          <cell r="D38" t="str">
            <v>T934EBV</v>
          </cell>
          <cell r="E38" t="str">
            <v>ALBERT AUSTANCE BIMANYWENDA</v>
          </cell>
          <cell r="F38">
            <v>719070725</v>
          </cell>
          <cell r="G38">
            <v>4000529900</v>
          </cell>
          <cell r="H38" t="str">
            <v>TAE339663</v>
          </cell>
          <cell r="I38" t="e">
            <v>#N/A</v>
          </cell>
          <cell r="J38" t="str">
            <v>SADI KIMWAGA</v>
          </cell>
        </row>
        <row r="39">
          <cell r="B39" t="str">
            <v>T956DSX</v>
          </cell>
          <cell r="C39" t="str">
            <v>T417DTD</v>
          </cell>
          <cell r="D39" t="str">
            <v> </v>
          </cell>
          <cell r="E39" t="str">
            <v>ALBERT GIBSON MWAKAJILEKE</v>
          </cell>
          <cell r="F39">
            <v>656472893</v>
          </cell>
          <cell r="G39">
            <v>40000027145</v>
          </cell>
          <cell r="H39" t="str">
            <v>TAE677209</v>
          </cell>
          <cell r="I39" t="str">
            <v>111-385-882</v>
          </cell>
          <cell r="J39" t="str">
            <v>Ayoub BENESTA</v>
          </cell>
        </row>
        <row r="40">
          <cell r="B40" t="str">
            <v>T864EBY</v>
          </cell>
          <cell r="C40" t="str">
            <v>T443EBW</v>
          </cell>
          <cell r="D40" t="str">
            <v>T277EBW</v>
          </cell>
          <cell r="E40" t="str">
            <v>ALLI RAMADHANI ABDALLAH</v>
          </cell>
          <cell r="F40">
            <v>767651466</v>
          </cell>
          <cell r="G40">
            <v>4000272952</v>
          </cell>
          <cell r="H40" t="str">
            <v>TAE517370</v>
          </cell>
          <cell r="I40">
            <v>111515433</v>
          </cell>
          <cell r="J40" t="str">
            <v>SADI KIMWAGA</v>
          </cell>
        </row>
        <row r="41">
          <cell r="B41" t="str">
            <v>T515EBY</v>
          </cell>
          <cell r="C41" t="str">
            <v>T920EBY</v>
          </cell>
          <cell r="D41" t="str">
            <v> </v>
          </cell>
          <cell r="E41" t="str">
            <v>ALLY ADAM SAMSIMBAZI</v>
          </cell>
          <cell r="F41">
            <v>687746753</v>
          </cell>
          <cell r="G41">
            <v>4000189043</v>
          </cell>
          <cell r="H41" t="str">
            <v>TAE454852</v>
          </cell>
          <cell r="I41" t="str">
            <v>113-712-945</v>
          </cell>
          <cell r="J41" t="str">
            <v>PLASDUS MAHUMBA</v>
          </cell>
        </row>
        <row r="42">
          <cell r="B42" t="str">
            <v>T660DTQ</v>
          </cell>
          <cell r="C42" t="str">
            <v>T771DTQ</v>
          </cell>
          <cell r="D42" t="str">
            <v> </v>
          </cell>
          <cell r="E42" t="str">
            <v>ALLY ALIAMINI MSAMI</v>
          </cell>
          <cell r="F42">
            <v>657107863</v>
          </cell>
          <cell r="G42">
            <v>4001796142</v>
          </cell>
          <cell r="H42" t="str">
            <v>AB10051387</v>
          </cell>
          <cell r="I42" t="e">
            <v>#N/A</v>
          </cell>
          <cell r="J42" t="str">
            <v>SADI KIMWAGA</v>
          </cell>
        </row>
        <row r="43">
          <cell r="B43" t="str">
            <v>T387ECN</v>
          </cell>
          <cell r="C43" t="str">
            <v>T835ECG</v>
          </cell>
          <cell r="D43" t="str">
            <v>T571EBV</v>
          </cell>
          <cell r="E43" t="str">
            <v>ALLY HAMIS RAJABU</v>
          </cell>
          <cell r="F43">
            <v>788824116</v>
          </cell>
          <cell r="G43">
            <v>4000161699</v>
          </cell>
          <cell r="H43" t="str">
            <v>TAE840016</v>
          </cell>
          <cell r="I43" t="e">
            <v>#N/A</v>
          </cell>
          <cell r="J43" t="str">
            <v>LUSAJO KASUNGA</v>
          </cell>
        </row>
        <row r="44">
          <cell r="B44" t="str">
            <v>T663DTQ</v>
          </cell>
          <cell r="C44" t="str">
            <v>T813DTQ</v>
          </cell>
          <cell r="D44" t="str">
            <v> </v>
          </cell>
          <cell r="E44" t="str">
            <v>ALLY HAMISI MPEMBA</v>
          </cell>
          <cell r="F44">
            <v>693472040</v>
          </cell>
          <cell r="G44">
            <v>4001284276</v>
          </cell>
          <cell r="H44" t="str">
            <v>TAE677481</v>
          </cell>
          <cell r="I44" t="str">
            <v>119-842-409</v>
          </cell>
          <cell r="J44" t="str">
            <v>SADI KIMWAGA</v>
          </cell>
        </row>
        <row r="45">
          <cell r="B45" t="str">
            <v>T218EBX</v>
          </cell>
          <cell r="C45" t="str">
            <v>T899EBY</v>
          </cell>
          <cell r="D45" t="str">
            <v> </v>
          </cell>
          <cell r="E45" t="str">
            <v>TWALIB SAID KABUMA</v>
          </cell>
          <cell r="F45">
            <v>784601945</v>
          </cell>
          <cell r="G45">
            <v>4000005909</v>
          </cell>
          <cell r="H45" t="str">
            <v>TAE512948</v>
          </cell>
          <cell r="I45">
            <v>116303663</v>
          </cell>
          <cell r="J45" t="str">
            <v>IRENE SHIJA</v>
          </cell>
        </row>
        <row r="46">
          <cell r="B46" t="str">
            <v>T186EBX</v>
          </cell>
          <cell r="C46" t="str">
            <v>T573EBX</v>
          </cell>
          <cell r="D46" t="str">
            <v>T746EBV</v>
          </cell>
          <cell r="E46" t="str">
            <v>ALLY HUSSEIN MHANDO</v>
          </cell>
          <cell r="F46">
            <v>4000388531</v>
          </cell>
          <cell r="G46">
            <v>716655991</v>
          </cell>
          <cell r="H46" t="str">
            <v>TAE487484</v>
          </cell>
          <cell r="I46" t="str">
            <v>115-907-476</v>
          </cell>
          <cell r="J46" t="str">
            <v>Ayoub BENESTA</v>
          </cell>
        </row>
        <row r="47">
          <cell r="B47" t="str">
            <v>T792EBW</v>
          </cell>
          <cell r="C47" t="str">
            <v>T829ECG</v>
          </cell>
          <cell r="D47" t="str">
            <v>T140EBW</v>
          </cell>
          <cell r="E47" t="str">
            <v>ALLY ISSA OMARY</v>
          </cell>
          <cell r="F47" t="str">
            <v>755578241/0629949040</v>
          </cell>
          <cell r="G47">
            <v>4000281259</v>
          </cell>
          <cell r="H47" t="str">
            <v>TAE256423</v>
          </cell>
          <cell r="I47" t="e">
            <v>#N/A</v>
          </cell>
          <cell r="J47" t="str">
            <v>IRENE SHIJA</v>
          </cell>
        </row>
        <row r="48">
          <cell r="B48" t="str">
            <v>T175EBX</v>
          </cell>
          <cell r="C48" t="str">
            <v>T576EBX</v>
          </cell>
          <cell r="D48" t="str">
            <v>T751EBV</v>
          </cell>
          <cell r="E48" t="str">
            <v>AMOS KASEKE KUYOKWA</v>
          </cell>
          <cell r="F48">
            <v>786720507</v>
          </cell>
          <cell r="G48">
            <v>4004785395</v>
          </cell>
          <cell r="H48" t="str">
            <v>TAE723696</v>
          </cell>
          <cell r="I48" t="str">
            <v>128-765-964</v>
          </cell>
          <cell r="J48" t="str">
            <v>Ayoub BENESTA</v>
          </cell>
        </row>
        <row r="49">
          <cell r="B49" t="str">
            <v>T988EBW</v>
          </cell>
          <cell r="C49" t="str">
            <v>T479EBW</v>
          </cell>
          <cell r="D49" t="str">
            <v>T272EBW</v>
          </cell>
          <cell r="E49" t="str">
            <v>ALLY KASSIM MWAYAWALE</v>
          </cell>
          <cell r="F49">
            <v>746742074</v>
          </cell>
          <cell r="G49">
            <v>4000085063</v>
          </cell>
          <cell r="H49" t="str">
            <v>TAE511496</v>
          </cell>
          <cell r="I49" t="e">
            <v>#N/A</v>
          </cell>
          <cell r="J49" t="str">
            <v>Martha GOLODI</v>
          </cell>
        </row>
        <row r="50">
          <cell r="B50" t="str">
            <v>T220EBX</v>
          </cell>
          <cell r="C50" t="str">
            <v>T925EBY</v>
          </cell>
          <cell r="D50" t="str">
            <v> </v>
          </cell>
          <cell r="E50" t="str">
            <v>ALLY MARICK SEIF</v>
          </cell>
          <cell r="F50">
            <v>762386053</v>
          </cell>
          <cell r="G50">
            <v>4002022420</v>
          </cell>
          <cell r="H50" t="str">
            <v>TAE670168</v>
          </cell>
          <cell r="I50"/>
          <cell r="J50" t="str">
            <v>LUSAJO KASUNGA</v>
          </cell>
        </row>
        <row r="51">
          <cell r="B51" t="str">
            <v>T934EBW</v>
          </cell>
          <cell r="C51" t="str">
            <v>T592EBY</v>
          </cell>
          <cell r="D51" t="str">
            <v>T157EBW</v>
          </cell>
          <cell r="E51" t="str">
            <v>ALLY MBARAKA ALLY</v>
          </cell>
          <cell r="F51">
            <v>792386001</v>
          </cell>
          <cell r="G51">
            <v>4000286633</v>
          </cell>
          <cell r="H51" t="str">
            <v>TAE600316</v>
          </cell>
          <cell r="I51">
            <v>112705767</v>
          </cell>
          <cell r="J51" t="str">
            <v>Martha GOLODI</v>
          </cell>
        </row>
        <row r="52">
          <cell r="B52" t="str">
            <v>T499DYR</v>
          </cell>
          <cell r="C52" t="str">
            <v>T815DYT</v>
          </cell>
          <cell r="D52" t="str">
            <v> </v>
          </cell>
          <cell r="E52" t="str">
            <v>ALLY RAMADHANI ZANDA</v>
          </cell>
          <cell r="F52">
            <v>692140094</v>
          </cell>
          <cell r="G52">
            <v>4000702703</v>
          </cell>
          <cell r="H52" t="str">
            <v>TAE690197</v>
          </cell>
          <cell r="I52" t="str">
            <v>117-460-606</v>
          </cell>
          <cell r="J52" t="str">
            <v>Martha GOLODI</v>
          </cell>
        </row>
        <row r="53">
          <cell r="B53" t="str">
            <v>T905EBW</v>
          </cell>
          <cell r="C53" t="str">
            <v>T549EBX</v>
          </cell>
          <cell r="D53" t="str">
            <v>T731EBV</v>
          </cell>
          <cell r="E53" t="str">
            <v>ALLY RASHID SAID</v>
          </cell>
          <cell r="F53" t="str">
            <v>0687226087/0765685416</v>
          </cell>
          <cell r="G53">
            <v>4000307744</v>
          </cell>
          <cell r="H53" t="str">
            <v>TAE326154</v>
          </cell>
          <cell r="I53" t="str">
            <v>115-075-187</v>
          </cell>
          <cell r="J53" t="str">
            <v>Martha GOLODI</v>
          </cell>
        </row>
        <row r="54">
          <cell r="B54" t="str">
            <v>T335EBX</v>
          </cell>
          <cell r="C54" t="str">
            <v>T896EBY</v>
          </cell>
          <cell r="D54" t="str">
            <v> </v>
          </cell>
          <cell r="E54" t="str">
            <v>ALLY SAID MANDINGO</v>
          </cell>
          <cell r="F54">
            <v>753680377</v>
          </cell>
          <cell r="G54">
            <v>4000387403</v>
          </cell>
          <cell r="H54" t="str">
            <v>TAE636938</v>
          </cell>
          <cell r="I54" t="str">
            <v>115-904-280</v>
          </cell>
          <cell r="J54" t="str">
            <v>LUSAJO KASUNGA</v>
          </cell>
        </row>
        <row r="55">
          <cell r="B55" t="str">
            <v>T172EBX</v>
          </cell>
          <cell r="C55" t="str">
            <v>T568EBX</v>
          </cell>
          <cell r="D55" t="str">
            <v>T651EBV</v>
          </cell>
          <cell r="E55" t="str">
            <v>ALLY SAIDI SELEMAN</v>
          </cell>
          <cell r="F55">
            <v>759109667</v>
          </cell>
          <cell r="G55">
            <v>4000125230</v>
          </cell>
          <cell r="H55" t="str">
            <v>TAE323324</v>
          </cell>
          <cell r="I55" t="e">
            <v>#N/A</v>
          </cell>
          <cell r="J55" t="str">
            <v>Martha GOLODI</v>
          </cell>
        </row>
        <row r="56">
          <cell r="B56" t="str">
            <v>T412DHG</v>
          </cell>
          <cell r="C56" t="str">
            <v>T106DHM</v>
          </cell>
          <cell r="D56" t="str">
            <v> </v>
          </cell>
          <cell r="E56" t="str">
            <v>ALLY YAHYA MHINA</v>
          </cell>
          <cell r="F56">
            <v>692237936</v>
          </cell>
          <cell r="G56">
            <v>4000808211</v>
          </cell>
          <cell r="H56" t="str">
            <v>TAE700659</v>
          </cell>
          <cell r="I56" t="str">
            <v>117-931-951</v>
          </cell>
          <cell r="J56" t="str">
            <v>Ayoub BENESTA</v>
          </cell>
        </row>
        <row r="57">
          <cell r="B57" t="str">
            <v>T929EBW</v>
          </cell>
          <cell r="C57" t="str">
            <v>T410EBW</v>
          </cell>
          <cell r="D57" t="str">
            <v>T161EBW</v>
          </cell>
          <cell r="E57" t="str">
            <v>ALOYCE DEODATUS KENTE</v>
          </cell>
          <cell r="F57">
            <v>753999993</v>
          </cell>
          <cell r="G57">
            <v>4004308489</v>
          </cell>
          <cell r="H57" t="str">
            <v>TAE680569</v>
          </cell>
          <cell r="I57" t="e">
            <v>#N/A</v>
          </cell>
          <cell r="J57" t="str">
            <v>Martha GOLODI</v>
          </cell>
        </row>
        <row r="58">
          <cell r="B58" t="str">
            <v>T933EBW</v>
          </cell>
          <cell r="C58" t="str">
            <v>T543EBY</v>
          </cell>
          <cell r="D58" t="str">
            <v>T514EBV</v>
          </cell>
          <cell r="E58" t="str">
            <v>ALPHONCE ADRIAN MAIGE</v>
          </cell>
          <cell r="F58">
            <v>713241402</v>
          </cell>
          <cell r="G58">
            <v>4001579043</v>
          </cell>
          <cell r="H58" t="str">
            <v>TAE709086</v>
          </cell>
          <cell r="I58" t="str">
            <v>114-225-967</v>
          </cell>
          <cell r="J58" t="str">
            <v>Martha GOLODI</v>
          </cell>
        </row>
        <row r="59">
          <cell r="B59" t="str">
            <v>T239EBX</v>
          </cell>
          <cell r="C59" t="str">
            <v>T515EBW</v>
          </cell>
          <cell r="D59" t="str">
            <v>T528EBV</v>
          </cell>
          <cell r="E59" t="str">
            <v>ALPHONCE ISRAEL MKWEMBE</v>
          </cell>
          <cell r="F59">
            <v>754008554</v>
          </cell>
          <cell r="G59">
            <v>4000334391</v>
          </cell>
          <cell r="H59" t="str">
            <v>TAE626896</v>
          </cell>
          <cell r="I59">
            <v>112429654</v>
          </cell>
          <cell r="J59" t="str">
            <v>SADI KIMWAGA</v>
          </cell>
        </row>
        <row r="60">
          <cell r="B60" t="str">
            <v>T373DHG</v>
          </cell>
          <cell r="C60" t="str">
            <v>T882DHG</v>
          </cell>
          <cell r="D60" t="str">
            <v> </v>
          </cell>
          <cell r="E60" t="str">
            <v>ALPHONCE SIMO HORO</v>
          </cell>
          <cell r="F60">
            <v>620310703</v>
          </cell>
          <cell r="G60">
            <v>4000074817</v>
          </cell>
          <cell r="H60" t="str">
            <v>TAE 408751</v>
          </cell>
          <cell r="I60" t="e">
            <v>#N/A</v>
          </cell>
          <cell r="J60" t="str">
            <v>SADI KIMWAGA</v>
          </cell>
        </row>
        <row r="61">
          <cell r="B61" t="str">
            <v>T601DTQ</v>
          </cell>
          <cell r="C61" t="str">
            <v>T801DTQ</v>
          </cell>
          <cell r="D61" t="str">
            <v> </v>
          </cell>
          <cell r="E61" t="str">
            <v>AMANI SHABANI CHALAZA</v>
          </cell>
          <cell r="F61">
            <v>789721814</v>
          </cell>
          <cell r="G61">
            <v>4001256243</v>
          </cell>
          <cell r="H61" t="str">
            <v>TAE672988</v>
          </cell>
          <cell r="I61" t="str">
            <v>111-085-625</v>
          </cell>
          <cell r="J61" t="str">
            <v>Martha GOLODI</v>
          </cell>
        </row>
        <row r="62">
          <cell r="B62" t="str">
            <v>T439DHG</v>
          </cell>
          <cell r="C62" t="str">
            <v>T986DHL</v>
          </cell>
          <cell r="D62" t="str">
            <v> </v>
          </cell>
          <cell r="E62" t="str">
            <v>AMINI JUMA AHMADI</v>
          </cell>
          <cell r="F62">
            <v>766927171</v>
          </cell>
          <cell r="G62">
            <v>4003847578</v>
          </cell>
          <cell r="H62" t="str">
            <v>TAE722306</v>
          </cell>
          <cell r="I62" t="str">
            <v>131-255675</v>
          </cell>
          <cell r="J62" t="str">
            <v>LUSAJO KASUNGA</v>
          </cell>
        </row>
        <row r="63">
          <cell r="B63" t="str">
            <v>T713DYR</v>
          </cell>
          <cell r="C63" t="str">
            <v>T925DYT</v>
          </cell>
          <cell r="D63" t="str">
            <v> </v>
          </cell>
          <cell r="E63" t="str">
            <v>AMIRI HAMISI MIKURU</v>
          </cell>
          <cell r="F63">
            <v>756465546</v>
          </cell>
          <cell r="G63">
            <v>4001281857</v>
          </cell>
          <cell r="H63" t="str">
            <v>TAE627343</v>
          </cell>
          <cell r="I63" t="e">
            <v>#N/A</v>
          </cell>
          <cell r="J63" t="str">
            <v>LUSAJO KASUNGA</v>
          </cell>
        </row>
        <row r="64">
          <cell r="B64" t="str">
            <v>T350DHG</v>
          </cell>
          <cell r="C64" t="str">
            <v>T906DHG</v>
          </cell>
          <cell r="D64" t="str">
            <v> </v>
          </cell>
          <cell r="E64" t="str">
            <v>AMIRI HASHIMU KUMBUKILA</v>
          </cell>
          <cell r="F64">
            <v>656057115</v>
          </cell>
          <cell r="G64">
            <v>4001537485</v>
          </cell>
          <cell r="H64" t="str">
            <v>AB1644247</v>
          </cell>
          <cell r="I64" t="e">
            <v>#N/A</v>
          </cell>
          <cell r="J64" t="str">
            <v>IRENE SHIJA</v>
          </cell>
        </row>
        <row r="65">
          <cell r="B65" t="str">
            <v>T335ECN</v>
          </cell>
          <cell r="C65" t="str">
            <v>T808ECG</v>
          </cell>
          <cell r="D65" t="str">
            <v>T702EBV</v>
          </cell>
          <cell r="E65" t="str">
            <v>AMIRI MOHAMED JAFARI</v>
          </cell>
          <cell r="F65">
            <v>769555655</v>
          </cell>
          <cell r="G65">
            <v>4000584272</v>
          </cell>
          <cell r="H65" t="str">
            <v>TAE572045</v>
          </cell>
          <cell r="I65" t="e">
            <v>#N/A</v>
          </cell>
          <cell r="J65" t="str">
            <v>IRENE SHIJA</v>
          </cell>
        </row>
        <row r="66">
          <cell r="B66" t="str">
            <v>T793DYR</v>
          </cell>
          <cell r="C66" t="str">
            <v>T300DYV</v>
          </cell>
          <cell r="D66" t="str">
            <v> </v>
          </cell>
          <cell r="E66" t="str">
            <v>AMIRI TALIB SHEIN</v>
          </cell>
          <cell r="F66">
            <v>693964255</v>
          </cell>
          <cell r="G66">
            <v>4000379174</v>
          </cell>
          <cell r="H66" t="str">
            <v>TAE350415</v>
          </cell>
          <cell r="I66" t="e">
            <v>#N/A</v>
          </cell>
          <cell r="J66" t="str">
            <v>PLASDUS MAHUMBA</v>
          </cell>
        </row>
        <row r="67">
          <cell r="B67" t="str">
            <v>T404ECN</v>
          </cell>
          <cell r="C67" t="str">
            <v>T804ECG</v>
          </cell>
          <cell r="D67" t="str">
            <v>T355EBW</v>
          </cell>
          <cell r="E67" t="str">
            <v>AMIRI YAKUBU KUTIKA</v>
          </cell>
          <cell r="F67">
            <v>767662141</v>
          </cell>
          <cell r="G67">
            <v>4000055932</v>
          </cell>
          <cell r="H67" t="str">
            <v>TAE653516</v>
          </cell>
          <cell r="I67" t="e">
            <v>#N/A</v>
          </cell>
          <cell r="J67" t="str">
            <v>Martha GOLODI</v>
          </cell>
        </row>
        <row r="68">
          <cell r="B68" t="str">
            <v>T522EBY</v>
          </cell>
          <cell r="C68" t="str">
            <v>T531EBY</v>
          </cell>
          <cell r="D68" t="str">
            <v>T773EBV</v>
          </cell>
          <cell r="E68" t="str">
            <v>ANDERSON SHAYO KATAMBI</v>
          </cell>
          <cell r="F68">
            <v>673539633</v>
          </cell>
          <cell r="G68">
            <v>4002351259</v>
          </cell>
          <cell r="H68" t="str">
            <v>TAE696416</v>
          </cell>
          <cell r="I68" t="str">
            <v>124-185-351</v>
          </cell>
          <cell r="J68" t="str">
            <v>IRENE SHIJA</v>
          </cell>
        </row>
        <row r="69">
          <cell r="B69" t="str">
            <v>T415DHG</v>
          </cell>
          <cell r="C69" t="str">
            <v>T358DEH</v>
          </cell>
          <cell r="D69" t="str">
            <v> </v>
          </cell>
          <cell r="E69" t="str">
            <v>ANDREW MICHAEL CHAULECH</v>
          </cell>
          <cell r="F69">
            <v>687564958</v>
          </cell>
          <cell r="G69">
            <v>4002324449</v>
          </cell>
          <cell r="H69" t="str">
            <v>TAE885616</v>
          </cell>
          <cell r="I69" t="e">
            <v>#N/A</v>
          </cell>
          <cell r="J69" t="str">
            <v>Martha GOLODI</v>
          </cell>
        </row>
        <row r="70">
          <cell r="B70" t="str">
            <v>T945EBW</v>
          </cell>
          <cell r="C70" t="str">
            <v>T470EBW</v>
          </cell>
          <cell r="D70" t="str">
            <v>T581EBV</v>
          </cell>
          <cell r="E70" t="str">
            <v>APOLO PETER MSIGWA</v>
          </cell>
          <cell r="F70">
            <v>757670885</v>
          </cell>
          <cell r="G70">
            <v>4000243364</v>
          </cell>
          <cell r="H70" t="str">
            <v>TAE315715</v>
          </cell>
          <cell r="I70" t="e">
            <v>#N/A</v>
          </cell>
          <cell r="J70" t="str">
            <v>SADI KIMWAGA</v>
          </cell>
        </row>
        <row r="71">
          <cell r="B71" t="str">
            <v>T588DTQ</v>
          </cell>
          <cell r="C71" t="str">
            <v>T821DTQ</v>
          </cell>
          <cell r="D71" t="str">
            <v> </v>
          </cell>
          <cell r="E71" t="str">
            <v>RAMADHANI SALIMU SHEDAFA</v>
          </cell>
          <cell r="F71">
            <v>714767476</v>
          </cell>
          <cell r="G71">
            <v>4000502429</v>
          </cell>
          <cell r="H71" t="str">
            <v>TAE281461</v>
          </cell>
          <cell r="I71">
            <v>113000848</v>
          </cell>
          <cell r="J71" t="str">
            <v>Ayoub BENESTA</v>
          </cell>
        </row>
        <row r="72">
          <cell r="B72" t="str">
            <v>T871EBY</v>
          </cell>
          <cell r="C72" t="str">
            <v>T273ECE</v>
          </cell>
          <cell r="D72" t="str">
            <v>T616EBV</v>
          </cell>
          <cell r="E72" t="str">
            <v>ATANASI PETRO MAGOHE</v>
          </cell>
          <cell r="F72">
            <v>789968920</v>
          </cell>
          <cell r="G72">
            <v>4003751613</v>
          </cell>
          <cell r="H72" t="str">
            <v>TAE547119</v>
          </cell>
          <cell r="I72">
            <v>130721125</v>
          </cell>
          <cell r="J72" t="str">
            <v>SADI KIMWAGA</v>
          </cell>
        </row>
        <row r="73">
          <cell r="B73" t="str">
            <v>T873EBW</v>
          </cell>
          <cell r="C73" t="str">
            <v>T438EBW</v>
          </cell>
          <cell r="D73" t="str">
            <v>T339EBW</v>
          </cell>
          <cell r="E73" t="str">
            <v>ATHONNY PAULO MDEDE</v>
          </cell>
          <cell r="F73">
            <v>782516000</v>
          </cell>
          <cell r="G73">
            <v>4000797043</v>
          </cell>
          <cell r="H73" t="str">
            <v>TAE904507</v>
          </cell>
          <cell r="I73" t="e">
            <v>#N/A</v>
          </cell>
          <cell r="J73" t="str">
            <v>SADI KIMWAGA</v>
          </cell>
        </row>
        <row r="74">
          <cell r="B74" t="str">
            <v>T332ECN</v>
          </cell>
          <cell r="C74" t="str">
            <v>T819ECG</v>
          </cell>
          <cell r="D74" t="str">
            <v>T757EBV</v>
          </cell>
          <cell r="E74" t="str">
            <v>FLORENCE JOHN SEMIONO</v>
          </cell>
          <cell r="F74">
            <v>655516115</v>
          </cell>
          <cell r="G74">
            <v>4000550071</v>
          </cell>
          <cell r="H74" t="str">
            <v>TAE746358</v>
          </cell>
          <cell r="I74"/>
          <cell r="J74" t="str">
            <v>Ayoub BENESTA</v>
          </cell>
        </row>
        <row r="75">
          <cell r="B75" t="str">
            <v>T581DYR</v>
          </cell>
          <cell r="C75" t="str">
            <v>T836DYT</v>
          </cell>
          <cell r="D75" t="str">
            <v> </v>
          </cell>
          <cell r="E75" t="str">
            <v>ATHUMANI IDDY MOHAMEDY</v>
          </cell>
          <cell r="F75">
            <v>783149692</v>
          </cell>
          <cell r="G75">
            <v>4003374161</v>
          </cell>
          <cell r="H75" t="str">
            <v>TAE675041</v>
          </cell>
          <cell r="I75" t="str">
            <v>128-801-758</v>
          </cell>
          <cell r="J75" t="str">
            <v>Ayoub BENESTA</v>
          </cell>
        </row>
        <row r="76">
          <cell r="B76" t="str">
            <v>T708EBX</v>
          </cell>
          <cell r="C76" t="str">
            <v>T540EBY</v>
          </cell>
          <cell r="D76" t="str">
            <v>T775EBV</v>
          </cell>
          <cell r="E76" t="str">
            <v>ATHUMANI MOHAMEDI BURUDANI</v>
          </cell>
          <cell r="F76">
            <v>763073308</v>
          </cell>
          <cell r="G76">
            <v>4004473917</v>
          </cell>
          <cell r="H76" t="str">
            <v>TAE633367</v>
          </cell>
          <cell r="I76" t="e">
            <v>#N/A</v>
          </cell>
          <cell r="J76" t="str">
            <v>LUSAJO KASUNGA</v>
          </cell>
        </row>
        <row r="77">
          <cell r="B77" t="str">
            <v>T716DYR</v>
          </cell>
          <cell r="C77" t="str">
            <v>T927DYT</v>
          </cell>
          <cell r="D77" t="str">
            <v> </v>
          </cell>
          <cell r="E77" t="str">
            <v>ATHUMANI SAID MAKANJILA</v>
          </cell>
          <cell r="F77">
            <v>713814308</v>
          </cell>
          <cell r="G77">
            <v>4001598411</v>
          </cell>
          <cell r="H77" t="str">
            <v>TAE403827</v>
          </cell>
          <cell r="I77">
            <v>121274876</v>
          </cell>
          <cell r="J77" t="str">
            <v>Ayoub BENESTA</v>
          </cell>
        </row>
        <row r="78">
          <cell r="B78" t="str">
            <v>T798EBW</v>
          </cell>
          <cell r="C78" t="str">
            <v>T830ECG</v>
          </cell>
          <cell r="D78" t="str">
            <v>T116EBW</v>
          </cell>
          <cell r="E78" t="str">
            <v>ATHUMANI SHABAN KAUNDU</v>
          </cell>
          <cell r="F78">
            <v>710860821</v>
          </cell>
          <cell r="G78">
            <v>4003638717</v>
          </cell>
          <cell r="H78" t="str">
            <v>TAE487574</v>
          </cell>
          <cell r="I78" t="str">
            <v>129-839-317</v>
          </cell>
          <cell r="J78" t="str">
            <v>Martha GOLODI</v>
          </cell>
        </row>
        <row r="79">
          <cell r="B79" t="str">
            <v>T349DHG</v>
          </cell>
          <cell r="C79" t="str">
            <v>T915DHG</v>
          </cell>
          <cell r="D79" t="str">
            <v> </v>
          </cell>
          <cell r="E79" t="str">
            <v>AUGUSTINO EMANUEL GAMA</v>
          </cell>
          <cell r="F79">
            <v>659798165</v>
          </cell>
          <cell r="G79">
            <v>4000304395</v>
          </cell>
          <cell r="H79" t="str">
            <v>TAE210005</v>
          </cell>
          <cell r="I79" t="str">
            <v>126-883-803</v>
          </cell>
          <cell r="J79" t="str">
            <v>IRENE SHIJA</v>
          </cell>
        </row>
        <row r="80">
          <cell r="B80" t="str">
            <v>T747DEB</v>
          </cell>
          <cell r="C80" t="str">
            <v>T919DDJ</v>
          </cell>
          <cell r="D80" t="str">
            <v> </v>
          </cell>
          <cell r="E80" t="str">
            <v>AUGUSTINO PETER KWAMBAZA</v>
          </cell>
          <cell r="F80">
            <v>719699330</v>
          </cell>
          <cell r="G80">
            <v>4000607214</v>
          </cell>
          <cell r="H80" t="str">
            <v>TAE853398</v>
          </cell>
          <cell r="I80" t="str">
            <v>116-892-251</v>
          </cell>
          <cell r="J80" t="str">
            <v>LUSAJO KASUNGA</v>
          </cell>
        </row>
        <row r="81">
          <cell r="B81" t="str">
            <v>T762EBW</v>
          </cell>
          <cell r="C81" t="str">
            <v>T343ECH</v>
          </cell>
          <cell r="D81" t="str">
            <v>T952EBV</v>
          </cell>
          <cell r="E81" t="str">
            <v>AWADHI HATIBU KILEMILE</v>
          </cell>
          <cell r="F81">
            <v>747119077</v>
          </cell>
          <cell r="G81">
            <v>4000235851</v>
          </cell>
          <cell r="H81" t="str">
            <v>TAE659125</v>
          </cell>
          <cell r="I81" t="e">
            <v>#N/A</v>
          </cell>
          <cell r="J81" t="str">
            <v>Martha GOLODI</v>
          </cell>
        </row>
        <row r="82">
          <cell r="B82" t="str">
            <v>T635DTQ</v>
          </cell>
          <cell r="C82" t="str">
            <v>T774DTQ</v>
          </cell>
          <cell r="D82" t="str">
            <v> </v>
          </cell>
          <cell r="E82" t="str">
            <v>AYUBU ISSA RAJAB</v>
          </cell>
          <cell r="F82">
            <v>683878382</v>
          </cell>
          <cell r="G82">
            <v>4001030729</v>
          </cell>
          <cell r="H82" t="str">
            <v>TAE654779</v>
          </cell>
          <cell r="I82" t="e">
            <v>#N/A</v>
          </cell>
          <cell r="J82" t="str">
            <v>Martha GOLODI</v>
          </cell>
        </row>
        <row r="83">
          <cell r="B83" t="str">
            <v>T955DSX</v>
          </cell>
          <cell r="C83" t="str">
            <v>T445DTD</v>
          </cell>
          <cell r="D83" t="str">
            <v> </v>
          </cell>
          <cell r="E83" t="str">
            <v>AZIZI CHARLES MLIMA</v>
          </cell>
          <cell r="F83">
            <v>786744090</v>
          </cell>
          <cell r="G83">
            <v>4003133551</v>
          </cell>
          <cell r="H83" t="str">
            <v>AB10094260</v>
          </cell>
          <cell r="I83" t="str">
            <v>127-821-755</v>
          </cell>
          <cell r="J83" t="str">
            <v>LUSAJO KASUNGA</v>
          </cell>
        </row>
        <row r="84">
          <cell r="B84" t="str">
            <v>T150EBX</v>
          </cell>
          <cell r="C84" t="str">
            <v>T575EBX</v>
          </cell>
          <cell r="D84" t="str">
            <v>T719EBV</v>
          </cell>
          <cell r="E84" t="str">
            <v>BABU OMARY MAPUTA</v>
          </cell>
          <cell r="F84">
            <v>686260689</v>
          </cell>
          <cell r="G84">
            <v>4001737836</v>
          </cell>
          <cell r="H84" t="str">
            <v>TAE702667</v>
          </cell>
          <cell r="I84">
            <v>121882884</v>
          </cell>
          <cell r="J84" t="str">
            <v>Ayoub BENESTA</v>
          </cell>
        </row>
        <row r="85">
          <cell r="B85" t="str">
            <v>T153EBX</v>
          </cell>
          <cell r="C85" t="str">
            <v>T581EBX</v>
          </cell>
          <cell r="D85" t="str">
            <v>T635EBV</v>
          </cell>
          <cell r="E85" t="str">
            <v>BAHATI ATHUMANI MDOE</v>
          </cell>
          <cell r="F85">
            <v>754636625</v>
          </cell>
          <cell r="G85">
            <v>4002430953</v>
          </cell>
          <cell r="H85" t="str">
            <v>TAE626892</v>
          </cell>
          <cell r="I85">
            <v>123846710</v>
          </cell>
          <cell r="J85" t="str">
            <v>Martha GOLODI</v>
          </cell>
        </row>
        <row r="86">
          <cell r="B86" t="str">
            <v>T704EBX</v>
          </cell>
          <cell r="C86" t="str">
            <v>T664EBY</v>
          </cell>
          <cell r="D86" t="str">
            <v>T738EBV</v>
          </cell>
          <cell r="E86" t="str">
            <v>BAKARI ABDALLAH RASHIDI</v>
          </cell>
          <cell r="F86">
            <v>785028342</v>
          </cell>
          <cell r="G86">
            <v>4000873561</v>
          </cell>
          <cell r="H86" t="str">
            <v>TAE040428</v>
          </cell>
          <cell r="I86" t="e">
            <v>#N/A</v>
          </cell>
          <cell r="J86" t="str">
            <v>LUSAJO KASUNGA</v>
          </cell>
        </row>
        <row r="87">
          <cell r="B87" t="str">
            <v>T638DEB</v>
          </cell>
          <cell r="C87" t="str">
            <v>T370DEH</v>
          </cell>
          <cell r="D87" t="str">
            <v> </v>
          </cell>
          <cell r="E87" t="str">
            <v xml:space="preserve">BAKARI AMONI MCHINA </v>
          </cell>
          <cell r="F87">
            <v>715156830</v>
          </cell>
          <cell r="G87">
            <v>4005894703</v>
          </cell>
          <cell r="H87" t="str">
            <v>TAE757800</v>
          </cell>
          <cell r="I87" t="e">
            <v>#N/A</v>
          </cell>
          <cell r="J87" t="str">
            <v>PLASDUS MAHUMBA</v>
          </cell>
        </row>
        <row r="88">
          <cell r="B88" t="str">
            <v>T819EBW</v>
          </cell>
          <cell r="C88" t="str">
            <v>T818ECG</v>
          </cell>
          <cell r="D88" t="str">
            <v>T937EBV</v>
          </cell>
          <cell r="E88" t="str">
            <v>BAKARI MBARAJI KOBA</v>
          </cell>
          <cell r="F88">
            <v>655844374</v>
          </cell>
          <cell r="G88">
            <v>4000051690</v>
          </cell>
          <cell r="H88" t="str">
            <v>TAE410862</v>
          </cell>
          <cell r="I88" t="e">
            <v>#N/A</v>
          </cell>
          <cell r="J88" t="str">
            <v>Martha GOLODI</v>
          </cell>
        </row>
        <row r="89">
          <cell r="B89" t="str">
            <v>T899DYR</v>
          </cell>
          <cell r="C89" t="str">
            <v>T832DYT</v>
          </cell>
          <cell r="D89" t="str">
            <v> </v>
          </cell>
          <cell r="E89" t="str">
            <v>BAKARI MOHAMED MBOGO</v>
          </cell>
          <cell r="F89">
            <v>715939592</v>
          </cell>
          <cell r="G89">
            <v>4001058584</v>
          </cell>
          <cell r="H89" t="str">
            <v>TAE650422</v>
          </cell>
          <cell r="I89" t="str">
            <v>118-971-086</v>
          </cell>
          <cell r="J89" t="str">
            <v>PLASDUS MAHUMBA</v>
          </cell>
        </row>
        <row r="90">
          <cell r="B90" t="str">
            <v>T319EBY</v>
          </cell>
          <cell r="C90" t="str">
            <v>T604EBX</v>
          </cell>
          <cell r="D90" t="str">
            <v>T689EBV</v>
          </cell>
          <cell r="E90" t="str">
            <v>BAKARI MOHAMED SAID</v>
          </cell>
          <cell r="F90">
            <v>4001627854</v>
          </cell>
          <cell r="G90">
            <v>682812537</v>
          </cell>
          <cell r="H90" t="str">
            <v>TAE626859</v>
          </cell>
          <cell r="I90" t="e">
            <v>#N/A</v>
          </cell>
          <cell r="J90" t="str">
            <v>PLASDUS MAHUMBA</v>
          </cell>
        </row>
        <row r="91">
          <cell r="B91" t="str">
            <v>T273EBY</v>
          </cell>
          <cell r="C91" t="str">
            <v>T915EBY</v>
          </cell>
          <cell r="D91" t="str">
            <v> </v>
          </cell>
          <cell r="E91" t="str">
            <v>BAKARI NURDIN MADODI</v>
          </cell>
          <cell r="F91">
            <v>689827423</v>
          </cell>
          <cell r="G91">
            <v>4000099482</v>
          </cell>
          <cell r="H91" t="str">
            <v>TAE691898</v>
          </cell>
          <cell r="I91" t="e">
            <v>#N/A</v>
          </cell>
          <cell r="J91" t="str">
            <v>PLASDUS MAHUMBA</v>
          </cell>
        </row>
        <row r="92">
          <cell r="B92" t="str">
            <v>T348EBX</v>
          </cell>
          <cell r="C92" t="str">
            <v>T886EBY</v>
          </cell>
          <cell r="D92" t="str">
            <v> </v>
          </cell>
          <cell r="E92" t="str">
            <v>BAKARI SALUM MTEMA</v>
          </cell>
          <cell r="F92">
            <v>653662420</v>
          </cell>
          <cell r="G92">
            <v>4000384001</v>
          </cell>
          <cell r="H92" t="str">
            <v>TAE671438</v>
          </cell>
          <cell r="I92">
            <v>115873849</v>
          </cell>
          <cell r="J92" t="str">
            <v>Ayoub BENESTA</v>
          </cell>
        </row>
        <row r="93">
          <cell r="B93" t="str">
            <v>T733EBX</v>
          </cell>
          <cell r="C93" t="str">
            <v>T243EBZ</v>
          </cell>
          <cell r="D93" t="str">
            <v>T945EBV</v>
          </cell>
          <cell r="E93" t="str">
            <v>BASASI ABDALH BASASI</v>
          </cell>
          <cell r="F93">
            <v>683177458</v>
          </cell>
          <cell r="G93">
            <v>40001220301</v>
          </cell>
          <cell r="H93" t="str">
            <v>TAE704220</v>
          </cell>
          <cell r="I93" t="e">
            <v>#N/A</v>
          </cell>
          <cell r="J93" t="str">
            <v>PLASDUS MAHUMBA</v>
          </cell>
        </row>
        <row r="94">
          <cell r="B94" t="str">
            <v>T413DHG</v>
          </cell>
          <cell r="C94" t="str">
            <v>T919DHG</v>
          </cell>
          <cell r="D94" t="str">
            <v> </v>
          </cell>
          <cell r="E94" t="str">
            <v>BASHIRU ABDALLA HUSSEIN</v>
          </cell>
          <cell r="F94">
            <v>782141169</v>
          </cell>
          <cell r="G94">
            <v>4000413380</v>
          </cell>
          <cell r="H94" t="str">
            <v>TAE665613</v>
          </cell>
          <cell r="I94" t="e">
            <v>#N/A</v>
          </cell>
          <cell r="J94" t="str">
            <v>PLASDUS MAHUMBA</v>
          </cell>
        </row>
        <row r="95">
          <cell r="B95" t="str">
            <v>T744EBX</v>
          </cell>
          <cell r="C95" t="str">
            <v>T225EBZ</v>
          </cell>
          <cell r="D95" t="str">
            <v>T337EBW</v>
          </cell>
          <cell r="E95" t="str">
            <v>BAZIL PHILIPO PETER</v>
          </cell>
          <cell r="F95">
            <v>787492140</v>
          </cell>
          <cell r="G95">
            <v>4000130364</v>
          </cell>
          <cell r="H95" t="str">
            <v>TAE675398</v>
          </cell>
          <cell r="I95">
            <v>112996850</v>
          </cell>
          <cell r="J95" t="str">
            <v>PLASDUS MAHUMBA</v>
          </cell>
        </row>
        <row r="96">
          <cell r="B96" t="str">
            <v>T566DYR</v>
          </cell>
          <cell r="C96" t="str">
            <v>T830DYT</v>
          </cell>
          <cell r="D96" t="str">
            <v> </v>
          </cell>
          <cell r="E96" t="str">
            <v>BENJAMIN JACKSON MTELELE</v>
          </cell>
          <cell r="F96">
            <v>787605354</v>
          </cell>
          <cell r="G96">
            <v>4000846826</v>
          </cell>
          <cell r="H96" t="str">
            <v>TAE655004</v>
          </cell>
          <cell r="I96" t="e">
            <v>#N/A</v>
          </cell>
          <cell r="J96" t="str">
            <v>IRENE SHIJA</v>
          </cell>
        </row>
        <row r="97">
          <cell r="B97" t="str">
            <v>T791DYR</v>
          </cell>
          <cell r="C97" t="str">
            <v>T110DYU</v>
          </cell>
          <cell r="D97" t="str">
            <v> </v>
          </cell>
          <cell r="E97" t="str">
            <v>BILAL ABDALLAH MWALE</v>
          </cell>
          <cell r="F97">
            <v>782202060</v>
          </cell>
          <cell r="G97">
            <v>4000416243</v>
          </cell>
          <cell r="H97" t="str">
            <v>TAE745389</v>
          </cell>
          <cell r="I97" t="e">
            <v>#N/A</v>
          </cell>
          <cell r="J97" t="str">
            <v>IRENE SHIJA</v>
          </cell>
        </row>
        <row r="98">
          <cell r="B98" t="str">
            <v>T571DYR</v>
          </cell>
          <cell r="C98" t="str">
            <v>T829DYT</v>
          </cell>
          <cell r="D98" t="str">
            <v> </v>
          </cell>
          <cell r="E98" t="str">
            <v>BOAZ GILIAD FYITI</v>
          </cell>
          <cell r="F98">
            <v>787024437</v>
          </cell>
          <cell r="G98">
            <v>4000251654</v>
          </cell>
          <cell r="H98" t="str">
            <v>TAE897736</v>
          </cell>
          <cell r="I98" t="e">
            <v>#N/A</v>
          </cell>
          <cell r="J98" t="str">
            <v>LUSAJO KASUNGA</v>
          </cell>
        </row>
        <row r="99">
          <cell r="B99" t="str">
            <v>T148EBX</v>
          </cell>
          <cell r="C99" t="str">
            <v>T583EBX</v>
          </cell>
          <cell r="D99" t="str">
            <v>T511EBV</v>
          </cell>
          <cell r="E99" t="str">
            <v>BOAZI GWILA MAKALANGA</v>
          </cell>
          <cell r="F99">
            <v>719000000</v>
          </cell>
          <cell r="G99">
            <v>4000767261</v>
          </cell>
          <cell r="H99" t="str">
            <v>AB10059014</v>
          </cell>
          <cell r="I99">
            <v>117784944</v>
          </cell>
          <cell r="J99" t="str">
            <v>Ayoub BENESTA</v>
          </cell>
        </row>
        <row r="100">
          <cell r="B100" t="str">
            <v>T912EBW</v>
          </cell>
          <cell r="C100" t="str">
            <v>T346ECH</v>
          </cell>
          <cell r="D100" t="str">
            <v>T117EBW</v>
          </cell>
          <cell r="E100" t="str">
            <v>BOSCO BONIFACE KOMBA</v>
          </cell>
          <cell r="F100" t="str">
            <v>34ebw</v>
          </cell>
          <cell r="G100">
            <v>4000244708</v>
          </cell>
          <cell r="H100" t="str">
            <v>TAE623330</v>
          </cell>
          <cell r="I100">
            <v>114408166</v>
          </cell>
          <cell r="J100" t="str">
            <v>Martha GOLODI</v>
          </cell>
        </row>
        <row r="101">
          <cell r="B101" t="str">
            <v>T105EBX</v>
          </cell>
          <cell r="C101" t="str">
            <v>T529EBW</v>
          </cell>
          <cell r="D101" t="str">
            <v>T592EBV</v>
          </cell>
          <cell r="E101" t="str">
            <v>BRUNO GERALD LUVENA</v>
          </cell>
          <cell r="F101">
            <v>714616082</v>
          </cell>
          <cell r="G101">
            <v>4000134281</v>
          </cell>
          <cell r="H101" t="str">
            <v>TAE876963</v>
          </cell>
          <cell r="I101" t="e">
            <v>#N/A</v>
          </cell>
          <cell r="J101" t="str">
            <v>Martha GOLODI</v>
          </cell>
        </row>
        <row r="102">
          <cell r="B102" t="str">
            <v>T142EBX</v>
          </cell>
          <cell r="C102" t="str">
            <v>T594EBX</v>
          </cell>
          <cell r="D102" t="str">
            <v>T771EBV</v>
          </cell>
          <cell r="E102" t="str">
            <v>BRUNO WILLY MWAJILA</v>
          </cell>
          <cell r="F102">
            <v>755826365</v>
          </cell>
          <cell r="G102">
            <v>4002810616</v>
          </cell>
          <cell r="H102" t="str">
            <v>TAE701947</v>
          </cell>
          <cell r="I102" t="str">
            <v>126-452-225</v>
          </cell>
          <cell r="J102" t="str">
            <v>Martha GOLODI</v>
          </cell>
        </row>
        <row r="103">
          <cell r="B103" t="str">
            <v>T588DYR</v>
          </cell>
          <cell r="C103" t="str">
            <v>T955DYT</v>
          </cell>
          <cell r="D103" t="str">
            <v> </v>
          </cell>
          <cell r="E103" t="str">
            <v>CHARLES GODFREY KOKA</v>
          </cell>
          <cell r="F103">
            <v>713970384</v>
          </cell>
          <cell r="G103">
            <v>4000133485</v>
          </cell>
          <cell r="H103" t="str">
            <v>TAE309077</v>
          </cell>
          <cell r="I103">
            <v>113034939</v>
          </cell>
          <cell r="J103" t="str">
            <v>SADI KIMWAGA</v>
          </cell>
        </row>
        <row r="104">
          <cell r="B104" t="str">
            <v>T385ECN</v>
          </cell>
          <cell r="C104" t="str">
            <v>T803ECG</v>
          </cell>
          <cell r="D104" t="str">
            <v>T750EBV</v>
          </cell>
          <cell r="E104" t="str">
            <v>CHARLES LONGIN MASESA</v>
          </cell>
          <cell r="F104">
            <v>756066146</v>
          </cell>
          <cell r="G104">
            <v>4001398414</v>
          </cell>
          <cell r="H104" t="str">
            <v>TAE575246</v>
          </cell>
          <cell r="I104">
            <v>117032671</v>
          </cell>
          <cell r="J104" t="str">
            <v>IRENE SHIJA</v>
          </cell>
        </row>
        <row r="105">
          <cell r="B105" t="str">
            <v>T728EBX</v>
          </cell>
          <cell r="C105" t="str">
            <v>T229EBZ</v>
          </cell>
          <cell r="D105" t="str">
            <v>T275EBW</v>
          </cell>
          <cell r="E105" t="str">
            <v>CHRISTIAN NKWELA MAPUNDA</v>
          </cell>
          <cell r="F105">
            <v>754565441</v>
          </cell>
          <cell r="G105">
            <v>4002268462</v>
          </cell>
          <cell r="H105" t="str">
            <v>TAE704150</v>
          </cell>
          <cell r="I105" t="str">
            <v>124-077-176</v>
          </cell>
          <cell r="J105" t="str">
            <v>Martha GOLODI</v>
          </cell>
        </row>
        <row r="106">
          <cell r="B106" t="str">
            <v>T967EBW</v>
          </cell>
          <cell r="C106" t="str">
            <v>T480EBW</v>
          </cell>
          <cell r="D106" t="str">
            <v>T556EBV</v>
          </cell>
          <cell r="E106" t="str">
            <v xml:space="preserve">CHRISTOPHER SAMWEL TITO </v>
          </cell>
          <cell r="F106">
            <v>756015656</v>
          </cell>
          <cell r="G106">
            <v>4000266615</v>
          </cell>
          <cell r="H106" t="str">
            <v>TAE659624</v>
          </cell>
          <cell r="I106" t="e">
            <v>#N/A</v>
          </cell>
          <cell r="J106" t="str">
            <v>SADI KIMWAGA</v>
          </cell>
        </row>
        <row r="107">
          <cell r="B107" t="str">
            <v>T953EBW</v>
          </cell>
          <cell r="C107" t="str">
            <v>T469EBW</v>
          </cell>
          <cell r="D107" t="str">
            <v>T618EBV</v>
          </cell>
          <cell r="E107" t="str">
            <v>COLLINS FRANK KAAYA</v>
          </cell>
          <cell r="F107">
            <v>750006861</v>
          </cell>
          <cell r="G107">
            <v>4003580930</v>
          </cell>
          <cell r="H107" t="str">
            <v>TAE363264</v>
          </cell>
          <cell r="I107" t="str">
            <v>122-538-745</v>
          </cell>
          <cell r="J107" t="str">
            <v>IRENE SHIJA</v>
          </cell>
        </row>
        <row r="108">
          <cell r="B108" t="str">
            <v>T638DHL</v>
          </cell>
          <cell r="C108" t="str">
            <v>T349DHS</v>
          </cell>
          <cell r="D108" t="str">
            <v> </v>
          </cell>
          <cell r="E108" t="str">
            <v>DAUDI ISSA NJUMITE</v>
          </cell>
          <cell r="F108">
            <v>787100278</v>
          </cell>
          <cell r="G108">
            <v>4000761490</v>
          </cell>
          <cell r="H108" t="str">
            <v>TAE874283</v>
          </cell>
          <cell r="I108" t="str">
            <v>116-922-096</v>
          </cell>
          <cell r="J108" t="str">
            <v>IRENE SHIJA</v>
          </cell>
        </row>
        <row r="109">
          <cell r="B109" t="str">
            <v>T341DHG</v>
          </cell>
          <cell r="C109" t="str">
            <v>T911DHG</v>
          </cell>
          <cell r="D109" t="str">
            <v> </v>
          </cell>
          <cell r="E109" t="str">
            <v>DAVID GODLOVE MHAMILAWA</v>
          </cell>
          <cell r="F109">
            <v>753464622</v>
          </cell>
          <cell r="G109">
            <v>4000522157</v>
          </cell>
          <cell r="H109" t="str">
            <v>TAE461882</v>
          </cell>
          <cell r="I109">
            <v>116717778</v>
          </cell>
          <cell r="J109" t="str">
            <v>IRENE SHIJA</v>
          </cell>
        </row>
        <row r="110">
          <cell r="B110" t="str">
            <v>T420DHE</v>
          </cell>
          <cell r="C110" t="str">
            <v>T115DHM</v>
          </cell>
          <cell r="D110" t="str">
            <v> </v>
          </cell>
          <cell r="E110" t="str">
            <v>DAVID HADSON SAMSON</v>
          </cell>
          <cell r="F110">
            <v>782879883</v>
          </cell>
          <cell r="G110">
            <v>4000484779</v>
          </cell>
          <cell r="H110" t="str">
            <v>AB10003239</v>
          </cell>
          <cell r="I110" t="str">
            <v>116-526-611</v>
          </cell>
          <cell r="J110" t="str">
            <v>IRENE SHIJA</v>
          </cell>
        </row>
        <row r="111">
          <cell r="B111"/>
          <cell r="C111" t="str">
            <v>T996DHL</v>
          </cell>
          <cell r="D111" t="str">
            <v> </v>
          </cell>
          <cell r="E111" t="str">
            <v>DAVID HAMIS MAKILIKA</v>
          </cell>
          <cell r="F111">
            <v>787961664</v>
          </cell>
          <cell r="G111">
            <v>4001755198</v>
          </cell>
          <cell r="H111" t="str">
            <v>TAE669784</v>
          </cell>
          <cell r="I111" t="str">
            <v>144-344-901</v>
          </cell>
          <cell r="J111" t="str">
            <v>PLASDUS MAHUMBA</v>
          </cell>
        </row>
        <row r="112">
          <cell r="B112" t="str">
            <v>T818EBW</v>
          </cell>
          <cell r="C112" t="str">
            <v>T823ECG</v>
          </cell>
          <cell r="D112" t="str">
            <v>T284EBW</v>
          </cell>
          <cell r="E112" t="str">
            <v>FRANK MKOKOTI ITATIRO</v>
          </cell>
          <cell r="F112">
            <v>659096926</v>
          </cell>
          <cell r="G112">
            <v>4000067279</v>
          </cell>
          <cell r="H112" t="str">
            <v>TAE738102</v>
          </cell>
          <cell r="I112" t="str">
            <v>138-774-333</v>
          </cell>
          <cell r="J112" t="str">
            <v>SADI KIMWAGA</v>
          </cell>
        </row>
        <row r="113">
          <cell r="B113" t="str">
            <v>T990EBW</v>
          </cell>
          <cell r="C113" t="str">
            <v>T504EBW</v>
          </cell>
          <cell r="D113" t="str">
            <v>T595EBV</v>
          </cell>
          <cell r="E113" t="str">
            <v>DAWSON MWEYUNGE NASSON</v>
          </cell>
          <cell r="F113">
            <v>759083659</v>
          </cell>
          <cell r="G113">
            <v>4000142160</v>
          </cell>
          <cell r="H113" t="str">
            <v>TAE483189</v>
          </cell>
          <cell r="I113" t="str">
            <v>112-233-113</v>
          </cell>
          <cell r="J113" t="str">
            <v>IRENE SHIJA</v>
          </cell>
        </row>
        <row r="114">
          <cell r="B114" t="str">
            <v>T149EBX</v>
          </cell>
          <cell r="C114" t="str">
            <v>T578EBX</v>
          </cell>
          <cell r="D114" t="str">
            <v>T679EBV</v>
          </cell>
          <cell r="E114" t="str">
            <v>DEDE GEORGE JEREMIA</v>
          </cell>
          <cell r="F114">
            <v>755848222</v>
          </cell>
          <cell r="G114">
            <v>4001409693</v>
          </cell>
          <cell r="H114" t="str">
            <v>TAE654262</v>
          </cell>
          <cell r="I114" t="str">
            <v>120-464-361</v>
          </cell>
          <cell r="J114" t="str">
            <v>Ayoub BENESTA</v>
          </cell>
        </row>
        <row r="115">
          <cell r="B115" t="str">
            <v>T380ECN</v>
          </cell>
          <cell r="C115" t="str">
            <v>T790ECG</v>
          </cell>
          <cell r="D115" t="str">
            <v>T512EBV</v>
          </cell>
          <cell r="E115" t="str">
            <v>DENIS FRED BAJANGO</v>
          </cell>
          <cell r="F115">
            <v>762901081</v>
          </cell>
          <cell r="G115">
            <v>4000244137</v>
          </cell>
          <cell r="H115" t="str">
            <v>TAE156584</v>
          </cell>
          <cell r="I115" t="str">
            <v>114-400-165</v>
          </cell>
          <cell r="J115" t="str">
            <v>IRENE SHIJA</v>
          </cell>
        </row>
        <row r="116">
          <cell r="B116" t="str">
            <v>T688DEB</v>
          </cell>
          <cell r="C116" t="str">
            <v>T485DEJ</v>
          </cell>
          <cell r="D116" t="str">
            <v> </v>
          </cell>
          <cell r="E116" t="str">
            <v>DENIS MUHAGAMA KAPINGA</v>
          </cell>
          <cell r="F116">
            <v>652566868</v>
          </cell>
          <cell r="G116">
            <v>4000435918</v>
          </cell>
          <cell r="H116" t="str">
            <v>TAE477374</v>
          </cell>
          <cell r="I116" t="str">
            <v>116-325-268</v>
          </cell>
          <cell r="J116" t="str">
            <v>SADI KIMWAGA</v>
          </cell>
        </row>
        <row r="117">
          <cell r="B117" t="str">
            <v>T360DHG</v>
          </cell>
          <cell r="C117" t="str">
            <v>T994DHL</v>
          </cell>
          <cell r="D117" t="str">
            <v> </v>
          </cell>
          <cell r="E117" t="str">
            <v xml:space="preserve">DEOGRATIAS PETER NGHABI </v>
          </cell>
          <cell r="F117">
            <v>717046363</v>
          </cell>
          <cell r="G117">
            <v>4000387348</v>
          </cell>
          <cell r="H117" t="str">
            <v>TAE713245</v>
          </cell>
          <cell r="I117" t="e">
            <v>#N/A</v>
          </cell>
          <cell r="J117" t="str">
            <v>PLASDUS MAHUMBA</v>
          </cell>
        </row>
        <row r="118">
          <cell r="B118" t="str">
            <v>T746EBX</v>
          </cell>
          <cell r="C118" t="str">
            <v>T582EBY</v>
          </cell>
          <cell r="D118" t="str">
            <v>T960EBV</v>
          </cell>
          <cell r="E118" t="str">
            <v>DEUS PASCAL KAIJAGE</v>
          </cell>
          <cell r="F118">
            <v>718543335</v>
          </cell>
          <cell r="G118">
            <v>4000245889</v>
          </cell>
          <cell r="H118" t="str">
            <v>TAE089083</v>
          </cell>
          <cell r="I118">
            <v>114331740</v>
          </cell>
          <cell r="J118" t="str">
            <v>PLASDUS MAHUMBA</v>
          </cell>
        </row>
        <row r="119">
          <cell r="B119" t="str">
            <v>T336ECN</v>
          </cell>
          <cell r="C119" t="str">
            <v>T815ECG</v>
          </cell>
          <cell r="D119" t="str">
            <v>T323EBW</v>
          </cell>
          <cell r="E119" t="str">
            <v>DIMALETI NELSON MWAMBIPILE</v>
          </cell>
          <cell r="F119">
            <v>756523435</v>
          </cell>
          <cell r="G119">
            <v>4000419997</v>
          </cell>
          <cell r="H119" t="str">
            <v>TAE701849</v>
          </cell>
          <cell r="I119" t="e">
            <v>#N/A</v>
          </cell>
          <cell r="J119" t="str">
            <v>SADI KIMWAGA</v>
          </cell>
        </row>
        <row r="120">
          <cell r="B120" t="str">
            <v>T403DHG</v>
          </cell>
          <cell r="C120" t="str">
            <v>T885DHG</v>
          </cell>
          <cell r="D120" t="str">
            <v> </v>
          </cell>
          <cell r="E120" t="str">
            <v>JOHN FRANK MHINA</v>
          </cell>
          <cell r="F120">
            <v>689523640</v>
          </cell>
          <cell r="G120">
            <v>4002889262</v>
          </cell>
          <cell r="H120" t="str">
            <v>TAE677154</v>
          </cell>
          <cell r="I120"/>
          <cell r="J120" t="str">
            <v>SADI KIMWAGA</v>
          </cell>
        </row>
        <row r="121">
          <cell r="B121" t="str">
            <v>T333DHG</v>
          </cell>
          <cell r="C121" t="str">
            <v>T890DHG</v>
          </cell>
          <cell r="D121" t="str">
            <v> </v>
          </cell>
          <cell r="E121" t="str">
            <v>EDISON TADEO BYARUGABA</v>
          </cell>
          <cell r="F121">
            <v>743170700</v>
          </cell>
          <cell r="G121">
            <v>4001767494</v>
          </cell>
          <cell r="H121" t="str">
            <v>TAE729622</v>
          </cell>
          <cell r="I121" t="e">
            <v>#N/A</v>
          </cell>
          <cell r="J121" t="str">
            <v>PLASDUS MAHUMBA</v>
          </cell>
        </row>
        <row r="122">
          <cell r="B122" t="str">
            <v>T679ECP</v>
          </cell>
          <cell r="C122" t="str">
            <v>T893EBY</v>
          </cell>
          <cell r="D122" t="str">
            <v> </v>
          </cell>
          <cell r="E122" t="str">
            <v>EDWARD LEONARD MANGASTAR</v>
          </cell>
          <cell r="F122">
            <v>716627610</v>
          </cell>
          <cell r="G122">
            <v>4005167356</v>
          </cell>
          <cell r="H122" t="str">
            <v>TAE527953</v>
          </cell>
          <cell r="I122" t="e">
            <v>#N/A</v>
          </cell>
          <cell r="J122" t="str">
            <v>Martha GOLODI</v>
          </cell>
        </row>
        <row r="123">
          <cell r="B123" t="str">
            <v>T728DYR</v>
          </cell>
          <cell r="C123" t="str">
            <v>T834DYT</v>
          </cell>
          <cell r="D123" t="str">
            <v> </v>
          </cell>
          <cell r="E123" t="str">
            <v>ELIA JUMA NZOWA</v>
          </cell>
          <cell r="F123">
            <v>753247171</v>
          </cell>
          <cell r="G123">
            <v>4000570495</v>
          </cell>
          <cell r="H123" t="str">
            <v>TAE547059</v>
          </cell>
          <cell r="I123">
            <v>116932938</v>
          </cell>
          <cell r="J123" t="str">
            <v>PLASDUS MAHUMBA</v>
          </cell>
        </row>
        <row r="124">
          <cell r="B124" t="str">
            <v>T241EBX</v>
          </cell>
          <cell r="C124" t="str">
            <v>T908EBY</v>
          </cell>
          <cell r="D124" t="str">
            <v> </v>
          </cell>
          <cell r="E124" t="str">
            <v>ELIA PASKALI MKINI</v>
          </cell>
          <cell r="F124">
            <v>719242448</v>
          </cell>
          <cell r="G124">
            <v>4000130466</v>
          </cell>
          <cell r="H124" t="str">
            <v>TAE572040</v>
          </cell>
          <cell r="I124" t="str">
            <v>112-997-628</v>
          </cell>
          <cell r="J124" t="str">
            <v>Ayoub BENESTA</v>
          </cell>
        </row>
        <row r="125">
          <cell r="B125" t="str">
            <v>T232EBX</v>
          </cell>
          <cell r="C125" t="str">
            <v>T904EBY</v>
          </cell>
          <cell r="D125" t="str">
            <v> </v>
          </cell>
          <cell r="E125" t="str">
            <v>ELIAH YUSUPH MPANGO</v>
          </cell>
          <cell r="F125">
            <v>688300008</v>
          </cell>
          <cell r="G125">
            <v>4004730500</v>
          </cell>
          <cell r="H125" t="str">
            <v>TAE435454</v>
          </cell>
          <cell r="I125">
            <v>134869925</v>
          </cell>
          <cell r="J125" t="str">
            <v>IRENE SHIJA</v>
          </cell>
        </row>
        <row r="126">
          <cell r="B126" t="str">
            <v>T980EBW</v>
          </cell>
          <cell r="C126" t="str">
            <v>T447EBW</v>
          </cell>
          <cell r="D126" t="str">
            <v>T632EBV</v>
          </cell>
          <cell r="E126" t="str">
            <v>ELIAS SAID MTEBENE</v>
          </cell>
          <cell r="F126">
            <v>715271684</v>
          </cell>
          <cell r="G126">
            <v>4000489911</v>
          </cell>
          <cell r="H126" t="str">
            <v>TAE350353</v>
          </cell>
          <cell r="I126" t="e">
            <v>#N/A</v>
          </cell>
          <cell r="J126" t="str">
            <v>IRENE SHIJA</v>
          </cell>
        </row>
        <row r="127">
          <cell r="B127" t="str">
            <v>T907EBW</v>
          </cell>
          <cell r="C127" t="str">
            <v>T549EBY</v>
          </cell>
          <cell r="D127" t="str">
            <v>T744EBV</v>
          </cell>
          <cell r="E127" t="str">
            <v>ELIBAS EZEKIEL KITUNGWA</v>
          </cell>
          <cell r="F127">
            <v>755788217</v>
          </cell>
          <cell r="G127">
            <v>4001425777</v>
          </cell>
          <cell r="H127" t="str">
            <v>TAE633438</v>
          </cell>
          <cell r="I127" t="e">
            <v>#N/A</v>
          </cell>
          <cell r="J127" t="str">
            <v>Martha GOLODI</v>
          </cell>
        </row>
        <row r="128">
          <cell r="B128" t="str">
            <v>T996EBW</v>
          </cell>
          <cell r="C128" t="str">
            <v>T448EBW</v>
          </cell>
          <cell r="D128" t="str">
            <v>T591EBV</v>
          </cell>
          <cell r="E128" t="str">
            <v>ELIYA JOSEPH MGUNGA</v>
          </cell>
          <cell r="F128" t="str">
            <v>783 503 525</v>
          </cell>
          <cell r="G128">
            <v>4000243853</v>
          </cell>
          <cell r="H128" t="str">
            <v>TAE 687784</v>
          </cell>
          <cell r="I128" t="e">
            <v>#N/A</v>
          </cell>
          <cell r="J128" t="str">
            <v>IRENE SHIJA</v>
          </cell>
        </row>
        <row r="129">
          <cell r="B129" t="str">
            <v>T604DTQ</v>
          </cell>
          <cell r="C129" t="str">
            <v>T819DTQ</v>
          </cell>
          <cell r="D129" t="str">
            <v> </v>
          </cell>
          <cell r="E129" t="str">
            <v>EMANUEL AGRICOLA MKENDA</v>
          </cell>
          <cell r="F129" t="str">
            <v>0714984755/0786052602</v>
          </cell>
          <cell r="G129">
            <v>4000408828</v>
          </cell>
          <cell r="H129" t="str">
            <v>TAE038797</v>
          </cell>
          <cell r="I129" t="e">
            <v>#N/A</v>
          </cell>
          <cell r="J129" t="str">
            <v>PLASDUS MAHUMBA</v>
          </cell>
        </row>
        <row r="130">
          <cell r="B130" t="str">
            <v>T312DDJ</v>
          </cell>
          <cell r="C130" t="str">
            <v>T293DAK</v>
          </cell>
          <cell r="D130" t="str">
            <v> </v>
          </cell>
          <cell r="E130" t="str">
            <v>EMANUEL DANIELI MWASELE</v>
          </cell>
          <cell r="F130">
            <v>752112960</v>
          </cell>
          <cell r="G130">
            <v>4000297585</v>
          </cell>
          <cell r="H130" t="str">
            <v>TAE464008</v>
          </cell>
          <cell r="I130" t="e">
            <v>#N/A</v>
          </cell>
          <cell r="J130" t="str">
            <v>SADI KIMWAGA</v>
          </cell>
        </row>
        <row r="131">
          <cell r="B131" t="str">
            <v>T958DSX</v>
          </cell>
          <cell r="C131" t="str">
            <v>T439DTD</v>
          </cell>
          <cell r="D131" t="str">
            <v> </v>
          </cell>
          <cell r="E131" t="str">
            <v>EMMANUEL ALOYCE SHINGWA</v>
          </cell>
          <cell r="F131" t="str">
            <v>683802512/0743442911</v>
          </cell>
          <cell r="G131">
            <v>4002007122</v>
          </cell>
          <cell r="H131" t="str">
            <v>TAE729627</v>
          </cell>
          <cell r="I131" t="str">
            <v>122-993-728</v>
          </cell>
          <cell r="J131" t="str">
            <v>IRENE SHIJA</v>
          </cell>
        </row>
        <row r="132">
          <cell r="B132" t="str">
            <v>T378DHG</v>
          </cell>
          <cell r="C132" t="str">
            <v>T910DHG</v>
          </cell>
          <cell r="D132" t="str">
            <v> </v>
          </cell>
          <cell r="E132" t="str">
            <v>ENOCK ADRIANO MUSHI</v>
          </cell>
          <cell r="F132">
            <v>782600740</v>
          </cell>
          <cell r="G132">
            <v>4002623052</v>
          </cell>
          <cell r="H132" t="str">
            <v>TAE662145</v>
          </cell>
          <cell r="I132" t="str">
            <v>125-578-209</v>
          </cell>
          <cell r="J132" t="str">
            <v>IRENE SHIJA</v>
          </cell>
        </row>
        <row r="133">
          <cell r="B133" t="str">
            <v>T512EBY</v>
          </cell>
          <cell r="C133" t="str">
            <v>T901EBY</v>
          </cell>
          <cell r="D133" t="str">
            <v> </v>
          </cell>
          <cell r="E133" t="str">
            <v>ERASTO CHARLES MTWEVE</v>
          </cell>
          <cell r="F133">
            <v>782400871</v>
          </cell>
          <cell r="G133">
            <v>4000516618</v>
          </cell>
          <cell r="H133" t="str">
            <v>TAE683966</v>
          </cell>
          <cell r="I133" t="e">
            <v>#N/A</v>
          </cell>
          <cell r="J133" t="str">
            <v>PLASDUS MAHUMBA</v>
          </cell>
        </row>
        <row r="134">
          <cell r="B134" t="str">
            <v>T276DDJ</v>
          </cell>
          <cell r="C134" t="str">
            <v>T381DEH</v>
          </cell>
          <cell r="D134" t="str">
            <v> </v>
          </cell>
          <cell r="E134" t="str">
            <v>ERICK JOSEPH KIDUGE</v>
          </cell>
          <cell r="F134">
            <v>784506026</v>
          </cell>
          <cell r="G134">
            <v>4000030791</v>
          </cell>
          <cell r="H134" t="str">
            <v>TAE698252</v>
          </cell>
          <cell r="I134" t="str">
            <v>111-444-986</v>
          </cell>
          <cell r="J134" t="str">
            <v>IRENE SHIJA</v>
          </cell>
        </row>
        <row r="135">
          <cell r="B135" t="str">
            <v>T734EBX</v>
          </cell>
          <cell r="C135" t="str">
            <v>T233EBZ</v>
          </cell>
          <cell r="D135" t="str">
            <v>T946EBV</v>
          </cell>
          <cell r="E135" t="str">
            <v>EZEKIEL AIZACK KIHANZA</v>
          </cell>
          <cell r="F135">
            <v>692181413</v>
          </cell>
          <cell r="G135">
            <v>4000319215</v>
          </cell>
          <cell r="H135" t="str">
            <v>TAE483538</v>
          </cell>
          <cell r="I135">
            <v>115168665</v>
          </cell>
          <cell r="J135" t="str">
            <v>PLASDUS MAHUMBA</v>
          </cell>
        </row>
        <row r="136">
          <cell r="B136" t="str">
            <v>T643DHL</v>
          </cell>
          <cell r="C136" t="str">
            <v>T399DAK</v>
          </cell>
          <cell r="D136" t="str">
            <v> </v>
          </cell>
          <cell r="E136" t="str">
            <v>EZEKIEL AMBAKISYE MWAMBENE</v>
          </cell>
          <cell r="F136">
            <v>757290880</v>
          </cell>
          <cell r="G136">
            <v>4000919537</v>
          </cell>
          <cell r="H136" t="str">
            <v>TAE344895</v>
          </cell>
          <cell r="I136" t="str">
            <v>118-416-929</v>
          </cell>
          <cell r="J136" t="str">
            <v>LUSAJO KASUNGA</v>
          </cell>
        </row>
        <row r="137">
          <cell r="B137" t="str">
            <v>T388ECN</v>
          </cell>
          <cell r="C137" t="str">
            <v>T799ECG</v>
          </cell>
          <cell r="D137" t="str">
            <v>T675EBV</v>
          </cell>
          <cell r="E137" t="str">
            <v>EZEKIEL DONARD UYACHI</v>
          </cell>
          <cell r="F137">
            <v>693488165</v>
          </cell>
          <cell r="G137">
            <v>4003567103</v>
          </cell>
          <cell r="H137" t="str">
            <v>TAE679367</v>
          </cell>
          <cell r="I137"/>
          <cell r="J137" t="str">
            <v>Martha GOLODI</v>
          </cell>
        </row>
        <row r="138">
          <cell r="B138" t="str">
            <v>T725EBX</v>
          </cell>
          <cell r="C138" t="str">
            <v>T530EBY</v>
          </cell>
          <cell r="D138" t="str">
            <v>T552EBV</v>
          </cell>
          <cell r="E138" t="str">
            <v>EZEKIEL MASANJA LUGANDU</v>
          </cell>
          <cell r="F138">
            <v>689747627</v>
          </cell>
          <cell r="G138">
            <v>4000289689</v>
          </cell>
          <cell r="H138" t="str">
            <v>TAE431571</v>
          </cell>
          <cell r="I138" t="e">
            <v>#N/A</v>
          </cell>
          <cell r="J138" t="str">
            <v>PLASDUS MAHUMBA</v>
          </cell>
        </row>
        <row r="139">
          <cell r="B139" t="str">
            <v>T527EBY</v>
          </cell>
          <cell r="C139" t="str">
            <v>T931EBY</v>
          </cell>
          <cell r="D139" t="str">
            <v> </v>
          </cell>
          <cell r="E139" t="str">
            <v>EZRA DAUDI LUKONDO</v>
          </cell>
          <cell r="F139">
            <v>754366040</v>
          </cell>
          <cell r="G139">
            <v>4000383022</v>
          </cell>
          <cell r="H139" t="str">
            <v>TAE428699</v>
          </cell>
          <cell r="I139" t="str">
            <v>115-867-784</v>
          </cell>
          <cell r="J139" t="str">
            <v>Ayoub BENESTA</v>
          </cell>
        </row>
        <row r="140">
          <cell r="B140" t="str">
            <v>T427DHG</v>
          </cell>
          <cell r="C140" t="str">
            <v>T364DBH</v>
          </cell>
          <cell r="D140" t="str">
            <v> </v>
          </cell>
          <cell r="E140" t="str">
            <v>FADHIL HAMIS MKWIZU</v>
          </cell>
          <cell r="F140">
            <v>758301114</v>
          </cell>
          <cell r="G140">
            <v>40000472273</v>
          </cell>
          <cell r="H140" t="str">
            <v>TAE570426</v>
          </cell>
          <cell r="I140" t="str">
            <v>128-765-964</v>
          </cell>
          <cell r="J140" t="str">
            <v>PLASDUS MAHUMBA</v>
          </cell>
        </row>
        <row r="141">
          <cell r="B141" t="str">
            <v>T417DHE</v>
          </cell>
          <cell r="C141" t="str">
            <v>T123DHM</v>
          </cell>
          <cell r="D141" t="str">
            <v> </v>
          </cell>
          <cell r="E141" t="str">
            <v>FADHILI SAIDI MTULILA</v>
          </cell>
          <cell r="F141">
            <v>758404120</v>
          </cell>
          <cell r="G141">
            <v>4001835169</v>
          </cell>
          <cell r="H141" t="str">
            <v>TAE698506</v>
          </cell>
          <cell r="I141" t="e">
            <v>#N/A</v>
          </cell>
          <cell r="J141" t="str">
            <v>IRENE SHIJA</v>
          </cell>
        </row>
        <row r="142">
          <cell r="B142" t="str">
            <v>T219EBX</v>
          </cell>
          <cell r="C142" t="str">
            <v>T898EBY</v>
          </cell>
          <cell r="D142" t="str">
            <v> </v>
          </cell>
          <cell r="E142" t="str">
            <v>FARAJA COSMAS THOMAS</v>
          </cell>
          <cell r="F142">
            <v>688994991</v>
          </cell>
          <cell r="G142">
            <v>4004544739</v>
          </cell>
          <cell r="H142" t="str">
            <v>TAE676392</v>
          </cell>
          <cell r="I142">
            <v>132843198</v>
          </cell>
          <cell r="J142" t="str">
            <v>LUSAJO KASUNGA</v>
          </cell>
        </row>
        <row r="143">
          <cell r="B143" t="str">
            <v>T599DTQ</v>
          </cell>
          <cell r="C143" t="str">
            <v>T808DTQ</v>
          </cell>
          <cell r="D143" t="str">
            <v> </v>
          </cell>
          <cell r="E143" t="str">
            <v>FARAJI SAIDI SALUMU</v>
          </cell>
          <cell r="F143" t="str">
            <v>O672909792/0613487892</v>
          </cell>
          <cell r="G143">
            <v>4001294538</v>
          </cell>
          <cell r="H143" t="str">
            <v>TAE770756</v>
          </cell>
          <cell r="I143" t="e">
            <v>#N/A</v>
          </cell>
          <cell r="J143" t="str">
            <v>IRENE SHIJA</v>
          </cell>
        </row>
        <row r="144">
          <cell r="B144" t="str">
            <v>T381ECN</v>
          </cell>
          <cell r="C144" t="str">
            <v>T802ECG</v>
          </cell>
          <cell r="D144" t="str">
            <v>T121EBW</v>
          </cell>
          <cell r="E144" t="str">
            <v>FAUSTINE ALPHONCE NYASI</v>
          </cell>
          <cell r="F144">
            <v>742644331</v>
          </cell>
          <cell r="G144">
            <v>4000814531</v>
          </cell>
          <cell r="H144" t="str">
            <v>TAE712704</v>
          </cell>
          <cell r="I144" t="e">
            <v>#N/A</v>
          </cell>
          <cell r="J144" t="str">
            <v>IRENE SHIJA</v>
          </cell>
        </row>
        <row r="145">
          <cell r="B145" t="str">
            <v>T524EBY</v>
          </cell>
          <cell r="C145" t="str">
            <v>T928EBY</v>
          </cell>
          <cell r="D145" t="str">
            <v> </v>
          </cell>
          <cell r="E145" t="str">
            <v>OMAR RASHID CHIKUNJE</v>
          </cell>
          <cell r="F145">
            <v>717386933</v>
          </cell>
          <cell r="G145">
            <v>4001540604</v>
          </cell>
          <cell r="H145" t="str">
            <v>TAE818755</v>
          </cell>
          <cell r="I145" t="e">
            <v>#N/A</v>
          </cell>
          <cell r="J145" t="str">
            <v>SADI KIMWAGA</v>
          </cell>
        </row>
        <row r="146">
          <cell r="B146" t="str">
            <v>T250EBX</v>
          </cell>
          <cell r="C146" t="str">
            <v>T927EBY</v>
          </cell>
          <cell r="D146" t="str">
            <v> </v>
          </cell>
          <cell r="E146" t="str">
            <v>FRANCIS ERNEST KIBULA</v>
          </cell>
          <cell r="F146">
            <v>715452111</v>
          </cell>
          <cell r="G146">
            <v>4000074149</v>
          </cell>
          <cell r="H146" t="str">
            <v>TAE491875</v>
          </cell>
          <cell r="I146" t="e">
            <v>#N/A</v>
          </cell>
          <cell r="J146" t="str">
            <v>IRENE SHIJA</v>
          </cell>
        </row>
        <row r="147">
          <cell r="B147" t="str">
            <v>T495DYR</v>
          </cell>
          <cell r="C147" t="str">
            <v>T824DYT</v>
          </cell>
          <cell r="D147" t="str">
            <v> </v>
          </cell>
          <cell r="E147" t="str">
            <v>FRANCIS MSUMARI MHINA</v>
          </cell>
          <cell r="F147">
            <v>655937487</v>
          </cell>
          <cell r="G147">
            <v>4000458422</v>
          </cell>
          <cell r="H147" t="str">
            <v>TAE678844</v>
          </cell>
          <cell r="I147" t="str">
            <v>116-424-363</v>
          </cell>
          <cell r="J147" t="str">
            <v>Martha GOLODI</v>
          </cell>
        </row>
        <row r="148">
          <cell r="B148" t="str">
            <v>T717DEB</v>
          </cell>
          <cell r="C148" t="str">
            <v>T512DDC</v>
          </cell>
          <cell r="D148" t="str">
            <v> </v>
          </cell>
          <cell r="E148" t="str">
            <v>FRANK JACOB MTWEVE</v>
          </cell>
          <cell r="F148">
            <v>654820247</v>
          </cell>
          <cell r="G148">
            <v>4000452987</v>
          </cell>
          <cell r="H148" t="str">
            <v>TAE770062</v>
          </cell>
          <cell r="I148" t="str">
            <v>116-393-964</v>
          </cell>
          <cell r="J148" t="str">
            <v>PLASDUS MAHUMBA</v>
          </cell>
        </row>
        <row r="149">
          <cell r="B149" t="str">
            <v>T795DYR</v>
          </cell>
          <cell r="C149" t="str">
            <v>T855DEV</v>
          </cell>
          <cell r="D149" t="str">
            <v> </v>
          </cell>
          <cell r="E149" t="str">
            <v>FRANK KENETH JONAS</v>
          </cell>
          <cell r="F149" t="str">
            <v>782171172/718107878</v>
          </cell>
          <cell r="G149">
            <v>4000419873</v>
          </cell>
          <cell r="H149" t="str">
            <v>TAE499988</v>
          </cell>
          <cell r="I149">
            <v>116254646</v>
          </cell>
          <cell r="J149" t="str">
            <v>LUSAJO KASUNGA</v>
          </cell>
        </row>
        <row r="150">
          <cell r="B150" t="str">
            <v>T525EBY</v>
          </cell>
          <cell r="C150" t="str">
            <v>T560EBX</v>
          </cell>
          <cell r="D150" t="str">
            <v>T129EBW</v>
          </cell>
          <cell r="E150"/>
          <cell r="F150"/>
          <cell r="G150"/>
          <cell r="H150"/>
          <cell r="I150" t="e">
            <v>#N/A</v>
          </cell>
          <cell r="J150" t="str">
            <v>SADI KIMWAGA</v>
          </cell>
        </row>
        <row r="151">
          <cell r="B151" t="str">
            <v>T331DHG</v>
          </cell>
          <cell r="C151" t="str">
            <v>T930DDJ</v>
          </cell>
          <cell r="D151" t="str">
            <v> </v>
          </cell>
          <cell r="E151" t="str">
            <v>FRANK RASHID KAMANDO</v>
          </cell>
          <cell r="F151" t="str">
            <v>754355535/687251781</v>
          </cell>
          <cell r="G151">
            <v>4000231419</v>
          </cell>
          <cell r="H151" t="str">
            <v>TAE558415</v>
          </cell>
          <cell r="I151" t="e">
            <v>#N/A</v>
          </cell>
          <cell r="J151" t="str">
            <v>Martha GOLODI</v>
          </cell>
        </row>
        <row r="152">
          <cell r="B152" t="str">
            <v>T998EBW</v>
          </cell>
          <cell r="C152" t="str">
            <v>T589EBX</v>
          </cell>
          <cell r="D152" t="str">
            <v>T585EBV</v>
          </cell>
          <cell r="E152" t="str">
            <v>FREDRICK LAZARO KIMARO</v>
          </cell>
          <cell r="F152" t="str">
            <v>0764173992/0789953892</v>
          </cell>
          <cell r="G152">
            <v>4000383172</v>
          </cell>
          <cell r="H152" t="str">
            <v>TAE877243</v>
          </cell>
          <cell r="I152">
            <v>115873105</v>
          </cell>
          <cell r="J152" t="str">
            <v>IRENE SHIJA</v>
          </cell>
        </row>
        <row r="153">
          <cell r="B153" t="str">
            <v>T512DTR</v>
          </cell>
          <cell r="C153" t="str">
            <v>T799DTQ</v>
          </cell>
          <cell r="D153" t="str">
            <v> </v>
          </cell>
          <cell r="E153" t="str">
            <v>FRENK PETER SIMBEYE</v>
          </cell>
          <cell r="F153" t="str">
            <v>716223593/746737517</v>
          </cell>
          <cell r="G153">
            <v>4002353405</v>
          </cell>
          <cell r="H153" t="str">
            <v>TAE490737</v>
          </cell>
          <cell r="I153" t="e">
            <v>#N/A</v>
          </cell>
          <cell r="J153" t="str">
            <v>PLASDUS MAHUMBA</v>
          </cell>
        </row>
        <row r="154">
          <cell r="B154" t="str">
            <v>T494DYR</v>
          </cell>
          <cell r="C154" t="str">
            <v>T940DDJ</v>
          </cell>
          <cell r="D154" t="str">
            <v> </v>
          </cell>
          <cell r="E154" t="str">
            <v>GABRIEL SHIJA MAHONA</v>
          </cell>
          <cell r="F154">
            <v>756471447</v>
          </cell>
          <cell r="G154">
            <v>4003290268</v>
          </cell>
          <cell r="H154" t="str">
            <v>TAE685383</v>
          </cell>
          <cell r="I154" t="str">
            <v>128-308-571</v>
          </cell>
          <cell r="J154" t="str">
            <v>LUSAJO KASUNGA</v>
          </cell>
        </row>
        <row r="155">
          <cell r="B155" t="str">
            <v>T528EBY</v>
          </cell>
          <cell r="C155" t="str">
            <v>T539EBX</v>
          </cell>
          <cell r="D155" t="str">
            <v>T120EBW</v>
          </cell>
          <cell r="E155" t="str">
            <v>GASPER ELICHILIA KINYAHA</v>
          </cell>
          <cell r="F155">
            <v>718110870</v>
          </cell>
          <cell r="G155">
            <v>4000194748</v>
          </cell>
          <cell r="H155" t="str">
            <v>TAE339585</v>
          </cell>
          <cell r="I155" t="e">
            <v>#N/A</v>
          </cell>
          <cell r="J155" t="str">
            <v>Martha GOLODI</v>
          </cell>
        </row>
        <row r="156">
          <cell r="B156" t="str">
            <v>T766EBW</v>
          </cell>
          <cell r="C156" t="str">
            <v>T820ECG</v>
          </cell>
          <cell r="D156" t="str">
            <v>T320EBW</v>
          </cell>
          <cell r="E156" t="str">
            <v>GASPER JOSIA LEMA</v>
          </cell>
          <cell r="F156">
            <v>765188188</v>
          </cell>
          <cell r="G156">
            <v>4000081048</v>
          </cell>
          <cell r="H156" t="str">
            <v>TAE 674007</v>
          </cell>
          <cell r="I156" t="str">
            <v>112-271-570</v>
          </cell>
          <cell r="J156" t="str">
            <v>Ayoub BENESTA</v>
          </cell>
        </row>
        <row r="157">
          <cell r="B157" t="str">
            <v>T569DYR</v>
          </cell>
          <cell r="C157" t="str">
            <v>T840DYT</v>
          </cell>
          <cell r="D157" t="str">
            <v> </v>
          </cell>
          <cell r="E157" t="str">
            <v>GEOFREY ODILO KISALALA</v>
          </cell>
          <cell r="F157">
            <v>752210690</v>
          </cell>
          <cell r="G157">
            <v>4001310301</v>
          </cell>
          <cell r="H157" t="str">
            <v>TAE819742</v>
          </cell>
          <cell r="I157" t="str">
            <v>119-993-407</v>
          </cell>
          <cell r="J157" t="str">
            <v>SADI KIMWAGA</v>
          </cell>
        </row>
        <row r="158">
          <cell r="B158" t="str">
            <v>T943DSX</v>
          </cell>
          <cell r="C158" t="str">
            <v>T393DTD</v>
          </cell>
          <cell r="D158" t="str">
            <v> </v>
          </cell>
          <cell r="E158" t="str">
            <v>GEORGE HENRY MALALE</v>
          </cell>
          <cell r="F158">
            <v>677764649</v>
          </cell>
          <cell r="G158">
            <v>4000318252</v>
          </cell>
          <cell r="H158" t="str">
            <v>TAE880598</v>
          </cell>
          <cell r="I158" t="str">
            <v>115-190-962</v>
          </cell>
          <cell r="J158" t="str">
            <v>Ayoub BENESTA</v>
          </cell>
        </row>
        <row r="159">
          <cell r="B159" t="str">
            <v>T337ECN</v>
          </cell>
          <cell r="C159" t="str">
            <v>T834ECG</v>
          </cell>
          <cell r="D159" t="str">
            <v>T981EBV</v>
          </cell>
          <cell r="E159" t="str">
            <v>GERALD AHAD KIZA</v>
          </cell>
          <cell r="F159">
            <v>762340237</v>
          </cell>
          <cell r="G159">
            <v>4000111735</v>
          </cell>
          <cell r="H159" t="str">
            <v>TAE717385</v>
          </cell>
          <cell r="I159"/>
          <cell r="J159" t="str">
            <v>Ayoub BENESTA</v>
          </cell>
        </row>
        <row r="160">
          <cell r="B160" t="str">
            <v>T741EBX</v>
          </cell>
          <cell r="C160" t="str">
            <v>T206EBZ</v>
          </cell>
          <cell r="D160" t="str">
            <v>T678EBV</v>
          </cell>
          <cell r="E160" t="str">
            <v>GERALD RAPHAEL SALAMALA</v>
          </cell>
          <cell r="F160">
            <v>714354057</v>
          </cell>
          <cell r="G160">
            <v>4000162427</v>
          </cell>
          <cell r="H160" t="str">
            <v>AB1303666</v>
          </cell>
          <cell r="I160">
            <v>113397853</v>
          </cell>
          <cell r="J160" t="str">
            <v>PLASDUS MAHUMBA</v>
          </cell>
        </row>
        <row r="161">
          <cell r="B161" t="str">
            <v>T876EBY</v>
          </cell>
          <cell r="C161" t="str">
            <v>T828ECD</v>
          </cell>
          <cell r="D161" t="str">
            <v>T598EBV</v>
          </cell>
          <cell r="E161" t="str">
            <v>GERVAS ANDREA GERVAS</v>
          </cell>
          <cell r="F161">
            <v>716383839</v>
          </cell>
          <cell r="G161">
            <v>4005673411</v>
          </cell>
          <cell r="H161" t="str">
            <v>TAE677708</v>
          </cell>
          <cell r="I161" t="e">
            <v>#N/A</v>
          </cell>
          <cell r="J161" t="str">
            <v>LUSAJO KASUNGA</v>
          </cell>
        </row>
        <row r="162">
          <cell r="B162" t="str">
            <v>T709EBX</v>
          </cell>
          <cell r="C162" t="str">
            <v>T219EBZ</v>
          </cell>
          <cell r="D162" t="str">
            <v>T630EBV</v>
          </cell>
          <cell r="E162" t="str">
            <v>GERVAS STEPHEN MWANGOSI</v>
          </cell>
          <cell r="F162">
            <v>755351288</v>
          </cell>
          <cell r="G162">
            <v>4000180928</v>
          </cell>
          <cell r="H162" t="str">
            <v>TAE423294</v>
          </cell>
          <cell r="I162" t="e">
            <v>#N/A</v>
          </cell>
          <cell r="J162" t="str">
            <v>LUSAJO KASUNGA</v>
          </cell>
        </row>
        <row r="163">
          <cell r="B163" t="str">
            <v>T757EBX</v>
          </cell>
          <cell r="C163" t="str">
            <v>T220EBZ</v>
          </cell>
          <cell r="D163" t="str">
            <v>T309EBW</v>
          </cell>
          <cell r="E163" t="str">
            <v>GODFREY CYPRIAN GAMBA</v>
          </cell>
          <cell r="F163">
            <v>787721511</v>
          </cell>
          <cell r="G163">
            <v>4001667008</v>
          </cell>
          <cell r="H163" t="str">
            <v>TAE656703</v>
          </cell>
          <cell r="I163">
            <v>105544707</v>
          </cell>
          <cell r="J163" t="str">
            <v>PLASDUS MAHUMBA</v>
          </cell>
        </row>
        <row r="164">
          <cell r="B164" t="str">
            <v>T915EBW</v>
          </cell>
          <cell r="C164" t="str">
            <v>T548EBX</v>
          </cell>
          <cell r="D164" t="str">
            <v>T755EBV</v>
          </cell>
          <cell r="E164" t="str">
            <v>GODFREY FRANK MBOJA</v>
          </cell>
          <cell r="F164">
            <v>758215904</v>
          </cell>
          <cell r="G164">
            <v>4000334244</v>
          </cell>
          <cell r="H164" t="str">
            <v>TAE626582</v>
          </cell>
          <cell r="I164" t="str">
            <v>115-353-977</v>
          </cell>
          <cell r="J164" t="str">
            <v>Martha GOLODI</v>
          </cell>
        </row>
        <row r="165">
          <cell r="B165" t="str">
            <v>T107EBX</v>
          </cell>
          <cell r="C165" t="str">
            <v>T528EBW</v>
          </cell>
          <cell r="D165" t="str">
            <v>T214EBV</v>
          </cell>
          <cell r="E165" t="str">
            <v>GODFREY JOHN ANTHONY KUNDI</v>
          </cell>
          <cell r="F165">
            <v>715188542</v>
          </cell>
          <cell r="G165">
            <v>4001089197</v>
          </cell>
          <cell r="H165" t="str">
            <v>TAE833011</v>
          </cell>
          <cell r="I165" t="e">
            <v>#N/A</v>
          </cell>
          <cell r="J165" t="str">
            <v>Martha GOLODI</v>
          </cell>
        </row>
        <row r="166">
          <cell r="B166" t="str">
            <v>T778DYR</v>
          </cell>
          <cell r="C166" t="str">
            <v>T822DYT</v>
          </cell>
          <cell r="D166" t="str">
            <v> </v>
          </cell>
          <cell r="E166" t="str">
            <v>GODLOVE WILLIAM GUGAMI</v>
          </cell>
          <cell r="F166">
            <v>657991150</v>
          </cell>
          <cell r="G166">
            <v>4000258541</v>
          </cell>
          <cell r="H166" t="str">
            <v>TAE675521</v>
          </cell>
          <cell r="I166" t="str">
            <v>114-532-002</v>
          </cell>
          <cell r="J166" t="str">
            <v>Martha GOLODI</v>
          </cell>
        </row>
        <row r="167">
          <cell r="B167" t="str">
            <v>T754EBX</v>
          </cell>
          <cell r="C167" t="str">
            <v>T213EBZ</v>
          </cell>
          <cell r="D167" t="str">
            <v>T984EBV</v>
          </cell>
          <cell r="E167" t="str">
            <v>GWAMAKA PETER MWASAGA</v>
          </cell>
          <cell r="F167">
            <v>754424880</v>
          </cell>
          <cell r="G167">
            <v>4001159994</v>
          </cell>
          <cell r="H167" t="str">
            <v>TAE405357</v>
          </cell>
          <cell r="I167">
            <v>113511931</v>
          </cell>
          <cell r="J167" t="str">
            <v>PLASDUS MAHUMBA</v>
          </cell>
        </row>
        <row r="168">
          <cell r="B168" t="str">
            <v>T520EBY</v>
          </cell>
          <cell r="C168" t="str">
            <v>T552EBX</v>
          </cell>
          <cell r="D168" t="str">
            <v>T358EBW</v>
          </cell>
          <cell r="E168" t="str">
            <v>HABIBU SELEMANI NTILLA</v>
          </cell>
          <cell r="F168">
            <v>746777471</v>
          </cell>
          <cell r="G168">
            <v>4000035176</v>
          </cell>
          <cell r="H168" t="str">
            <v>TAE354419</v>
          </cell>
          <cell r="I168"/>
          <cell r="J168" t="str">
            <v>SADI KIMWAGA</v>
          </cell>
        </row>
        <row r="169">
          <cell r="B169" t="str">
            <v>T838EBY</v>
          </cell>
          <cell r="C169" t="str">
            <v>T584EBY</v>
          </cell>
          <cell r="D169" t="str">
            <v>T763EBV</v>
          </cell>
          <cell r="E169" t="str">
            <v>HAFIDHI ABDALLAH NASSIR</v>
          </cell>
          <cell r="F169">
            <v>715267444</v>
          </cell>
          <cell r="G169">
            <v>4001179970</v>
          </cell>
          <cell r="H169" t="str">
            <v> </v>
          </cell>
          <cell r="I169" t="e">
            <v>#N/A</v>
          </cell>
          <cell r="J169" t="str">
            <v>PLASDUS MAHUMBA</v>
          </cell>
        </row>
        <row r="170">
          <cell r="B170" t="str">
            <v>T696DEB</v>
          </cell>
          <cell r="C170" t="str">
            <v>T470DEJ</v>
          </cell>
          <cell r="D170" t="str">
            <v> </v>
          </cell>
          <cell r="E170" t="str">
            <v>MICHAEL CHEYO NKINGA</v>
          </cell>
          <cell r="F170">
            <v>4003064257</v>
          </cell>
          <cell r="G170">
            <v>4003064257</v>
          </cell>
          <cell r="H170" t="str">
            <v>TAE526661</v>
          </cell>
          <cell r="I170" t="e">
            <v>#N/A</v>
          </cell>
          <cell r="J170" t="str">
            <v>IRENE SHIJA</v>
          </cell>
        </row>
        <row r="171">
          <cell r="B171" t="str">
            <v>T837EBY</v>
          </cell>
          <cell r="C171" t="str">
            <v>T546EBX</v>
          </cell>
          <cell r="D171" t="str">
            <v>T974EBV</v>
          </cell>
          <cell r="E171" t="str">
            <v>HAMAD RAMADHAN KAMOTE</v>
          </cell>
          <cell r="F171">
            <v>695424290</v>
          </cell>
          <cell r="G171">
            <v>4001666353</v>
          </cell>
          <cell r="H171" t="str">
            <v>TAE313634</v>
          </cell>
          <cell r="I171" t="e">
            <v>#N/A</v>
          </cell>
          <cell r="J171" t="str">
            <v>PLASDUS MAHUMBA</v>
          </cell>
        </row>
        <row r="172">
          <cell r="B172" t="str">
            <v>T816DDS</v>
          </cell>
          <cell r="C172" t="str">
            <v>T360DHS</v>
          </cell>
          <cell r="D172" t="str">
            <v> </v>
          </cell>
          <cell r="E172" t="str">
            <v>HAMADI  MOHAMED KACHEM</v>
          </cell>
          <cell r="F172">
            <v>656010705</v>
          </cell>
          <cell r="G172">
            <v>4002040927</v>
          </cell>
          <cell r="H172" t="str">
            <v>TAE 352328</v>
          </cell>
          <cell r="I172" t="e">
            <v>#N/A</v>
          </cell>
          <cell r="J172" t="str">
            <v>SADI KIMWAGA</v>
          </cell>
        </row>
        <row r="173">
          <cell r="B173" t="str">
            <v>T392ECN</v>
          </cell>
          <cell r="C173" t="str">
            <v>T796ECG</v>
          </cell>
          <cell r="D173" t="str">
            <v>T347EBW</v>
          </cell>
          <cell r="E173" t="str">
            <v>HAMADI RASHID DOWILE</v>
          </cell>
          <cell r="F173">
            <v>712910838</v>
          </cell>
          <cell r="G173">
            <v>4000797098</v>
          </cell>
          <cell r="H173" t="str">
            <v>TAE671601</v>
          </cell>
          <cell r="I173" t="e">
            <v>#N/A</v>
          </cell>
          <cell r="J173" t="str">
            <v>IRENE SHIJA</v>
          </cell>
        </row>
        <row r="174">
          <cell r="B174" t="str">
            <v>T795DDS</v>
          </cell>
          <cell r="C174" t="str">
            <v>T345DBH</v>
          </cell>
          <cell r="D174" t="str">
            <v> </v>
          </cell>
          <cell r="E174" t="str">
            <v>HAMIS BUNDALA IZINA</v>
          </cell>
          <cell r="F174">
            <v>4000090639</v>
          </cell>
          <cell r="G174" t="str">
            <v>0767428847/0787238815</v>
          </cell>
          <cell r="H174" t="str">
            <v>TAE863841</v>
          </cell>
          <cell r="I174" t="str">
            <v>115-917-447</v>
          </cell>
          <cell r="J174" t="str">
            <v>PLASDUS MAHUMBA</v>
          </cell>
        </row>
        <row r="175">
          <cell r="B175" t="str">
            <v>T518EBY</v>
          </cell>
          <cell r="C175" t="str">
            <v>T556EBX</v>
          </cell>
          <cell r="D175" t="str">
            <v>T690EBV</v>
          </cell>
          <cell r="E175" t="str">
            <v>HAMIS MASOUD MWANKWALLE</v>
          </cell>
          <cell r="F175">
            <v>755115060</v>
          </cell>
          <cell r="G175">
            <v>4000007618</v>
          </cell>
          <cell r="H175" t="str">
            <v>TAE105620</v>
          </cell>
          <cell r="I175">
            <v>110992165</v>
          </cell>
          <cell r="J175" t="str">
            <v>SADI KIMWAGA</v>
          </cell>
        </row>
        <row r="176">
          <cell r="B176" t="str">
            <v>T580DTQ</v>
          </cell>
          <cell r="C176" t="str">
            <v>T823DTQ</v>
          </cell>
          <cell r="D176" t="str">
            <v> </v>
          </cell>
          <cell r="E176" t="str">
            <v>HAMISI ABDALLAH HAMISI</v>
          </cell>
          <cell r="F176">
            <v>786939220</v>
          </cell>
          <cell r="G176">
            <v>4000032509</v>
          </cell>
          <cell r="H176" t="str">
            <v>TAE608299</v>
          </cell>
          <cell r="I176" t="e">
            <v>#N/A</v>
          </cell>
          <cell r="J176" t="str">
            <v>Martha GOLODI</v>
          </cell>
        </row>
        <row r="177">
          <cell r="B177" t="str">
            <v>T735DEB</v>
          </cell>
          <cell r="C177" t="str">
            <v>T387DEH</v>
          </cell>
          <cell r="D177" t="str">
            <v> </v>
          </cell>
          <cell r="E177" t="str">
            <v>HAMISI ABDALLAH HAMISI</v>
          </cell>
          <cell r="F177">
            <v>786939220</v>
          </cell>
          <cell r="G177">
            <v>4000032509</v>
          </cell>
          <cell r="H177" t="str">
            <v>TAE608299</v>
          </cell>
          <cell r="I177"/>
          <cell r="J177" t="str">
            <v>Martha GOLODI</v>
          </cell>
        </row>
        <row r="178">
          <cell r="B178" t="str">
            <v>T403DHT</v>
          </cell>
          <cell r="C178" t="str">
            <v>T908DHG</v>
          </cell>
          <cell r="D178" t="str">
            <v> </v>
          </cell>
          <cell r="E178" t="str">
            <v>HAMISI FADHILI MDOE</v>
          </cell>
          <cell r="F178">
            <v>686826278</v>
          </cell>
          <cell r="G178">
            <v>4000966963</v>
          </cell>
          <cell r="H178" t="str">
            <v>TAE679563</v>
          </cell>
          <cell r="I178" t="str">
            <v>118-614-909</v>
          </cell>
          <cell r="J178" t="str">
            <v>SADI KIMWAGA</v>
          </cell>
        </row>
        <row r="179">
          <cell r="B179" t="str">
            <v>T767EBW</v>
          </cell>
          <cell r="C179" t="str">
            <v>T809ECG</v>
          </cell>
          <cell r="D179" t="str">
            <v>T990EBV</v>
          </cell>
          <cell r="E179" t="str">
            <v>HAMISI MOHAMED MBWANA</v>
          </cell>
          <cell r="F179">
            <v>688861116</v>
          </cell>
          <cell r="G179">
            <v>4001247446</v>
          </cell>
          <cell r="H179" t="str">
            <v>TAE714732</v>
          </cell>
          <cell r="I179" t="e">
            <v>#N/A</v>
          </cell>
          <cell r="J179" t="str">
            <v>Martha GOLODI</v>
          </cell>
        </row>
        <row r="180">
          <cell r="B180" t="str">
            <v>T797EBW</v>
          </cell>
          <cell r="C180" t="str">
            <v>T345ECH</v>
          </cell>
          <cell r="D180" t="str">
            <v>T756EBV</v>
          </cell>
          <cell r="E180" t="str">
            <v>HAMISI MOHAMEDI MLAWA</v>
          </cell>
          <cell r="F180">
            <v>656772323</v>
          </cell>
          <cell r="G180">
            <v>4000296712</v>
          </cell>
          <cell r="H180" t="str">
            <v>TAE439148</v>
          </cell>
          <cell r="I180"/>
          <cell r="J180" t="str">
            <v>IRENE SHIJA</v>
          </cell>
        </row>
        <row r="181">
          <cell r="B181" t="str">
            <v>T878EBY</v>
          </cell>
          <cell r="C181" t="str">
            <v>T568EBY</v>
          </cell>
          <cell r="D181" t="str">
            <v>T586EBV</v>
          </cell>
          <cell r="E181" t="str">
            <v>HAMISI RAMADHANI SULTAN</v>
          </cell>
          <cell r="F181">
            <v>768601847</v>
          </cell>
          <cell r="G181">
            <v>4000176141</v>
          </cell>
          <cell r="H181" t="str">
            <v>TAE388386</v>
          </cell>
          <cell r="I181" t="e">
            <v>#N/A</v>
          </cell>
          <cell r="J181" t="str">
            <v>LUSAJO KASUNGA</v>
          </cell>
        </row>
        <row r="182">
          <cell r="B182" t="str">
            <v>T849EBY</v>
          </cell>
          <cell r="C182" t="str">
            <v>T533EBY</v>
          </cell>
          <cell r="D182" t="str">
            <v>T601EBV</v>
          </cell>
          <cell r="E182" t="str">
            <v>HAMISI SELEMAN ZITTO</v>
          </cell>
          <cell r="F182" t="str">
            <v>714087073/767677073</v>
          </cell>
          <cell r="G182">
            <v>4000642889</v>
          </cell>
          <cell r="H182" t="str">
            <v>TAE680654</v>
          </cell>
          <cell r="I182" t="e">
            <v>#N/A</v>
          </cell>
          <cell r="J182" t="str">
            <v>Martha GOLODI</v>
          </cell>
        </row>
        <row r="183">
          <cell r="B183" t="str">
            <v>T583DYR</v>
          </cell>
          <cell r="C183" t="str">
            <v>T835DYT</v>
          </cell>
          <cell r="D183" t="str">
            <v> </v>
          </cell>
          <cell r="E183" t="str">
            <v>HAMUDU MAJID MARUZUKU</v>
          </cell>
          <cell r="F183">
            <v>748131714</v>
          </cell>
          <cell r="G183">
            <v>4001726848</v>
          </cell>
          <cell r="H183" t="str">
            <v>TAE69082</v>
          </cell>
          <cell r="I183" t="e">
            <v>#N/A</v>
          </cell>
          <cell r="J183" t="str">
            <v>PLASDUS MAHUMBA</v>
          </cell>
        </row>
        <row r="184">
          <cell r="B184" t="str">
            <v>T702DYR</v>
          </cell>
          <cell r="C184" t="str">
            <v>T968DYT</v>
          </cell>
          <cell r="D184" t="str">
            <v> </v>
          </cell>
          <cell r="E184" t="str">
            <v>HAMZA HARUNA SAID</v>
          </cell>
          <cell r="F184">
            <v>759152709</v>
          </cell>
          <cell r="G184">
            <v>4006951627</v>
          </cell>
          <cell r="H184" t="str">
            <v>TAE690785</v>
          </cell>
          <cell r="I184" t="str">
            <v>157-334-298</v>
          </cell>
          <cell r="J184" t="str">
            <v>Ayoub BENESTA</v>
          </cell>
        </row>
        <row r="185">
          <cell r="B185" t="str">
            <v>T874EBY</v>
          </cell>
          <cell r="C185" t="str">
            <v>T551EBY</v>
          </cell>
          <cell r="D185" t="str">
            <v>T760EBV</v>
          </cell>
          <cell r="E185" t="str">
            <v>HAMZA SEIF SWALEHE</v>
          </cell>
          <cell r="F185">
            <v>718121474</v>
          </cell>
          <cell r="G185">
            <v>4000199184</v>
          </cell>
          <cell r="H185" t="str">
            <v>TAE325534</v>
          </cell>
          <cell r="I185" t="e">
            <v>#N/A</v>
          </cell>
          <cell r="J185" t="str">
            <v>IRENE SHIJA</v>
          </cell>
        </row>
        <row r="186">
          <cell r="B186" t="str">
            <v>T680EBX</v>
          </cell>
          <cell r="C186" t="str">
            <v>T196EBZ</v>
          </cell>
          <cell r="D186" t="str">
            <v>T273EBW</v>
          </cell>
          <cell r="E186" t="str">
            <v>HARFANI MANENO MGAWE</v>
          </cell>
          <cell r="F186">
            <v>674952626</v>
          </cell>
          <cell r="G186">
            <v>4001422894</v>
          </cell>
          <cell r="H186" t="str">
            <v>AB1097377</v>
          </cell>
          <cell r="I186" t="e">
            <v>#N/A</v>
          </cell>
          <cell r="J186" t="str">
            <v>LUSAJO KASUNGA</v>
          </cell>
        </row>
        <row r="187">
          <cell r="B187" t="str">
            <v>T756EBX</v>
          </cell>
          <cell r="C187" t="str">
            <v>T242EBZ</v>
          </cell>
          <cell r="D187" t="str">
            <v>T154EBW</v>
          </cell>
          <cell r="E187" t="str">
            <v xml:space="preserve">HAROUB OMARY JAKA </v>
          </cell>
          <cell r="F187">
            <v>757939269</v>
          </cell>
          <cell r="G187">
            <v>4002419139</v>
          </cell>
          <cell r="H187" t="str">
            <v>TAE723946</v>
          </cell>
          <cell r="I187">
            <v>112536620</v>
          </cell>
          <cell r="J187" t="str">
            <v>PLASDUS MAHUMBA</v>
          </cell>
        </row>
        <row r="188">
          <cell r="B188" t="str">
            <v>T146EBX</v>
          </cell>
          <cell r="C188" t="str">
            <v>T595EBX</v>
          </cell>
          <cell r="D188" t="str">
            <v>T508EBV</v>
          </cell>
          <cell r="E188" t="str">
            <v>HASSAN ABDALLAH JUMA</v>
          </cell>
          <cell r="F188">
            <v>757763306</v>
          </cell>
          <cell r="G188">
            <v>4000374082</v>
          </cell>
          <cell r="H188" t="str">
            <v>TAE438814</v>
          </cell>
          <cell r="I188" t="str">
            <v>115-774-107</v>
          </cell>
          <cell r="J188" t="str">
            <v>Ayoub BENESTA</v>
          </cell>
        </row>
        <row r="189">
          <cell r="B189" t="str">
            <v>T578DYR</v>
          </cell>
          <cell r="C189" t="str">
            <v>T936DYT</v>
          </cell>
          <cell r="D189" t="str">
            <v> </v>
          </cell>
          <cell r="E189" t="str">
            <v>HASSAN AWADHI TAMIM</v>
          </cell>
          <cell r="F189">
            <v>755487776</v>
          </cell>
          <cell r="G189">
            <v>4000126578</v>
          </cell>
          <cell r="H189" t="str">
            <v>TAE663719</v>
          </cell>
          <cell r="I189" t="str">
            <v>112-904-255</v>
          </cell>
          <cell r="J189" t="str">
            <v>Ayoub BENESTA</v>
          </cell>
        </row>
        <row r="190">
          <cell r="B190" t="str">
            <v>T597DTQ</v>
          </cell>
          <cell r="C190" t="str">
            <v>T806DTQ</v>
          </cell>
          <cell r="D190" t="str">
            <v> </v>
          </cell>
          <cell r="E190" t="str">
            <v>HASSAN GANDHI JAHA</v>
          </cell>
          <cell r="F190">
            <v>717260409</v>
          </cell>
          <cell r="G190">
            <v>4000064824</v>
          </cell>
          <cell r="H190"/>
          <cell r="I190" t="e">
            <v>#N/A</v>
          </cell>
          <cell r="J190" t="str">
            <v>SADI KIMWAGA</v>
          </cell>
        </row>
        <row r="191">
          <cell r="B191" t="str">
            <v>T414DHG</v>
          </cell>
          <cell r="C191" t="str">
            <v>T361DHS</v>
          </cell>
          <cell r="D191" t="str">
            <v>T991DVQ</v>
          </cell>
          <cell r="E191" t="str">
            <v>HASSAN HAMADI YAKOBO</v>
          </cell>
          <cell r="F191">
            <v>745349798</v>
          </cell>
          <cell r="G191">
            <v>4001794062</v>
          </cell>
          <cell r="H191" t="str">
            <v>TAE054904</v>
          </cell>
          <cell r="I191" t="str">
            <v>122-157-970</v>
          </cell>
          <cell r="J191" t="str">
            <v>IRENE SHIJA</v>
          </cell>
        </row>
        <row r="192">
          <cell r="B192" t="str">
            <v>T781EBW</v>
          </cell>
          <cell r="C192" t="str">
            <v>T810ECG</v>
          </cell>
          <cell r="D192" t="str">
            <v>T631EBV</v>
          </cell>
          <cell r="E192" t="str">
            <v>HASSAN JUMA MBALE</v>
          </cell>
          <cell r="F192">
            <v>745888100</v>
          </cell>
          <cell r="G192">
            <v>4000268539</v>
          </cell>
          <cell r="H192" t="str">
            <v>TAE677648</v>
          </cell>
          <cell r="I192">
            <v>113208430</v>
          </cell>
          <cell r="J192" t="str">
            <v>Ayoub BENESTA</v>
          </cell>
        </row>
        <row r="193">
          <cell r="B193" t="str">
            <v>T514EBY</v>
          </cell>
          <cell r="C193" t="str">
            <v>T428EBW</v>
          </cell>
          <cell r="D193" t="str">
            <v>T280EBW</v>
          </cell>
          <cell r="E193" t="str">
            <v>HASSAN MZEE BOHERO</v>
          </cell>
          <cell r="F193">
            <v>764412523</v>
          </cell>
          <cell r="G193">
            <v>4000809432</v>
          </cell>
          <cell r="H193" t="str">
            <v>TAE925227</v>
          </cell>
          <cell r="I193">
            <v>117716023</v>
          </cell>
          <cell r="J193" t="str">
            <v>SADI KIMWAGA</v>
          </cell>
        </row>
        <row r="194">
          <cell r="B194" t="str">
            <v>T803DYR</v>
          </cell>
          <cell r="C194" t="str">
            <v>T820DYT</v>
          </cell>
          <cell r="D194" t="str">
            <v> </v>
          </cell>
          <cell r="E194" t="str">
            <v>HASSAN RAMADHANI ALLY</v>
          </cell>
          <cell r="F194">
            <v>767080819</v>
          </cell>
          <cell r="G194">
            <v>4000286114</v>
          </cell>
          <cell r="H194" t="str">
            <v>TAE696155</v>
          </cell>
          <cell r="I194" t="e">
            <v>#N/A</v>
          </cell>
          <cell r="J194" t="str">
            <v>PLASDUS MAHUMBA</v>
          </cell>
        </row>
        <row r="195">
          <cell r="B195" t="str">
            <v>T812EBW</v>
          </cell>
          <cell r="C195" t="str">
            <v>T813ECG</v>
          </cell>
          <cell r="D195" t="str">
            <v>T296EBW</v>
          </cell>
          <cell r="E195" t="str">
            <v>HASSAN RAMADHANI SHABANI</v>
          </cell>
          <cell r="F195">
            <v>752429037</v>
          </cell>
          <cell r="G195">
            <v>4002584489</v>
          </cell>
          <cell r="H195" t="str">
            <v>TAE391986</v>
          </cell>
          <cell r="I195" t="e">
            <v>#N/A</v>
          </cell>
          <cell r="J195" t="str">
            <v>PLASDUS MAHUMBA</v>
          </cell>
        </row>
        <row r="196">
          <cell r="B196" t="str">
            <v>T903EBW</v>
          </cell>
          <cell r="C196" t="str">
            <v>T259EBZ</v>
          </cell>
          <cell r="D196" t="str">
            <v>T768EBV</v>
          </cell>
          <cell r="E196" t="str">
            <v>HASSAN RICHARD MWANYERERE</v>
          </cell>
          <cell r="F196">
            <v>688031176</v>
          </cell>
          <cell r="G196">
            <v>4003463297</v>
          </cell>
          <cell r="H196" t="str">
            <v>TAE 664986</v>
          </cell>
          <cell r="I196" t="str">
            <v>129-276-592</v>
          </cell>
          <cell r="J196" t="str">
            <v>SADI KIMWAGA</v>
          </cell>
        </row>
        <row r="197">
          <cell r="B197" t="str">
            <v>T766DYR</v>
          </cell>
          <cell r="C197" t="str">
            <v>T826DYT</v>
          </cell>
          <cell r="D197" t="str">
            <v> </v>
          </cell>
          <cell r="E197" t="str">
            <v>HASSAN SAID TUPA</v>
          </cell>
          <cell r="F197">
            <v>714658148</v>
          </cell>
          <cell r="G197">
            <v>4000312663</v>
          </cell>
          <cell r="H197" t="str">
            <v>TAE607295</v>
          </cell>
          <cell r="I197" t="str">
            <v>114-569-755</v>
          </cell>
          <cell r="J197" t="str">
            <v>LUSAJO KASUNGA</v>
          </cell>
        </row>
        <row r="198">
          <cell r="B198" t="str">
            <v>T386ECN</v>
          </cell>
          <cell r="C198" t="str">
            <v>T817ECG</v>
          </cell>
          <cell r="D198" t="str">
            <v>T967EBV</v>
          </cell>
          <cell r="E198" t="str">
            <v>DAUD JOSEPH GINATIO</v>
          </cell>
          <cell r="F198" t="str">
            <v>0753851580/0789226892</v>
          </cell>
          <cell r="G198">
            <v>4001905389</v>
          </cell>
          <cell r="H198" t="str">
            <v>TAE751367</v>
          </cell>
          <cell r="I198" t="str">
            <v>123-319-869</v>
          </cell>
          <cell r="J198" t="str">
            <v>LUSAJO KASUNGA</v>
          </cell>
        </row>
        <row r="199">
          <cell r="B199" t="str">
            <v>T932EBW</v>
          </cell>
          <cell r="C199" t="str">
            <v>T415EBW</v>
          </cell>
          <cell r="D199" t="str">
            <v>T668EBV</v>
          </cell>
          <cell r="E199" t="str">
            <v>HASSANI MABROUCK TUNZA</v>
          </cell>
          <cell r="F199">
            <v>684886281</v>
          </cell>
          <cell r="G199">
            <v>4000159466</v>
          </cell>
          <cell r="H199" t="str">
            <v>AB10044476</v>
          </cell>
          <cell r="I199" t="e">
            <v>#N/A</v>
          </cell>
          <cell r="J199" t="str">
            <v>SADI KIMWAGA</v>
          </cell>
        </row>
        <row r="200">
          <cell r="B200" t="str">
            <v>T576DTQ</v>
          </cell>
          <cell r="C200" t="str">
            <v>T769DTQ</v>
          </cell>
          <cell r="D200" t="str">
            <v> </v>
          </cell>
          <cell r="E200" t="str">
            <v>HIJA MUSSA LIJUBA</v>
          </cell>
          <cell r="F200">
            <v>628001048</v>
          </cell>
          <cell r="G200">
            <v>4000154692</v>
          </cell>
          <cell r="H200" t="str">
            <v>AB10040533</v>
          </cell>
          <cell r="I200">
            <v>113205296</v>
          </cell>
          <cell r="J200" t="str">
            <v>Ayoub BENESTA</v>
          </cell>
        </row>
        <row r="201">
          <cell r="B201" t="str">
            <v>T497DYR</v>
          </cell>
          <cell r="C201" t="str">
            <v>T809DYT</v>
          </cell>
          <cell r="D201" t="str">
            <v> </v>
          </cell>
          <cell r="E201" t="str">
            <v xml:space="preserve">HOSEA MRINGI MACHA </v>
          </cell>
          <cell r="F201"/>
          <cell r="G201">
            <v>4000233554</v>
          </cell>
          <cell r="H201" t="str">
            <v>TAE661067</v>
          </cell>
          <cell r="I201"/>
          <cell r="J201" t="str">
            <v>SADI KIMWAGA</v>
          </cell>
        </row>
        <row r="202">
          <cell r="B202" t="str">
            <v>T835EBY</v>
          </cell>
          <cell r="C202" t="str">
            <v>T567EBX</v>
          </cell>
          <cell r="D202" t="str">
            <v>T646EBV</v>
          </cell>
          <cell r="E202" t="str">
            <v>HUMUDI SAID AMORI</v>
          </cell>
          <cell r="F202">
            <v>716612556</v>
          </cell>
          <cell r="G202">
            <v>4005373288</v>
          </cell>
          <cell r="H202" t="str">
            <v>AB1231633</v>
          </cell>
          <cell r="I202" t="str">
            <v>114-113-778</v>
          </cell>
          <cell r="J202" t="str">
            <v>PLASDUS MAHUMBA</v>
          </cell>
        </row>
        <row r="203">
          <cell r="B203" t="str">
            <v>T343EBX</v>
          </cell>
          <cell r="C203" t="str">
            <v>T412EBW</v>
          </cell>
          <cell r="D203" t="str">
            <v>T350EBW</v>
          </cell>
          <cell r="E203" t="str">
            <v>HUSSEIN ALLY MAIGA</v>
          </cell>
          <cell r="F203">
            <v>784305757</v>
          </cell>
          <cell r="G203">
            <v>4000139250</v>
          </cell>
          <cell r="H203" t="str">
            <v>TAE324183</v>
          </cell>
          <cell r="I203">
            <v>112850120</v>
          </cell>
          <cell r="J203" t="str">
            <v>Martha GOLODI</v>
          </cell>
        </row>
        <row r="204">
          <cell r="B204" t="str">
            <v>T953DSX</v>
          </cell>
          <cell r="C204" t="str">
            <v>T772DTQ</v>
          </cell>
          <cell r="D204" t="str">
            <v> </v>
          </cell>
          <cell r="E204" t="str">
            <v xml:space="preserve">HUSSEIN MALIKI MTALY </v>
          </cell>
          <cell r="F204">
            <v>763171220</v>
          </cell>
          <cell r="G204">
            <v>4000367709</v>
          </cell>
          <cell r="H204" t="str">
            <v>TAE428354</v>
          </cell>
          <cell r="I204"/>
          <cell r="J204" t="str">
            <v>LUSAJO KASUNGA</v>
          </cell>
        </row>
        <row r="205">
          <cell r="B205" t="str">
            <v>T928EBW</v>
          </cell>
          <cell r="C205" t="str">
            <v>T586EBY</v>
          </cell>
          <cell r="D205" t="str">
            <v>T641EBV</v>
          </cell>
          <cell r="E205" t="str">
            <v>HUSSEIN SIMON BOBSON</v>
          </cell>
          <cell r="F205">
            <v>715490050</v>
          </cell>
          <cell r="G205">
            <v>4000107216</v>
          </cell>
          <cell r="H205" t="str">
            <v>TAE750793</v>
          </cell>
          <cell r="I205" t="e">
            <v>#N/A</v>
          </cell>
          <cell r="J205" t="str">
            <v>SADI KIMWAGA</v>
          </cell>
        </row>
        <row r="206">
          <cell r="B206" t="str">
            <v>T750DEB</v>
          </cell>
          <cell r="C206" t="str">
            <v>T490DEJ</v>
          </cell>
          <cell r="D206" t="str">
            <v> </v>
          </cell>
          <cell r="E206"/>
          <cell r="F206"/>
          <cell r="G206"/>
          <cell r="H206"/>
          <cell r="I206"/>
          <cell r="J206"/>
        </row>
        <row r="207">
          <cell r="B207" t="str">
            <v>T514DTR</v>
          </cell>
          <cell r="C207"/>
          <cell r="D207" t="str">
            <v> </v>
          </cell>
          <cell r="E207" t="str">
            <v>IBRAHIM MWINSHEHE KILAKALA</v>
          </cell>
          <cell r="F207">
            <v>613808159</v>
          </cell>
          <cell r="G207">
            <v>4001242560</v>
          </cell>
          <cell r="H207" t="str">
            <v>TAE463880</v>
          </cell>
          <cell r="I207" t="e">
            <v>#N/A</v>
          </cell>
          <cell r="J207" t="str">
            <v>PLASDUS MAHUMBA</v>
          </cell>
        </row>
        <row r="208">
          <cell r="B208" t="str">
            <v>T326ECN</v>
          </cell>
          <cell r="C208" t="str">
            <v>T784ECG</v>
          </cell>
          <cell r="D208" t="str">
            <v>T304EBW</v>
          </cell>
          <cell r="E208" t="str">
            <v>IBRAHIMU SELEMANI SENGAMBA</v>
          </cell>
          <cell r="F208" t="str">
            <v>783764138/744502168</v>
          </cell>
          <cell r="G208">
            <v>4001555625</v>
          </cell>
          <cell r="H208" t="str">
            <v>TAE676432</v>
          </cell>
          <cell r="I208" t="e">
            <v>#N/A</v>
          </cell>
          <cell r="J208" t="str">
            <v>LUSAJO KASUNGA</v>
          </cell>
        </row>
        <row r="209">
          <cell r="B209" t="str">
            <v>T312EBX</v>
          </cell>
          <cell r="C209" t="str">
            <v>T930EBY</v>
          </cell>
          <cell r="D209" t="str">
            <v> </v>
          </cell>
          <cell r="E209" t="str">
            <v>IDD HUSSEIN KAZUBA</v>
          </cell>
          <cell r="F209">
            <v>717553245</v>
          </cell>
          <cell r="G209">
            <v>4000649615</v>
          </cell>
          <cell r="H209" t="str">
            <v>TAE792777</v>
          </cell>
          <cell r="I209">
            <v>117242250</v>
          </cell>
          <cell r="J209" t="str">
            <v>LUSAJO KASUNGA</v>
          </cell>
        </row>
        <row r="210">
          <cell r="B210" t="str">
            <v>T342DHG</v>
          </cell>
          <cell r="C210" t="str">
            <v>T869DHG</v>
          </cell>
          <cell r="D210" t="str">
            <v> </v>
          </cell>
          <cell r="E210" t="str">
            <v>IDDY RAJAB IDDY</v>
          </cell>
          <cell r="F210">
            <v>767415401</v>
          </cell>
          <cell r="G210">
            <v>4000362438</v>
          </cell>
          <cell r="H210" t="str">
            <v>TAE676836</v>
          </cell>
          <cell r="I210" t="e">
            <v>#N/A</v>
          </cell>
          <cell r="J210" t="str">
            <v>SADI KIMWAGA</v>
          </cell>
        </row>
        <row r="211">
          <cell r="B211" t="str">
            <v>T871EBW</v>
          </cell>
          <cell r="C211" t="str">
            <v>T566EBX</v>
          </cell>
          <cell r="D211" t="str">
            <v>T962EBV</v>
          </cell>
          <cell r="E211" t="str">
            <v>IDRISA IBRAHIM SAID</v>
          </cell>
          <cell r="F211">
            <v>689661725</v>
          </cell>
          <cell r="G211">
            <v>4001107322</v>
          </cell>
          <cell r="H211" t="str">
            <v>TAE641301</v>
          </cell>
          <cell r="I211" t="str">
            <v>119-152-437</v>
          </cell>
          <cell r="J211" t="str">
            <v>Martha GOLODI</v>
          </cell>
        </row>
        <row r="212">
          <cell r="B212" t="str">
            <v>T699EBX</v>
          </cell>
          <cell r="C212" t="str">
            <v>T205EBZ</v>
          </cell>
          <cell r="D212" t="str">
            <v>T982EBV</v>
          </cell>
          <cell r="E212" t="str">
            <v>ILIASA YUSUPH SHEKIHIYO</v>
          </cell>
          <cell r="F212">
            <v>784288560</v>
          </cell>
          <cell r="G212">
            <v>4000076401</v>
          </cell>
          <cell r="H212" t="str">
            <v>TAE727649</v>
          </cell>
          <cell r="I212" t="e">
            <v>#N/A</v>
          </cell>
          <cell r="J212" t="str">
            <v>LUSAJO KASUNGA</v>
          </cell>
        </row>
        <row r="213">
          <cell r="B213" t="str">
            <v>T151EBX</v>
          </cell>
          <cell r="C213" t="str">
            <v>T601EBX</v>
          </cell>
          <cell r="D213" t="str">
            <v>T659EBV</v>
          </cell>
          <cell r="E213" t="str">
            <v>INNOCENT MASIMA MGOYA</v>
          </cell>
          <cell r="F213" t="str">
            <v>754344532/0658883216</v>
          </cell>
          <cell r="G213">
            <v>4012299713</v>
          </cell>
          <cell r="H213" t="str">
            <v>TAE323716</v>
          </cell>
          <cell r="I213">
            <v>116002175</v>
          </cell>
          <cell r="J213" t="str">
            <v>IRENE SHIJA</v>
          </cell>
        </row>
        <row r="214">
          <cell r="B214" t="str">
            <v>T191EBX</v>
          </cell>
          <cell r="C214" t="str">
            <v>T585EBX</v>
          </cell>
          <cell r="D214" t="str">
            <v>T729EBV</v>
          </cell>
          <cell r="E214" t="str">
            <v>ISAYA JOHN MSENA</v>
          </cell>
          <cell r="F214">
            <v>787543674</v>
          </cell>
          <cell r="G214">
            <v>4000170073</v>
          </cell>
          <cell r="H214" t="str">
            <v>TAE320449</v>
          </cell>
          <cell r="I214">
            <v>113485485</v>
          </cell>
          <cell r="J214" t="str">
            <v>IRENE SHIJA</v>
          </cell>
        </row>
        <row r="215">
          <cell r="B215" t="str">
            <v>T271EBY</v>
          </cell>
          <cell r="C215" t="str">
            <v>T407EBW</v>
          </cell>
          <cell r="D215" t="str">
            <v>T674EBV</v>
          </cell>
          <cell r="E215" t="str">
            <v>ISAYA MSHUKURU MMBANDO</v>
          </cell>
          <cell r="F215">
            <v>784293218</v>
          </cell>
          <cell r="G215">
            <v>4000005862</v>
          </cell>
          <cell r="H215" t="str">
            <v>AB10090322</v>
          </cell>
          <cell r="I215">
            <v>124048907</v>
          </cell>
          <cell r="J215" t="str">
            <v>LUSAJO KASUNGA</v>
          </cell>
        </row>
        <row r="216">
          <cell r="B216" t="str">
            <v>T645DHL</v>
          </cell>
          <cell r="C216" t="str">
            <v>T348DHS</v>
          </cell>
          <cell r="D216" t="str">
            <v> </v>
          </cell>
          <cell r="E216" t="str">
            <v>ISIHAKA IDRISA HAMIDU</v>
          </cell>
          <cell r="F216">
            <v>4006325506</v>
          </cell>
          <cell r="G216">
            <v>672222756</v>
          </cell>
          <cell r="H216" t="str">
            <v>TAE493644</v>
          </cell>
          <cell r="I216" t="str">
            <v>112-800-034</v>
          </cell>
          <cell r="J216" t="str">
            <v>SADI KIMWAGA</v>
          </cell>
        </row>
        <row r="217">
          <cell r="B217" t="str">
            <v>T676EBX</v>
          </cell>
          <cell r="C217" t="str">
            <v>T578EBY</v>
          </cell>
          <cell r="D217" t="str">
            <v>T654EBV</v>
          </cell>
          <cell r="E217" t="str">
            <v>ISIHAKA MUSSA HAMIDU</v>
          </cell>
          <cell r="F217">
            <v>759037292</v>
          </cell>
          <cell r="G217">
            <v>4000730942</v>
          </cell>
          <cell r="H217" t="str">
            <v>TAE117826</v>
          </cell>
          <cell r="I217" t="str">
            <v>117-417-131</v>
          </cell>
          <cell r="J217" t="str">
            <v>LUSAJO KASUNGA</v>
          </cell>
        </row>
        <row r="218">
          <cell r="B218" t="str">
            <v>T810EBY</v>
          </cell>
          <cell r="C218" t="str">
            <v>T489ECE</v>
          </cell>
          <cell r="D218" t="str">
            <v>T650EBV</v>
          </cell>
          <cell r="E218" t="str">
            <v xml:space="preserve">ISMAEL JULIUS FIDELIS </v>
          </cell>
          <cell r="F218">
            <v>753708346</v>
          </cell>
          <cell r="G218">
            <v>4002914951</v>
          </cell>
          <cell r="H218" t="str">
            <v>TAE6111900</v>
          </cell>
          <cell r="I218" t="e">
            <v>#N/A</v>
          </cell>
          <cell r="J218" t="str">
            <v>PLASDUS MAHUMBA</v>
          </cell>
        </row>
        <row r="219">
          <cell r="B219" t="str">
            <v>T572DYR</v>
          </cell>
          <cell r="C219" t="str">
            <v>T838DYT</v>
          </cell>
          <cell r="D219" t="str">
            <v> </v>
          </cell>
          <cell r="E219" t="str">
            <v>ISMAIL KISANDU RUBASHA</v>
          </cell>
          <cell r="F219">
            <v>4002454455</v>
          </cell>
          <cell r="G219">
            <v>715339488</v>
          </cell>
          <cell r="H219" t="str">
            <v>TAE658240</v>
          </cell>
          <cell r="I219" t="e">
            <v>#N/A</v>
          </cell>
          <cell r="J219" t="str">
            <v>SADI KIMWAGA</v>
          </cell>
        </row>
        <row r="220">
          <cell r="B220" t="str">
            <v>T425DHG</v>
          </cell>
          <cell r="C220" t="str">
            <v>T917DEK</v>
          </cell>
          <cell r="D220" t="str">
            <v> </v>
          </cell>
          <cell r="E220" t="str">
            <v>ISMAIL NASSORO SAID</v>
          </cell>
          <cell r="F220">
            <v>683759303</v>
          </cell>
          <cell r="G220">
            <v>4001686268</v>
          </cell>
          <cell r="H220" t="str">
            <v>TAE665246</v>
          </cell>
          <cell r="I220" t="e">
            <v>#N/A</v>
          </cell>
          <cell r="J220" t="str">
            <v>IRENE SHIJA</v>
          </cell>
        </row>
        <row r="221">
          <cell r="B221" t="str">
            <v>T768DYR</v>
          </cell>
          <cell r="C221" t="str">
            <v>T183DCZ</v>
          </cell>
          <cell r="D221" t="str">
            <v> </v>
          </cell>
          <cell r="E221" t="str">
            <v>ISMAIL SELEMAN KIGUA</v>
          </cell>
          <cell r="F221">
            <v>4000535357</v>
          </cell>
          <cell r="G221">
            <v>682660001</v>
          </cell>
          <cell r="H221" t="str">
            <v>TAE659251</v>
          </cell>
          <cell r="I221" t="e">
            <v>#N/A</v>
          </cell>
          <cell r="J221" t="str">
            <v>LUSAJO KASUNGA</v>
          </cell>
        </row>
        <row r="222">
          <cell r="B222" t="str">
            <v>T441DHG</v>
          </cell>
          <cell r="C222" t="str">
            <v>T971DHL</v>
          </cell>
          <cell r="D222" t="str">
            <v> </v>
          </cell>
          <cell r="E222" t="str">
            <v>ISMAIL YAHAYA MISANYA</v>
          </cell>
          <cell r="F222">
            <v>767893839</v>
          </cell>
          <cell r="G222">
            <v>4000843657</v>
          </cell>
          <cell r="H222" t="str">
            <v>TAE721329</v>
          </cell>
          <cell r="I222" t="str">
            <v>118-089-278</v>
          </cell>
          <cell r="J222" t="str">
            <v>Ayoub BENESTA</v>
          </cell>
        </row>
        <row r="223">
          <cell r="B223" t="str">
            <v>T891EBW</v>
          </cell>
          <cell r="C223" t="str">
            <v>T421EBW</v>
          </cell>
          <cell r="D223" t="str">
            <v>T521EBV</v>
          </cell>
          <cell r="E223" t="str">
            <v>ISSA MOHAMED KIMWAGA</v>
          </cell>
          <cell r="F223">
            <v>694055651</v>
          </cell>
          <cell r="G223">
            <v>4000738198</v>
          </cell>
          <cell r="H223" t="str">
            <v>TAE660429</v>
          </cell>
          <cell r="I223" t="str">
            <v>117-626-539</v>
          </cell>
          <cell r="J223" t="str">
            <v>SADI KIMWAGA</v>
          </cell>
        </row>
        <row r="224">
          <cell r="B224" t="str">
            <v>T850EBY</v>
          </cell>
          <cell r="C224" t="str">
            <v>T427EBW</v>
          </cell>
          <cell r="D224" t="str">
            <v>T223EBV</v>
          </cell>
          <cell r="E224" t="str">
            <v>ISSA RAMADHAN MWAMPAMBE</v>
          </cell>
          <cell r="F224">
            <v>788364678</v>
          </cell>
          <cell r="G224">
            <v>4000156551</v>
          </cell>
          <cell r="H224" t="str">
            <v>TAE370110</v>
          </cell>
          <cell r="I224" t="e">
            <v>#N/A</v>
          </cell>
          <cell r="J224" t="str">
            <v>Martha GOLODI</v>
          </cell>
        </row>
        <row r="225">
          <cell r="B225" t="str">
            <v>T868EBW</v>
          </cell>
          <cell r="C225" t="str">
            <v>T580EBY</v>
          </cell>
          <cell r="D225" t="str">
            <v>T642EBV</v>
          </cell>
          <cell r="E225" t="str">
            <v>ISSACK KONRADI KASIANO</v>
          </cell>
          <cell r="F225">
            <v>710758027</v>
          </cell>
          <cell r="G225">
            <v>4000353882</v>
          </cell>
          <cell r="H225" t="str">
            <v>TAE703632</v>
          </cell>
          <cell r="I225" t="str">
            <v>115-570-633</v>
          </cell>
          <cell r="J225" t="str">
            <v>SADI KIMWAGA</v>
          </cell>
        </row>
        <row r="226">
          <cell r="B226" t="str">
            <v>T754DEB</v>
          </cell>
          <cell r="C226" t="str">
            <v>T946DDJ</v>
          </cell>
          <cell r="D226" t="str">
            <v> </v>
          </cell>
          <cell r="E226" t="str">
            <v>JABU RASHIDI ISSA</v>
          </cell>
          <cell r="F226">
            <v>689935935</v>
          </cell>
          <cell r="G226">
            <v>4000257690</v>
          </cell>
          <cell r="H226" t="str">
            <v>AB10084914</v>
          </cell>
          <cell r="I226" t="str">
            <v>114-528-307</v>
          </cell>
          <cell r="J226" t="str">
            <v>Martha GOLODI</v>
          </cell>
        </row>
        <row r="227">
          <cell r="B227" t="str">
            <v>T758EBX</v>
          </cell>
          <cell r="C227" t="str">
            <v>T232EBZ</v>
          </cell>
          <cell r="D227" t="str">
            <v>T965EBV</v>
          </cell>
          <cell r="E227" t="str">
            <v>JACKSON JACOB BURA</v>
          </cell>
          <cell r="F227">
            <v>745937774</v>
          </cell>
          <cell r="G227">
            <v>4005988428</v>
          </cell>
          <cell r="H227" t="str">
            <v>AB10096911</v>
          </cell>
          <cell r="I227" t="e">
            <v>#N/A</v>
          </cell>
          <cell r="J227" t="str">
            <v>PLASDUS MAHUMBA</v>
          </cell>
        </row>
        <row r="228">
          <cell r="B228" t="str">
            <v>T790EBW</v>
          </cell>
          <cell r="C228" t="str">
            <v>T351ECH</v>
          </cell>
          <cell r="D228" t="str">
            <v>T109EBW</v>
          </cell>
          <cell r="E228" t="str">
            <v>JACKSON MODEST KWEMBE</v>
          </cell>
          <cell r="F228">
            <v>762611814</v>
          </cell>
          <cell r="G228">
            <v>4000744730</v>
          </cell>
          <cell r="H228" t="str">
            <v>TAE724681</v>
          </cell>
          <cell r="I228" t="str">
            <v>117-525-961</v>
          </cell>
          <cell r="J228" t="str">
            <v>IRENE SHIJA</v>
          </cell>
        </row>
        <row r="229">
          <cell r="B229" t="str">
            <v>T109EBX</v>
          </cell>
          <cell r="C229" t="str">
            <v>T474EBW</v>
          </cell>
          <cell r="D229" t="str">
            <v>T594EBV</v>
          </cell>
          <cell r="E229" t="str">
            <v>JACOB SALVINUS MAINGO</v>
          </cell>
          <cell r="F229">
            <v>693828270</v>
          </cell>
          <cell r="G229">
            <v>4001501258</v>
          </cell>
          <cell r="H229" t="str">
            <v>TAE388996</v>
          </cell>
          <cell r="I229">
            <v>116780461</v>
          </cell>
          <cell r="J229" t="str">
            <v>IRENE SHIJA</v>
          </cell>
        </row>
        <row r="230">
          <cell r="B230" t="str">
            <v>T523EBY</v>
          </cell>
          <cell r="C230" t="str">
            <v>T563EBX</v>
          </cell>
          <cell r="D230" t="str">
            <v>T941EBV</v>
          </cell>
          <cell r="E230" t="str">
            <v>DAVID NICHOLAUS MASAKA</v>
          </cell>
          <cell r="F230">
            <v>685076607</v>
          </cell>
          <cell r="G230">
            <v>4005507725</v>
          </cell>
          <cell r="H230" t="str">
            <v>TAE589793</v>
          </cell>
          <cell r="I230"/>
          <cell r="J230" t="str">
            <v>Ayoub BENESTA</v>
          </cell>
        </row>
        <row r="231">
          <cell r="B231" t="str">
            <v>T341EBX</v>
          </cell>
          <cell r="C231" t="str">
            <v>T882EBY</v>
          </cell>
          <cell r="D231" t="str">
            <v>T984DVQ</v>
          </cell>
          <cell r="E231" t="str">
            <v>JAMES JOSEPH NJAU</v>
          </cell>
          <cell r="F231">
            <v>673261636</v>
          </cell>
          <cell r="G231">
            <v>4000934064</v>
          </cell>
          <cell r="H231" t="str">
            <v>TAE 373108</v>
          </cell>
          <cell r="I231" t="str">
            <v>118-477-685</v>
          </cell>
          <cell r="J231" t="str">
            <v>IRENE SHIJA</v>
          </cell>
        </row>
        <row r="232">
          <cell r="B232" t="str">
            <v>T518DEB</v>
          </cell>
          <cell r="C232" t="str">
            <v>T774DEU</v>
          </cell>
          <cell r="D232" t="str">
            <v> </v>
          </cell>
          <cell r="E232" t="str">
            <v>JAMES RASHIDI GWAU</v>
          </cell>
          <cell r="F232">
            <v>743665513</v>
          </cell>
          <cell r="G232">
            <v>4000221337</v>
          </cell>
          <cell r="H232" t="str">
            <v>TAE657852</v>
          </cell>
          <cell r="I232"/>
          <cell r="J232" t="str">
            <v>Martha GOLODI</v>
          </cell>
        </row>
        <row r="233">
          <cell r="B233" t="str">
            <v>T509EBY</v>
          </cell>
          <cell r="C233" t="str">
            <v>T558EBX</v>
          </cell>
          <cell r="D233" t="str">
            <v>T655EBV</v>
          </cell>
          <cell r="E233" t="str">
            <v>JAMES STANLEY LOTH</v>
          </cell>
          <cell r="F233">
            <v>747877333</v>
          </cell>
          <cell r="G233">
            <v>4001548207</v>
          </cell>
          <cell r="H233" t="str">
            <v>TAE701207</v>
          </cell>
          <cell r="I233">
            <v>121054574</v>
          </cell>
          <cell r="J233" t="str">
            <v>SADI KIMWAGA</v>
          </cell>
        </row>
        <row r="234">
          <cell r="B234" t="str">
            <v>T822DDS</v>
          </cell>
          <cell r="C234" t="str">
            <v>T920DEK</v>
          </cell>
          <cell r="D234" t="str">
            <v> </v>
          </cell>
          <cell r="E234" t="str">
            <v>JANUARY LAMECK AUGUSTINO</v>
          </cell>
          <cell r="F234">
            <v>757030129</v>
          </cell>
          <cell r="G234">
            <v>4000303070</v>
          </cell>
          <cell r="H234" t="str">
            <v>TAE369888</v>
          </cell>
          <cell r="I234" t="str">
            <v>115-011-812</v>
          </cell>
          <cell r="J234" t="str">
            <v>LUSAJO KASUNGA</v>
          </cell>
        </row>
        <row r="235">
          <cell r="B235" t="str">
            <v>T342EBX</v>
          </cell>
          <cell r="C235" t="str">
            <v>T580EBX</v>
          </cell>
          <cell r="D235" t="str">
            <v>T721EBV</v>
          </cell>
          <cell r="E235" t="str">
            <v>JAPHARI SALUM SHABANI</v>
          </cell>
          <cell r="F235">
            <v>693768000</v>
          </cell>
          <cell r="G235">
            <v>4002588662</v>
          </cell>
          <cell r="H235" t="str">
            <v>TAE688797</v>
          </cell>
          <cell r="I235" t="str">
            <v>125-444-563</v>
          </cell>
          <cell r="J235" t="str">
            <v>Ayoub BENESTA</v>
          </cell>
        </row>
        <row r="236">
          <cell r="B236" t="str">
            <v>T803EBW</v>
          </cell>
          <cell r="C236" t="str">
            <v>T350ECH</v>
          </cell>
          <cell r="D236" t="str">
            <v>T301EBW</v>
          </cell>
          <cell r="E236" t="str">
            <v>JAPHARY NASSORO JAPHARY</v>
          </cell>
          <cell r="F236">
            <v>767310391</v>
          </cell>
          <cell r="G236">
            <v>4000283619</v>
          </cell>
          <cell r="H236" t="str">
            <v>TAE840837</v>
          </cell>
          <cell r="I236" t="e">
            <v>#N/A</v>
          </cell>
          <cell r="J236" t="str">
            <v>Martha GOLODI</v>
          </cell>
        </row>
        <row r="237">
          <cell r="B237" t="str">
            <v>T378ECN</v>
          </cell>
          <cell r="C237" t="str">
            <v>T791ECG</v>
          </cell>
          <cell r="D237" t="str">
            <v>T314EBW</v>
          </cell>
          <cell r="E237" t="str">
            <v>JEREMIAHY SIMONE MWALUKO</v>
          </cell>
          <cell r="F237">
            <v>629513240</v>
          </cell>
          <cell r="G237">
            <v>40001864935</v>
          </cell>
          <cell r="H237" t="str">
            <v>TAE659254</v>
          </cell>
          <cell r="I237" t="str">
            <v>122-457-621</v>
          </cell>
          <cell r="J237" t="str">
            <v>LUSAJO KASUNGA</v>
          </cell>
        </row>
        <row r="238">
          <cell r="B238" t="str">
            <v>T340EBX</v>
          </cell>
          <cell r="C238" t="str">
            <v>T885EBY</v>
          </cell>
          <cell r="D238" t="str">
            <v> </v>
          </cell>
          <cell r="E238" t="str">
            <v>JITENGENI YAHYA MZEE</v>
          </cell>
          <cell r="F238">
            <v>789941155</v>
          </cell>
          <cell r="G238">
            <v>4001271657</v>
          </cell>
          <cell r="H238" t="str">
            <v>TAE644604</v>
          </cell>
          <cell r="I238" t="e">
            <v>#N/A</v>
          </cell>
          <cell r="J238" t="str">
            <v>IRENE SHIJA</v>
          </cell>
        </row>
        <row r="239">
          <cell r="B239" t="str">
            <v>T188EBX</v>
          </cell>
          <cell r="C239" t="str">
            <v>T591EBX</v>
          </cell>
          <cell r="D239" t="str">
            <v>T749EBV</v>
          </cell>
          <cell r="E239" t="str">
            <v>JOEL JONATHAN SHOO</v>
          </cell>
          <cell r="F239">
            <v>766258696</v>
          </cell>
          <cell r="G239">
            <v>4000081773</v>
          </cell>
          <cell r="H239" t="str">
            <v>TAE615259</v>
          </cell>
          <cell r="I239">
            <v>113843780</v>
          </cell>
          <cell r="J239" t="str">
            <v>Martha GOLODI</v>
          </cell>
        </row>
        <row r="240">
          <cell r="B240" t="str">
            <v>T235EBX</v>
          </cell>
          <cell r="C240" t="str">
            <v>T905EBY</v>
          </cell>
          <cell r="D240" t="str">
            <v> </v>
          </cell>
          <cell r="E240" t="str">
            <v>JOEL SAMSON MANDAGO</v>
          </cell>
          <cell r="F240">
            <v>684593630</v>
          </cell>
          <cell r="G240">
            <v>4001281879</v>
          </cell>
          <cell r="H240" t="str">
            <v>TAE302873</v>
          </cell>
          <cell r="I240"/>
          <cell r="J240" t="str">
            <v>Ayoub BENESTA</v>
          </cell>
        </row>
        <row r="241">
          <cell r="B241" t="str">
            <v>T574DEB</v>
          </cell>
          <cell r="C241" t="str">
            <v>T934DDJ</v>
          </cell>
          <cell r="D241" t="str">
            <v> </v>
          </cell>
          <cell r="E241" t="str">
            <v>JOHN PAUL MASANJA</v>
          </cell>
          <cell r="F241">
            <v>766770707</v>
          </cell>
          <cell r="G241">
            <v>4000450872</v>
          </cell>
          <cell r="H241" t="str">
            <v>TAE760619</v>
          </cell>
          <cell r="I241" t="e">
            <v>#N/A</v>
          </cell>
          <cell r="J241" t="str">
            <v>LUSAJO KASUNGA</v>
          </cell>
        </row>
        <row r="242">
          <cell r="B242" t="str">
            <v>T431DHG</v>
          </cell>
          <cell r="C242" t="str">
            <v>T904DHG</v>
          </cell>
          <cell r="D242" t="str">
            <v> </v>
          </cell>
          <cell r="E242" t="str">
            <v xml:space="preserve">JOHN TOTO RUFOMOKA </v>
          </cell>
          <cell r="F242"/>
          <cell r="G242"/>
          <cell r="H242"/>
          <cell r="I242"/>
          <cell r="J242" t="str">
            <v>Martha GOLODI</v>
          </cell>
        </row>
        <row r="243">
          <cell r="B243" t="str">
            <v>T578DTQ</v>
          </cell>
          <cell r="C243" t="str">
            <v>T822DTQ</v>
          </cell>
          <cell r="D243" t="str">
            <v> </v>
          </cell>
          <cell r="E243" t="str">
            <v xml:space="preserve">JOSEPH LAWRENCE MAHANO </v>
          </cell>
          <cell r="F243"/>
          <cell r="G243">
            <v>4001323107</v>
          </cell>
          <cell r="H243" t="str">
            <v>TAE431098</v>
          </cell>
          <cell r="I243" t="e">
            <v>#N/A</v>
          </cell>
          <cell r="J243" t="str">
            <v>IRENE SHIJA</v>
          </cell>
        </row>
        <row r="244">
          <cell r="B244" t="str">
            <v>T233EBX</v>
          </cell>
          <cell r="C244" t="str">
            <v>T922EBY</v>
          </cell>
          <cell r="D244" t="str">
            <v> </v>
          </cell>
          <cell r="E244" t="str">
            <v>JOSEPH PETRO JAMES</v>
          </cell>
          <cell r="F244"/>
          <cell r="G244">
            <v>4001981469</v>
          </cell>
          <cell r="H244" t="str">
            <v>TAE527953</v>
          </cell>
          <cell r="I244" t="str">
            <v>122-885-364</v>
          </cell>
          <cell r="J244" t="str">
            <v>Ayoub BENESTA</v>
          </cell>
        </row>
        <row r="245">
          <cell r="B245" t="str">
            <v>T750EBX</v>
          </cell>
          <cell r="C245" t="str">
            <v>T282EBZ</v>
          </cell>
          <cell r="D245" t="str">
            <v>T686EBV</v>
          </cell>
          <cell r="E245" t="str">
            <v>JOSEPH SEBASTIAN FULGENCE</v>
          </cell>
          <cell r="F245"/>
          <cell r="G245">
            <v>4001147732</v>
          </cell>
          <cell r="H245" t="str">
            <v>TAE753905</v>
          </cell>
          <cell r="I245">
            <v>119289718</v>
          </cell>
          <cell r="J245" t="str">
            <v>PLASDUS MAHUMBA</v>
          </cell>
        </row>
        <row r="246">
          <cell r="B246" t="str">
            <v>T508EBY</v>
          </cell>
          <cell r="C246" t="str">
            <v>T409EBW</v>
          </cell>
          <cell r="D246" t="str">
            <v>T653EBV</v>
          </cell>
          <cell r="E246" t="str">
            <v>JOSEPH WILLIAM NTANDU</v>
          </cell>
          <cell r="F246"/>
          <cell r="G246">
            <v>4000153195</v>
          </cell>
          <cell r="H246" t="str">
            <v>TAE802925</v>
          </cell>
          <cell r="I246">
            <v>113240318</v>
          </cell>
          <cell r="J246" t="str">
            <v>Ayoub BENESTA</v>
          </cell>
        </row>
        <row r="247">
          <cell r="B247" t="str">
            <v>T856EBY</v>
          </cell>
          <cell r="C247" t="str">
            <v>T436EBW</v>
          </cell>
          <cell r="D247" t="str">
            <v>T762EBV</v>
          </cell>
          <cell r="E247" t="str">
            <v>JOSEPH XZAVIER MPILUKA</v>
          </cell>
          <cell r="F247" t="str">
            <v>Driver No:</v>
          </cell>
          <cell r="G247">
            <v>4002334286</v>
          </cell>
          <cell r="H247" t="str">
            <v>TAE456109</v>
          </cell>
          <cell r="I247" t="e">
            <v>#N/A</v>
          </cell>
          <cell r="J247" t="str">
            <v>Martha GOLODI</v>
          </cell>
        </row>
        <row r="248">
          <cell r="B248" t="str">
            <v>T946EBW</v>
          </cell>
          <cell r="C248" t="str">
            <v>T473EBW</v>
          </cell>
          <cell r="D248" t="str">
            <v>T576EBV</v>
          </cell>
          <cell r="E248" t="str">
            <v>JOSEPHAT ALOYCE KAHEMELE</v>
          </cell>
          <cell r="F248">
            <v>687604985</v>
          </cell>
          <cell r="G248">
            <v>4000156846</v>
          </cell>
          <cell r="H248" t="str">
            <v>TAE545270</v>
          </cell>
          <cell r="I248" t="e">
            <v>#N/A</v>
          </cell>
          <cell r="J248" t="str">
            <v>SADI KIMWAGA</v>
          </cell>
        </row>
        <row r="249">
          <cell r="B249" t="str">
            <v>T401DHT</v>
          </cell>
          <cell r="C249" t="str">
            <v>T972DAC</v>
          </cell>
          <cell r="D249" t="str">
            <v> </v>
          </cell>
          <cell r="E249" t="str">
            <v>JOSEPHAT MARO KEBURE</v>
          </cell>
          <cell r="F249">
            <v>746383535</v>
          </cell>
          <cell r="G249">
            <v>4000797606</v>
          </cell>
          <cell r="H249" t="str">
            <v>TAE817004</v>
          </cell>
          <cell r="I249" t="str">
            <v>117-893-677</v>
          </cell>
          <cell r="J249" t="str">
            <v>Martha GOLODI</v>
          </cell>
        </row>
        <row r="250">
          <cell r="B250" t="str">
            <v>T592DTQ</v>
          </cell>
          <cell r="C250" t="str">
            <v>T997DTQ</v>
          </cell>
          <cell r="D250" t="str">
            <v> </v>
          </cell>
          <cell r="E250" t="str">
            <v>JOSEPHAT STANSLAUS SHAWA</v>
          </cell>
          <cell r="F250">
            <v>682800082</v>
          </cell>
          <cell r="G250">
            <v>4000194663</v>
          </cell>
          <cell r="H250" t="str">
            <v>TAE 486446</v>
          </cell>
          <cell r="I250" t="e">
            <v>#N/A</v>
          </cell>
          <cell r="J250" t="str">
            <v>IRENE SHIJA</v>
          </cell>
        </row>
        <row r="251">
          <cell r="B251" t="str">
            <v>T266EBX</v>
          </cell>
          <cell r="C251" t="str">
            <v>T902EBY</v>
          </cell>
          <cell r="D251" t="str">
            <v> </v>
          </cell>
          <cell r="E251" t="str">
            <v>JULIUS CHARLES MSANGA</v>
          </cell>
          <cell r="F251">
            <v>655330003</v>
          </cell>
          <cell r="G251">
            <v>4002681502</v>
          </cell>
          <cell r="H251" t="str">
            <v>TAE761802</v>
          </cell>
          <cell r="I251" t="str">
            <v>125-789-250</v>
          </cell>
          <cell r="J251" t="str">
            <v>Ayoub BENESTA</v>
          </cell>
        </row>
        <row r="252">
          <cell r="B252" t="str">
            <v>T683EBX</v>
          </cell>
          <cell r="C252" t="str">
            <v>T283EBZ</v>
          </cell>
          <cell r="D252" t="str">
            <v>T639EBV</v>
          </cell>
          <cell r="E252" t="str">
            <v>JUMA ALLY KONDO</v>
          </cell>
          <cell r="F252">
            <v>767067314</v>
          </cell>
          <cell r="G252">
            <v>4000278758</v>
          </cell>
          <cell r="H252" t="str">
            <v>TAE623208</v>
          </cell>
          <cell r="I252"/>
          <cell r="J252" t="str">
            <v>LUSAJO KASUNGA</v>
          </cell>
        </row>
        <row r="253">
          <cell r="B253" t="str">
            <v>T170EBX</v>
          </cell>
          <cell r="C253" t="str">
            <v>T599EBX</v>
          </cell>
          <cell r="D253"/>
          <cell r="E253" t="str">
            <v>JUMA ATHUMANI MTENGUKA</v>
          </cell>
          <cell r="F253">
            <v>697300142</v>
          </cell>
          <cell r="G253">
            <v>4001182435</v>
          </cell>
          <cell r="H253" t="str">
            <v>AB10086329</v>
          </cell>
          <cell r="I253">
            <v>119402905</v>
          </cell>
          <cell r="J253" t="str">
            <v>Ayoub BENESTA</v>
          </cell>
        </row>
        <row r="254">
          <cell r="B254" t="str">
            <v>T785EBW</v>
          </cell>
          <cell r="C254" t="str">
            <v>T348ECH</v>
          </cell>
          <cell r="D254" t="str">
            <v>T633EBV</v>
          </cell>
          <cell r="E254" t="str">
            <v>JUMA BAKARI SALEHE</v>
          </cell>
          <cell r="F254">
            <v>694515988</v>
          </cell>
          <cell r="G254">
            <v>4002809767</v>
          </cell>
          <cell r="H254" t="str">
            <v>TAE725030</v>
          </cell>
          <cell r="I254" t="str">
            <v>115-014-153</v>
          </cell>
          <cell r="J254" t="str">
            <v>Ayoub BENESTA</v>
          </cell>
        </row>
        <row r="255">
          <cell r="B255" t="str">
            <v>T719DYR</v>
          </cell>
          <cell r="C255" t="str">
            <v>T928DYT</v>
          </cell>
          <cell r="D255" t="str">
            <v> </v>
          </cell>
          <cell r="E255" t="str">
            <v>ABDALLAH MOHAMED ISSA</v>
          </cell>
          <cell r="F255">
            <v>682954240</v>
          </cell>
          <cell r="G255">
            <v>4000187848</v>
          </cell>
          <cell r="H255" t="str">
            <v>TAE684555</v>
          </cell>
          <cell r="I255" t="str">
            <v>110-112-432</v>
          </cell>
          <cell r="J255" t="str">
            <v>LUSAJO KASUNGA</v>
          </cell>
        </row>
        <row r="256">
          <cell r="B256" t="str">
            <v>T416DCT</v>
          </cell>
          <cell r="C256" t="str">
            <v>T448DDC</v>
          </cell>
          <cell r="D256" t="str">
            <v> </v>
          </cell>
          <cell r="E256" t="str">
            <v>JUMA JAFARI KASELE</v>
          </cell>
          <cell r="F256">
            <v>787333791</v>
          </cell>
          <cell r="G256">
            <v>4006320990</v>
          </cell>
          <cell r="H256" t="str">
            <v>TAE772984</v>
          </cell>
          <cell r="I256" t="e">
            <v>#N/A</v>
          </cell>
          <cell r="J256" t="str">
            <v>LUSAJO KASUNGA</v>
          </cell>
        </row>
        <row r="257">
          <cell r="B257" t="str">
            <v>T329ECN</v>
          </cell>
          <cell r="C257" t="str">
            <v>T837ECG</v>
          </cell>
          <cell r="D257" t="str">
            <v>T764EBV</v>
          </cell>
          <cell r="E257" t="str">
            <v>JUMA KOBA SAID</v>
          </cell>
          <cell r="F257">
            <v>658497928</v>
          </cell>
          <cell r="G257">
            <v>4001317098</v>
          </cell>
          <cell r="H257" t="str">
            <v>TAE653367</v>
          </cell>
          <cell r="I257" t="str">
            <v>120-026-526</v>
          </cell>
          <cell r="J257" t="str">
            <v>LUSAJO KASUNGA</v>
          </cell>
        </row>
        <row r="258">
          <cell r="B258" t="str">
            <v>T721DEB</v>
          </cell>
          <cell r="C258" t="str">
            <v>T742DEU</v>
          </cell>
          <cell r="D258" t="str">
            <v> </v>
          </cell>
          <cell r="E258" t="str">
            <v>JUMA MOHAMED MKALI</v>
          </cell>
          <cell r="F258" t="str">
            <v>0764151971/0715151971</v>
          </cell>
          <cell r="G258">
            <v>4000126801</v>
          </cell>
          <cell r="H258" t="str">
            <v>AB00032971</v>
          </cell>
          <cell r="I258" t="str">
            <v>123-212-045</v>
          </cell>
          <cell r="J258" t="str">
            <v>PLASDUS MAHUMBA</v>
          </cell>
        </row>
        <row r="259">
          <cell r="B259" t="str">
            <v>T584DYR</v>
          </cell>
          <cell r="C259" t="str">
            <v>T954DYT</v>
          </cell>
          <cell r="D259" t="str">
            <v> </v>
          </cell>
          <cell r="E259" t="str">
            <v>JUMA MSHANGANI NASSOR</v>
          </cell>
          <cell r="F259">
            <v>683152877</v>
          </cell>
          <cell r="G259">
            <v>4000069800</v>
          </cell>
          <cell r="H259" t="str">
            <v>TAE517655</v>
          </cell>
          <cell r="I259" t="str">
            <v>112-096-671</v>
          </cell>
          <cell r="J259" t="str">
            <v>Ayoub BENESTA</v>
          </cell>
        </row>
        <row r="260">
          <cell r="B260" t="str">
            <v>T774DYR</v>
          </cell>
          <cell r="C260" t="str">
            <v>T175DCZ</v>
          </cell>
          <cell r="D260" t="str">
            <v> </v>
          </cell>
          <cell r="E260" t="str">
            <v>JUMA RAJABU LISU</v>
          </cell>
          <cell r="F260">
            <v>715851550</v>
          </cell>
          <cell r="G260">
            <v>4003143775</v>
          </cell>
          <cell r="H260" t="str">
            <v>TAE726111</v>
          </cell>
          <cell r="I260"/>
          <cell r="J260" t="str">
            <v>LUSAJO KASUNGA</v>
          </cell>
        </row>
        <row r="261">
          <cell r="B261" t="str">
            <v>T882EBW</v>
          </cell>
          <cell r="C261" t="str">
            <v>T414EBW</v>
          </cell>
          <cell r="D261" t="str">
            <v>T647EBV</v>
          </cell>
          <cell r="E261" t="str">
            <v>JUMA SHUKURU JUMA</v>
          </cell>
          <cell r="F261">
            <v>758030391</v>
          </cell>
          <cell r="G261">
            <v>4000725577</v>
          </cell>
          <cell r="H261" t="str">
            <v>TAE676056</v>
          </cell>
          <cell r="I261" t="str">
            <v>158-636-271</v>
          </cell>
          <cell r="J261" t="str">
            <v>SADI KIMWAGA</v>
          </cell>
        </row>
        <row r="262">
          <cell r="B262" t="str">
            <v>T259EBY</v>
          </cell>
          <cell r="C262" t="str">
            <v>T913EBY</v>
          </cell>
          <cell r="D262" t="str">
            <v> </v>
          </cell>
          <cell r="E262" t="str">
            <v>JUMANNE ALLY MUHINA</v>
          </cell>
          <cell r="F262" t="str">
            <v>0789292424/0655272622</v>
          </cell>
          <cell r="G262">
            <v>4000399103</v>
          </cell>
          <cell r="H262" t="str">
            <v>TAE579815</v>
          </cell>
          <cell r="I262" t="str">
            <v>101-022-153</v>
          </cell>
          <cell r="J262" t="str">
            <v>PLASDUS MAHUMBA</v>
          </cell>
        </row>
        <row r="263">
          <cell r="B263" t="str">
            <v>T402ECN</v>
          </cell>
          <cell r="C263" t="str">
            <v>T807ECG</v>
          </cell>
          <cell r="D263" t="str">
            <v>T513EBV</v>
          </cell>
          <cell r="E263" t="str">
            <v>JUMANNE ALLY NJECHELE</v>
          </cell>
          <cell r="F263">
            <v>683989092</v>
          </cell>
          <cell r="G263">
            <v>4000102552</v>
          </cell>
          <cell r="H263" t="str">
            <v>TAE713569</v>
          </cell>
          <cell r="I263">
            <v>112578056</v>
          </cell>
          <cell r="J263" t="str">
            <v>Martha GOLODI</v>
          </cell>
        </row>
        <row r="264">
          <cell r="B264" t="str">
            <v>T338DHG</v>
          </cell>
          <cell r="C264" t="str">
            <v>T863DHG</v>
          </cell>
          <cell r="D264" t="str">
            <v> </v>
          </cell>
          <cell r="E264" t="str">
            <v>JUNUS ABDALLAH MUHANGO</v>
          </cell>
          <cell r="F264">
            <v>753320656</v>
          </cell>
          <cell r="G264">
            <v>4000171281</v>
          </cell>
          <cell r="H264" t="str">
            <v>TAE399528</v>
          </cell>
          <cell r="I264" t="str">
            <v>113-457-155</v>
          </cell>
          <cell r="J264" t="str">
            <v>Martha GOLODI</v>
          </cell>
        </row>
        <row r="265">
          <cell r="B265" t="str">
            <v>T166EBX</v>
          </cell>
          <cell r="C265" t="str">
            <v>T592EBX</v>
          </cell>
          <cell r="D265" t="str">
            <v>T645EBV</v>
          </cell>
          <cell r="E265" t="str">
            <v>KASSIM ABDALLAH GONZA</v>
          </cell>
          <cell r="F265">
            <v>712585854</v>
          </cell>
          <cell r="G265">
            <v>40020551908</v>
          </cell>
          <cell r="H265" t="str">
            <v>AB10157812</v>
          </cell>
          <cell r="I265">
            <v>123212045</v>
          </cell>
          <cell r="J265" t="str">
            <v>Ayoub BENESTA</v>
          </cell>
        </row>
        <row r="266">
          <cell r="B266" t="str">
            <v>T583DTQ</v>
          </cell>
          <cell r="C266" t="str">
            <v>T768DTQ</v>
          </cell>
          <cell r="D266" t="str">
            <v> </v>
          </cell>
          <cell r="E266" t="str">
            <v>KASSIM ATHUMAN RASHID</v>
          </cell>
          <cell r="F266">
            <v>787181227</v>
          </cell>
          <cell r="G266">
            <v>4000433545</v>
          </cell>
          <cell r="H266" t="str">
            <v>AB10122528</v>
          </cell>
          <cell r="I266">
            <v>116307774</v>
          </cell>
          <cell r="J266" t="str">
            <v>SADI KIMWAGA</v>
          </cell>
        </row>
        <row r="267">
          <cell r="B267" t="str">
            <v>T732EBX</v>
          </cell>
          <cell r="C267" t="str">
            <v>T228EBZ</v>
          </cell>
          <cell r="D267" t="str">
            <v>T307EBW</v>
          </cell>
          <cell r="E267" t="str">
            <v>KELNALDO MATHIS JUMA</v>
          </cell>
          <cell r="F267">
            <v>785503392</v>
          </cell>
          <cell r="G267">
            <v>4001122959</v>
          </cell>
          <cell r="H267" t="str">
            <v>TAE286758</v>
          </cell>
          <cell r="I267" t="e">
            <v>#N/A</v>
          </cell>
          <cell r="J267" t="str">
            <v>PLASDUS MAHUMBA</v>
          </cell>
        </row>
        <row r="268">
          <cell r="B268" t="str">
            <v>T517EBY</v>
          </cell>
          <cell r="C268" t="str">
            <v>T434EBW</v>
          </cell>
          <cell r="D268" t="str">
            <v>T944EBV</v>
          </cell>
          <cell r="E268" t="str">
            <v>KELVIN JOSEPH MWAMI</v>
          </cell>
          <cell r="F268">
            <v>682131462</v>
          </cell>
          <cell r="G268">
            <v>4005181832</v>
          </cell>
          <cell r="H268" t="str">
            <v>TAE673912</v>
          </cell>
          <cell r="I268">
            <v>136985450</v>
          </cell>
          <cell r="J268" t="str">
            <v>Ayoub BENESTA</v>
          </cell>
        </row>
        <row r="269">
          <cell r="B269" t="str">
            <v>T876EBW</v>
          </cell>
          <cell r="C269" t="str">
            <v>T423EBW</v>
          </cell>
          <cell r="D269" t="str">
            <v>T119EBW</v>
          </cell>
          <cell r="E269" t="str">
            <v>KHALFANI EMMANUEL MUHIGI</v>
          </cell>
          <cell r="F269" t="str">
            <v>747233815/716041975</v>
          </cell>
          <cell r="G269">
            <v>4002047589</v>
          </cell>
          <cell r="H269" t="str">
            <v>AB10084073</v>
          </cell>
          <cell r="I269" t="e">
            <v>#N/A</v>
          </cell>
          <cell r="J269" t="str">
            <v>Martha GOLODI</v>
          </cell>
        </row>
        <row r="270">
          <cell r="B270" t="str">
            <v>T724DYR</v>
          </cell>
          <cell r="C270" t="str">
            <v>T923DYT</v>
          </cell>
          <cell r="D270" t="str">
            <v> </v>
          </cell>
          <cell r="E270" t="str">
            <v>KHALIDY MOHAMEDY KIDOMO</v>
          </cell>
          <cell r="F270">
            <v>785971021</v>
          </cell>
          <cell r="G270">
            <v>4000054287</v>
          </cell>
          <cell r="H270" t="str">
            <v>TAE700050</v>
          </cell>
          <cell r="I270" t="e">
            <v>#N/A</v>
          </cell>
          <cell r="J270" t="str">
            <v>IRENE SHIJA</v>
          </cell>
        </row>
        <row r="271">
          <cell r="B271" t="str">
            <v>T746DEB</v>
          </cell>
          <cell r="C271" t="str">
            <v>T916DDJ</v>
          </cell>
          <cell r="D271" t="str">
            <v> </v>
          </cell>
          <cell r="E271" t="str">
            <v>KHERI HASSAN MILANZI</v>
          </cell>
          <cell r="F271">
            <v>624265371</v>
          </cell>
          <cell r="G271">
            <v>4003229859</v>
          </cell>
          <cell r="H271" t="str">
            <v>TAE652121</v>
          </cell>
          <cell r="I271" t="str">
            <v>128-127-178</v>
          </cell>
          <cell r="J271" t="str">
            <v>LUSAJO KASUNGA</v>
          </cell>
        </row>
        <row r="272">
          <cell r="B272" t="str">
            <v>T821DDS</v>
          </cell>
          <cell r="C272" t="str">
            <v>T388DEH</v>
          </cell>
          <cell r="D272" t="str">
            <v> </v>
          </cell>
          <cell r="E272" t="str">
            <v>KISELEKE YUSUPH KIPONZA</v>
          </cell>
          <cell r="F272">
            <v>655718845</v>
          </cell>
          <cell r="G272">
            <v>4001648757</v>
          </cell>
          <cell r="H272" t="str">
            <v>TAE606480</v>
          </cell>
          <cell r="I272"/>
          <cell r="J272" t="str">
            <v>Ayoub BENESTA</v>
          </cell>
        </row>
        <row r="273">
          <cell r="B273" t="str">
            <v>T267DDJ</v>
          </cell>
          <cell r="C273" t="str">
            <v>T489DEJ</v>
          </cell>
          <cell r="D273"/>
          <cell r="E273" t="str">
            <v>KITENGU HAMISI KITENGU</v>
          </cell>
          <cell r="F273" t="str">
            <v>0759711588/0621711588</v>
          </cell>
          <cell r="G273">
            <v>4006956977</v>
          </cell>
          <cell r="H273" t="str">
            <v>TAE795396</v>
          </cell>
          <cell r="I273"/>
          <cell r="J273" t="str">
            <v>Martha GOLODI</v>
          </cell>
        </row>
        <row r="274">
          <cell r="B274" t="str">
            <v>T689DEB</v>
          </cell>
          <cell r="C274" t="str">
            <v>T740DEU</v>
          </cell>
          <cell r="D274" t="str">
            <v> </v>
          </cell>
          <cell r="E274" t="str">
            <v>KITUNDA HUSSEIN KUDEBA</v>
          </cell>
          <cell r="F274">
            <v>693351572</v>
          </cell>
          <cell r="G274">
            <v>4002581677</v>
          </cell>
          <cell r="H274" t="str">
            <v>TAE411849</v>
          </cell>
          <cell r="I274" t="e">
            <v>#N/A</v>
          </cell>
          <cell r="J274" t="str">
            <v>PLASDUS MAHUMBA</v>
          </cell>
        </row>
        <row r="275">
          <cell r="B275" t="str">
            <v>T810EBW</v>
          </cell>
          <cell r="C275" t="str">
            <v>T344ECH</v>
          </cell>
          <cell r="D275" t="str">
            <v>T629EBV</v>
          </cell>
          <cell r="E275" t="str">
            <v>KULWA HAMISI MAKOO</v>
          </cell>
          <cell r="F275">
            <v>743838808</v>
          </cell>
          <cell r="G275">
            <v>4002894093</v>
          </cell>
          <cell r="H275" t="str">
            <v>TAE654437</v>
          </cell>
          <cell r="I275" t="e">
            <v>#N/A</v>
          </cell>
          <cell r="J275" t="str">
            <v>SADI KIMWAGA</v>
          </cell>
        </row>
        <row r="276">
          <cell r="B276" t="str">
            <v>T346EBX</v>
          </cell>
          <cell r="C276" t="str">
            <v>T880EBY</v>
          </cell>
          <cell r="D276" t="str">
            <v> </v>
          </cell>
          <cell r="E276" t="str">
            <v>LAIZER DOMINIKUS MANDIKE</v>
          </cell>
          <cell r="F276">
            <v>746224159</v>
          </cell>
          <cell r="G276">
            <v>4004776379</v>
          </cell>
          <cell r="H276" t="str">
            <v>TAE603129</v>
          </cell>
          <cell r="I276" t="e">
            <v>#N/A</v>
          </cell>
          <cell r="J276" t="str">
            <v>LUSAJO KASUNGA</v>
          </cell>
        </row>
        <row r="277">
          <cell r="B277" t="str">
            <v>T492DYR</v>
          </cell>
          <cell r="C277" t="str">
            <v>T812DYT</v>
          </cell>
          <cell r="D277" t="str">
            <v> </v>
          </cell>
          <cell r="E277" t="str">
            <v>LAMECK CHARLES ROMAN</v>
          </cell>
          <cell r="F277">
            <v>767271586</v>
          </cell>
          <cell r="G277">
            <v>4001361713</v>
          </cell>
          <cell r="H277" t="str">
            <v>TAE199304</v>
          </cell>
          <cell r="I277" t="str">
            <v>120-116-983</v>
          </cell>
          <cell r="J277" t="str">
            <v>Martha GOLODI</v>
          </cell>
        </row>
        <row r="278">
          <cell r="B278" t="str">
            <v>T796DYR</v>
          </cell>
          <cell r="C278" t="str">
            <v>T816DYT</v>
          </cell>
          <cell r="D278" t="str">
            <v> </v>
          </cell>
          <cell r="E278" t="str">
            <v>LEONIDAS KALUMUNA KAGENYI</v>
          </cell>
          <cell r="F278">
            <v>754682812</v>
          </cell>
          <cell r="G278">
            <v>4000188771</v>
          </cell>
          <cell r="H278" t="str">
            <v>TAE319275</v>
          </cell>
          <cell r="I278"/>
          <cell r="J278" t="str">
            <v>LUSAJO KASUNGA</v>
          </cell>
        </row>
        <row r="279">
          <cell r="B279" t="str">
            <v>T287DDJ</v>
          </cell>
          <cell r="C279" t="str">
            <v>T366DBH</v>
          </cell>
          <cell r="D279" t="str">
            <v> </v>
          </cell>
          <cell r="E279" t="str">
            <v>LOCAL</v>
          </cell>
          <cell r="F279"/>
          <cell r="G279"/>
          <cell r="H279"/>
          <cell r="I279"/>
          <cell r="J279" t="str">
            <v>PLASDUS MAHUMBA</v>
          </cell>
        </row>
        <row r="280">
          <cell r="B280" t="str">
            <v>T420DHG</v>
          </cell>
          <cell r="C280" t="str">
            <v>T918DHG</v>
          </cell>
          <cell r="D280" t="str">
            <v> </v>
          </cell>
          <cell r="E280" t="str">
            <v>LOCAL</v>
          </cell>
          <cell r="F280"/>
          <cell r="G280"/>
          <cell r="H280"/>
          <cell r="I280"/>
          <cell r="J280" t="str">
            <v>Ayoub BENESTA</v>
          </cell>
        </row>
        <row r="281">
          <cell r="B281" t="str">
            <v>T690DHL</v>
          </cell>
          <cell r="C281" t="str">
            <v>T880DHG</v>
          </cell>
          <cell r="D281" t="str">
            <v> </v>
          </cell>
          <cell r="E281" t="str">
            <v>LOCAL</v>
          </cell>
          <cell r="F281"/>
          <cell r="G281">
            <v>4001361713</v>
          </cell>
          <cell r="H281"/>
          <cell r="I281" t="e">
            <v>#N/A</v>
          </cell>
          <cell r="J281" t="str">
            <v>PLASDUS MAHUMBA</v>
          </cell>
        </row>
        <row r="282">
          <cell r="B282" t="str">
            <v>T419DHG</v>
          </cell>
          <cell r="C282" t="str">
            <v>T497DDC</v>
          </cell>
          <cell r="D282" t="str">
            <v> </v>
          </cell>
          <cell r="E282" t="str">
            <v>LOCAL</v>
          </cell>
          <cell r="F282"/>
          <cell r="G282"/>
          <cell r="H282"/>
          <cell r="I282" t="str">
            <v>141-750-283</v>
          </cell>
          <cell r="J282" t="str">
            <v>PLASDUS MAHUMBA</v>
          </cell>
        </row>
        <row r="283">
          <cell r="B283" t="str">
            <v>T364DHG</v>
          </cell>
          <cell r="C283" t="str">
            <v>T939DDJ</v>
          </cell>
          <cell r="D283" t="str">
            <v> </v>
          </cell>
          <cell r="E283" t="str">
            <v>LOCAL</v>
          </cell>
          <cell r="F283"/>
          <cell r="G283"/>
          <cell r="H283"/>
          <cell r="I283"/>
          <cell r="J283" t="str">
            <v>Ayoub BENESTA</v>
          </cell>
        </row>
        <row r="284">
          <cell r="B284" t="str">
            <v>T957DSX</v>
          </cell>
          <cell r="C284" t="str">
            <v>T441DTD</v>
          </cell>
          <cell r="D284" t="str">
            <v> </v>
          </cell>
          <cell r="E284" t="str">
            <v>LUSEKELO JEREMIA MWAMBETE</v>
          </cell>
          <cell r="F284">
            <v>4002783083</v>
          </cell>
          <cell r="G284" t="str">
            <v>0625585518/0783502902</v>
          </cell>
          <cell r="H284" t="str">
            <v>TAE837507</v>
          </cell>
          <cell r="I284"/>
          <cell r="J284" t="str">
            <v>Martha GOLODI</v>
          </cell>
        </row>
        <row r="285">
          <cell r="B285" t="str">
            <v>T892EBW</v>
          </cell>
          <cell r="C285" t="str">
            <v>T433EBW</v>
          </cell>
          <cell r="D285" t="str">
            <v>T627EBV</v>
          </cell>
          <cell r="E285" t="str">
            <v>MADENGE SALUM SHOMARI</v>
          </cell>
          <cell r="F285" t="str">
            <v>719670601/787972942</v>
          </cell>
          <cell r="G285">
            <v>4001361713</v>
          </cell>
          <cell r="H285" t="str">
            <v>TAE054870</v>
          </cell>
          <cell r="I285">
            <v>113886099</v>
          </cell>
          <cell r="J285" t="str">
            <v>Martha GOLODI</v>
          </cell>
        </row>
        <row r="286">
          <cell r="B286" t="str">
            <v>T256EBX</v>
          </cell>
          <cell r="C286" t="str">
            <v>T542EBX</v>
          </cell>
          <cell r="D286" t="str">
            <v>T671EBV</v>
          </cell>
          <cell r="E286" t="str">
            <v>MAJUTO SHABANI HAMISI</v>
          </cell>
          <cell r="F286">
            <v>4000059044</v>
          </cell>
          <cell r="G286" t="str">
            <v>0716901140/0752674427</v>
          </cell>
          <cell r="H286" t="str">
            <v>TAE225878</v>
          </cell>
          <cell r="I286">
            <v>112243224</v>
          </cell>
          <cell r="J286" t="str">
            <v>PLASDUS MAHUMBA</v>
          </cell>
        </row>
        <row r="287">
          <cell r="B287" t="str">
            <v>T774EBW</v>
          </cell>
          <cell r="C287" t="str">
            <v>T814ECG</v>
          </cell>
          <cell r="D287" t="str">
            <v>T652EBV</v>
          </cell>
          <cell r="E287" t="str">
            <v>MAKERE GACHUMA MAKERE</v>
          </cell>
          <cell r="F287">
            <v>756858304</v>
          </cell>
          <cell r="G287">
            <v>4001361713</v>
          </cell>
          <cell r="H287" t="str">
            <v>TAE816216</v>
          </cell>
          <cell r="I287">
            <v>111992398</v>
          </cell>
          <cell r="J287" t="str">
            <v>Martha GOLODI</v>
          </cell>
        </row>
        <row r="288">
          <cell r="B288" t="str">
            <v>T748EBX</v>
          </cell>
          <cell r="C288" t="str">
            <v>T236EBZ</v>
          </cell>
          <cell r="D288" t="str">
            <v>T963EBV</v>
          </cell>
          <cell r="E288" t="str">
            <v>MANASE JOHSON YINDI</v>
          </cell>
          <cell r="F288">
            <v>782328848</v>
          </cell>
          <cell r="G288">
            <v>4001361713</v>
          </cell>
          <cell r="H288" t="str">
            <v>TAE477579</v>
          </cell>
          <cell r="I288" t="e">
            <v>#N/A</v>
          </cell>
          <cell r="J288" t="str">
            <v>PLASDUS MAHUMBA</v>
          </cell>
        </row>
        <row r="289">
          <cell r="B289" t="str">
            <v>T591DTQ</v>
          </cell>
          <cell r="C289" t="str">
            <v>T810DTQ</v>
          </cell>
          <cell r="D289" t="str">
            <v> </v>
          </cell>
          <cell r="E289" t="str">
            <v>MANDELA WILSON MANYILIZU</v>
          </cell>
          <cell r="F289">
            <v>758412928</v>
          </cell>
          <cell r="G289">
            <v>4002880690</v>
          </cell>
          <cell r="H289" t="str">
            <v>TAE684983</v>
          </cell>
          <cell r="I289">
            <v>0</v>
          </cell>
          <cell r="J289" t="str">
            <v>Ayoub BENESTA</v>
          </cell>
        </row>
        <row r="290">
          <cell r="B290" t="str">
            <v>T379ECN</v>
          </cell>
          <cell r="C290" t="str">
            <v>T806ECG</v>
          </cell>
          <cell r="D290" t="str">
            <v>T986EBV</v>
          </cell>
          <cell r="E290" t="str">
            <v>MANENO MOHAMED KAKIMA</v>
          </cell>
          <cell r="F290">
            <v>753443796</v>
          </cell>
          <cell r="G290">
            <v>4001442617</v>
          </cell>
          <cell r="H290" t="str">
            <v>TAE339937</v>
          </cell>
          <cell r="I290" t="str">
            <v>120-607-456</v>
          </cell>
          <cell r="J290" t="str">
            <v>PLASDUS MAHUMBA</v>
          </cell>
        </row>
        <row r="291">
          <cell r="B291" t="str">
            <v>T712EBX</v>
          </cell>
          <cell r="C291" t="str">
            <v>T284EBZ</v>
          </cell>
          <cell r="D291" t="str">
            <v>T752EBV</v>
          </cell>
          <cell r="E291" t="str">
            <v>MANSOUR MWALIMU MZALLA</v>
          </cell>
          <cell r="F291">
            <v>754345411</v>
          </cell>
          <cell r="G291">
            <v>4000220796</v>
          </cell>
          <cell r="H291" t="str">
            <v>TAE669307</v>
          </cell>
          <cell r="I291" t="str">
            <v>128-932-682</v>
          </cell>
          <cell r="J291" t="str">
            <v>LUSAJO KASUNGA</v>
          </cell>
        </row>
        <row r="292">
          <cell r="B292" t="str">
            <v>T799DYR</v>
          </cell>
          <cell r="C292" t="str">
            <v>T930DYT</v>
          </cell>
          <cell r="D292" t="str">
            <v> </v>
          </cell>
          <cell r="E292" t="str">
            <v>MAPESA RAJABU NTULINONGWA</v>
          </cell>
          <cell r="F292">
            <v>786410115</v>
          </cell>
          <cell r="G292">
            <v>4001227968</v>
          </cell>
          <cell r="H292" t="str">
            <v>TAE746059</v>
          </cell>
          <cell r="I292" t="str">
            <v>119-607-582</v>
          </cell>
          <cell r="J292" t="str">
            <v>Ayoub BENESTA</v>
          </cell>
        </row>
        <row r="293">
          <cell r="B293" t="str">
            <v>T927EBW</v>
          </cell>
          <cell r="C293" t="str">
            <v>T405EBW</v>
          </cell>
          <cell r="D293" t="str">
            <v>T136EBW</v>
          </cell>
          <cell r="E293" t="str">
            <v>MARCUS AUGUSTIN MBEYA</v>
          </cell>
          <cell r="F293">
            <v>655752076</v>
          </cell>
          <cell r="G293">
            <v>4002559784</v>
          </cell>
          <cell r="H293" t="str">
            <v>TAE415658</v>
          </cell>
          <cell r="I293"/>
          <cell r="J293" t="str">
            <v>SADI KIMWAGA</v>
          </cell>
        </row>
        <row r="294">
          <cell r="B294" t="str">
            <v>T434DHG</v>
          </cell>
          <cell r="C294" t="str">
            <v>T912DHG</v>
          </cell>
          <cell r="D294" t="str">
            <v> </v>
          </cell>
          <cell r="E294" t="str">
            <v>MARTIN ANTHONI SANGA</v>
          </cell>
          <cell r="F294">
            <v>685181719</v>
          </cell>
          <cell r="G294">
            <v>4005735084</v>
          </cell>
          <cell r="H294" t="str">
            <v>AB1296804</v>
          </cell>
          <cell r="I294" t="str">
            <v>139-673-638</v>
          </cell>
          <cell r="J294" t="str">
            <v>IRENE SHIJA</v>
          </cell>
        </row>
        <row r="295">
          <cell r="B295" t="str">
            <v>T396ECN</v>
          </cell>
          <cell r="C295" t="str">
            <v>T828ECG</v>
          </cell>
          <cell r="D295" t="str">
            <v>T152EBW</v>
          </cell>
          <cell r="E295" t="str">
            <v>MARTIN KYEJO MARTIN</v>
          </cell>
          <cell r="F295" t="str">
            <v>718196444/688788707</v>
          </cell>
          <cell r="G295">
            <v>4000917515</v>
          </cell>
          <cell r="H295" t="str">
            <v>TAE687093</v>
          </cell>
          <cell r="I295">
            <v>118404173</v>
          </cell>
          <cell r="J295" t="str">
            <v>Ayoub BENESTA</v>
          </cell>
        </row>
        <row r="296">
          <cell r="B296" t="str">
            <v>T437DHG</v>
          </cell>
          <cell r="C296" t="str">
            <v>T344DHS</v>
          </cell>
          <cell r="D296" t="str">
            <v> </v>
          </cell>
          <cell r="E296" t="str">
            <v>MARTIN PAUL MPINGA</v>
          </cell>
          <cell r="F296">
            <v>685893600</v>
          </cell>
          <cell r="G296">
            <v>4002615695</v>
          </cell>
          <cell r="H296" t="str">
            <v>AB10065443</v>
          </cell>
          <cell r="I296" t="e">
            <v>#N/A</v>
          </cell>
          <cell r="J296" t="str">
            <v>LUSAJO KASUNGA</v>
          </cell>
        </row>
        <row r="297">
          <cell r="B297" t="str">
            <v>T328EBY</v>
          </cell>
          <cell r="C297" t="str">
            <v>T606EBX</v>
          </cell>
          <cell r="D297" t="str">
            <v>T680EBV</v>
          </cell>
          <cell r="E297" t="str">
            <v>MASHAKA HARUNA MDAKI</v>
          </cell>
          <cell r="F297">
            <v>652889088</v>
          </cell>
          <cell r="G297">
            <v>4000335540</v>
          </cell>
          <cell r="H297" t="str">
            <v>TAE691638</v>
          </cell>
          <cell r="I297" t="str">
            <v>115-379-410</v>
          </cell>
          <cell r="J297" t="str">
            <v>SADI KIMWAGA</v>
          </cell>
        </row>
        <row r="298">
          <cell r="B298" t="str">
            <v>T411ECN</v>
          </cell>
          <cell r="C298" t="str">
            <v>T793ECG</v>
          </cell>
          <cell r="D298" t="str">
            <v>T336EBW</v>
          </cell>
          <cell r="E298" t="str">
            <v>MASOUDI SAIDY MUHALI</v>
          </cell>
          <cell r="F298">
            <v>787790210</v>
          </cell>
          <cell r="G298">
            <v>4001075727</v>
          </cell>
          <cell r="H298" t="str">
            <v>TAE354143</v>
          </cell>
          <cell r="I298" t="e">
            <v>#N/A</v>
          </cell>
          <cell r="J298" t="str">
            <v>SADI KIMWAGA</v>
          </cell>
        </row>
        <row r="299">
          <cell r="B299" t="str">
            <v>T383ECN</v>
          </cell>
          <cell r="C299" t="str">
            <v>T797ECG</v>
          </cell>
          <cell r="D299" t="str">
            <v>T955EBV</v>
          </cell>
          <cell r="E299" t="str">
            <v>MATHIAS DEOGRATUS LYIMO</v>
          </cell>
          <cell r="F299">
            <v>762187251</v>
          </cell>
          <cell r="G299">
            <v>4000352760</v>
          </cell>
          <cell r="H299" t="str">
            <v>TAE200514</v>
          </cell>
          <cell r="I299">
            <v>115558161</v>
          </cell>
          <cell r="J299" t="str">
            <v>Ayoub BENESTA</v>
          </cell>
        </row>
        <row r="300">
          <cell r="B300" t="str">
            <v>T586DYR</v>
          </cell>
          <cell r="C300" t="str">
            <v>T919DYT</v>
          </cell>
          <cell r="D300" t="str">
            <v> </v>
          </cell>
          <cell r="E300" t="str">
            <v>MATHIAS ISDORY MGOMBE</v>
          </cell>
          <cell r="F300">
            <v>755342938</v>
          </cell>
          <cell r="G300">
            <v>4000023802</v>
          </cell>
          <cell r="H300" t="str">
            <v>TAE410866</v>
          </cell>
          <cell r="I300">
            <v>111297576</v>
          </cell>
          <cell r="J300" t="str">
            <v>LUSAJO KASUNGA</v>
          </cell>
        </row>
        <row r="301">
          <cell r="B301" t="str">
            <v>T410DHE</v>
          </cell>
          <cell r="C301" t="str">
            <v>T864DEV</v>
          </cell>
          <cell r="D301" t="str">
            <v> </v>
          </cell>
          <cell r="E301" t="str">
            <v>MEDALD JACKSON MEDALD</v>
          </cell>
          <cell r="F301" t="str">
            <v>u</v>
          </cell>
          <cell r="G301">
            <v>4006479708</v>
          </cell>
          <cell r="H301" t="str">
            <v>AB10084130</v>
          </cell>
          <cell r="I301" t="str">
            <v>151-700-101</v>
          </cell>
          <cell r="J301" t="str">
            <v>SADI KIMWAGA</v>
          </cell>
        </row>
        <row r="302">
          <cell r="B302" t="str">
            <v>T977EBW</v>
          </cell>
          <cell r="C302" t="str">
            <v>T482EBW</v>
          </cell>
          <cell r="D302" t="str">
            <v>T525EBV</v>
          </cell>
          <cell r="E302" t="str">
            <v>MELKIZEDEKI BEATUS DUMA</v>
          </cell>
          <cell r="F302">
            <v>696909881</v>
          </cell>
          <cell r="G302">
            <v>4000198728</v>
          </cell>
          <cell r="H302" t="str">
            <v>TAE182517</v>
          </cell>
          <cell r="I302" t="str">
            <v>113-838-809</v>
          </cell>
          <cell r="J302" t="str">
            <v>SADI KIMWAGA</v>
          </cell>
        </row>
        <row r="303">
          <cell r="B303" t="str">
            <v>T735DYR</v>
          </cell>
          <cell r="C303" t="str">
            <v>T814DYT</v>
          </cell>
          <cell r="D303" t="str">
            <v> </v>
          </cell>
          <cell r="E303" t="str">
            <v>MESKO MASOUD MALEKELA</v>
          </cell>
          <cell r="F303">
            <v>765674543</v>
          </cell>
          <cell r="G303">
            <v>4000210193</v>
          </cell>
          <cell r="H303" t="str">
            <v>TAE876742</v>
          </cell>
          <cell r="I303">
            <v>113977868</v>
          </cell>
          <cell r="J303" t="str">
            <v>Ayoub BENESTA</v>
          </cell>
        </row>
        <row r="304">
          <cell r="B304" t="str">
            <v>T401ECN</v>
          </cell>
          <cell r="C304" t="str">
            <v>T798ECG</v>
          </cell>
          <cell r="D304" t="str">
            <v>T670EBV</v>
          </cell>
          <cell r="E304" t="str">
            <v>METHOD JAMES LWENA</v>
          </cell>
          <cell r="F304" t="str">
            <v>0787807092/0754807092</v>
          </cell>
          <cell r="G304">
            <v>4000027290</v>
          </cell>
          <cell r="H304" t="str">
            <v>TAE368936</v>
          </cell>
          <cell r="I304" t="e">
            <v>#N/A</v>
          </cell>
          <cell r="J304" t="str">
            <v>IRENE SHIJA</v>
          </cell>
        </row>
        <row r="305">
          <cell r="B305" t="str">
            <v>T951DSX</v>
          </cell>
          <cell r="C305" t="str">
            <v>T435DTD</v>
          </cell>
          <cell r="D305" t="str">
            <v> </v>
          </cell>
          <cell r="E305" t="str">
            <v>METHODY LEO GOBANYA</v>
          </cell>
          <cell r="F305">
            <v>768552800</v>
          </cell>
          <cell r="G305">
            <v>4005298009</v>
          </cell>
          <cell r="H305" t="str">
            <v>TAE747393</v>
          </cell>
          <cell r="I305" t="e">
            <v>#N/A</v>
          </cell>
          <cell r="J305" t="str">
            <v>LUSAJO KASUNGA</v>
          </cell>
        </row>
        <row r="306">
          <cell r="B306" t="str">
            <v>T526EBY</v>
          </cell>
          <cell r="C306" t="str">
            <v>T425EBW</v>
          </cell>
          <cell r="D306" t="str">
            <v>T142EBW</v>
          </cell>
          <cell r="E306" t="str">
            <v>MFAUME SALUM LWAUPA</v>
          </cell>
          <cell r="F306">
            <v>752453082</v>
          </cell>
          <cell r="G306">
            <v>4000107938</v>
          </cell>
          <cell r="H306" t="str">
            <v>TAE049656</v>
          </cell>
          <cell r="I306">
            <v>112681442</v>
          </cell>
          <cell r="J306" t="str">
            <v>SADI KIMWAGA</v>
          </cell>
        </row>
        <row r="307">
          <cell r="B307" t="str">
            <v>T579DTQ</v>
          </cell>
          <cell r="C307" t="str">
            <v>T776DTQ</v>
          </cell>
          <cell r="D307" t="str">
            <v> </v>
          </cell>
          <cell r="E307" t="str">
            <v>MICHAEL BONIVENTURA SHANGO</v>
          </cell>
          <cell r="F307">
            <v>685010460</v>
          </cell>
          <cell r="G307">
            <v>4000403703</v>
          </cell>
          <cell r="H307" t="str">
            <v>TAE684796</v>
          </cell>
          <cell r="I307"/>
          <cell r="J307" t="str">
            <v>Ayoub BENESTA</v>
          </cell>
        </row>
        <row r="308">
          <cell r="B308" t="str">
            <v>T267EBX</v>
          </cell>
          <cell r="C308" t="str">
            <v>T562EBX</v>
          </cell>
          <cell r="D308" t="str">
            <v>T519EBV</v>
          </cell>
          <cell r="E308" t="str">
            <v>MICHAEL PAUL SEMBUYAGI</v>
          </cell>
          <cell r="F308">
            <v>714849667</v>
          </cell>
          <cell r="G308">
            <v>4000006031</v>
          </cell>
          <cell r="H308" t="str">
            <v>TAE676091</v>
          </cell>
          <cell r="I308" t="e">
            <v>#N/A</v>
          </cell>
          <cell r="J308" t="str">
            <v>Martha GOLODI</v>
          </cell>
        </row>
        <row r="309">
          <cell r="B309" t="str">
            <v>T596DTQ</v>
          </cell>
          <cell r="C309" t="str">
            <v>T798DTQ</v>
          </cell>
          <cell r="D309" t="str">
            <v> </v>
          </cell>
          <cell r="E309" t="str">
            <v>MICHAEL PETER MKINGA</v>
          </cell>
          <cell r="F309">
            <v>677777697</v>
          </cell>
          <cell r="G309">
            <v>4001182483</v>
          </cell>
          <cell r="H309" t="str">
            <v>TAE663895</v>
          </cell>
          <cell r="I309" t="e">
            <v>#N/A</v>
          </cell>
          <cell r="J309" t="str">
            <v>IRENE SHIJA</v>
          </cell>
        </row>
        <row r="310">
          <cell r="B310" t="str">
            <v>T600DTQ</v>
          </cell>
          <cell r="C310" t="str">
            <v>T805DTQ</v>
          </cell>
          <cell r="D310" t="str">
            <v> </v>
          </cell>
          <cell r="E310" t="str">
            <v>MIKIDADI RASHIDI MGEZA</v>
          </cell>
          <cell r="F310">
            <v>753496770</v>
          </cell>
          <cell r="G310">
            <v>4000441861</v>
          </cell>
          <cell r="H310" t="str">
            <v>TAE631285</v>
          </cell>
          <cell r="I310" t="e">
            <v>#N/A</v>
          </cell>
          <cell r="J310" t="str">
            <v>SADI KIMWAGA</v>
          </cell>
        </row>
        <row r="311">
          <cell r="B311" t="str">
            <v>T589DYR</v>
          </cell>
          <cell r="C311" t="str">
            <v>T831DYT</v>
          </cell>
          <cell r="D311" t="str">
            <v> </v>
          </cell>
          <cell r="E311" t="str">
            <v>MISTWAHI AMRI SAID</v>
          </cell>
          <cell r="F311">
            <v>784781815</v>
          </cell>
          <cell r="G311">
            <v>4000025809</v>
          </cell>
          <cell r="H311" t="str">
            <v>TAE576824</v>
          </cell>
          <cell r="I311" t="str">
            <v>111-211-329</v>
          </cell>
          <cell r="J311" t="str">
            <v>Martha GOLODI</v>
          </cell>
        </row>
        <row r="312">
          <cell r="B312" t="str">
            <v>T595DTQ</v>
          </cell>
          <cell r="C312" t="str">
            <v>T440DTD</v>
          </cell>
          <cell r="D312" t="str">
            <v> </v>
          </cell>
          <cell r="E312" t="str">
            <v>MNAWARU AHMADA BYEMPISI</v>
          </cell>
          <cell r="F312">
            <v>765995311</v>
          </cell>
          <cell r="G312">
            <v>4000138740</v>
          </cell>
          <cell r="H312" t="str">
            <v>TAE703190</v>
          </cell>
          <cell r="I312"/>
          <cell r="J312" t="str">
            <v>Ayoub BENESTA</v>
          </cell>
        </row>
        <row r="313">
          <cell r="B313" t="str">
            <v>T406DHG</v>
          </cell>
          <cell r="C313" t="str">
            <v>T975DHL</v>
          </cell>
          <cell r="D313" t="str">
            <v> </v>
          </cell>
          <cell r="E313" t="str">
            <v>MOHAMED BAKARI MSHIRAZI</v>
          </cell>
          <cell r="F313">
            <v>778615108</v>
          </cell>
          <cell r="G313">
            <v>4004504999</v>
          </cell>
          <cell r="H313" t="str">
            <v>TAE540265</v>
          </cell>
          <cell r="I313" t="str">
            <v>133-846-425</v>
          </cell>
          <cell r="J313" t="str">
            <v>Martha GOLODI</v>
          </cell>
        </row>
        <row r="314">
          <cell r="B314" t="str">
            <v>T767DYR</v>
          </cell>
          <cell r="C314" t="str">
            <v>T952DYT</v>
          </cell>
          <cell r="D314" t="str">
            <v> </v>
          </cell>
          <cell r="E314" t="str">
            <v>MOHAMED JUMA DANGA</v>
          </cell>
          <cell r="F314">
            <v>785825610</v>
          </cell>
          <cell r="G314">
            <v>4000684143</v>
          </cell>
          <cell r="H314" t="str">
            <v>TAE928770</v>
          </cell>
          <cell r="I314" t="str">
            <v>117-333-590</v>
          </cell>
          <cell r="J314" t="str">
            <v>PLASDUS MAHUMBA</v>
          </cell>
        </row>
        <row r="315">
          <cell r="B315" t="str">
            <v>T184EBX</v>
          </cell>
          <cell r="C315" t="str">
            <v>T590EBX</v>
          </cell>
          <cell r="D315" t="str">
            <v>T672EBV</v>
          </cell>
          <cell r="E315" t="str">
            <v>MOHAMED MAKANDA MUHOGO</v>
          </cell>
          <cell r="F315">
            <v>659202170</v>
          </cell>
          <cell r="G315">
            <v>4001990682</v>
          </cell>
          <cell r="H315" t="str">
            <v>TAE674007</v>
          </cell>
          <cell r="I315">
            <v>122904229</v>
          </cell>
          <cell r="J315" t="str">
            <v>Ayoub BENESTA</v>
          </cell>
        </row>
        <row r="316">
          <cell r="B316" t="str">
            <v>T419DHE</v>
          </cell>
          <cell r="C316" t="str">
            <v>T967DHL</v>
          </cell>
          <cell r="D316" t="str">
            <v> </v>
          </cell>
          <cell r="E316" t="str">
            <v>MOHAMED MASHAKA NGENZI</v>
          </cell>
          <cell r="F316">
            <v>655929066</v>
          </cell>
          <cell r="G316">
            <v>4000354068</v>
          </cell>
          <cell r="H316" t="str">
            <v>TAE545564</v>
          </cell>
          <cell r="I316" t="e">
            <v>#N/A</v>
          </cell>
          <cell r="J316" t="str">
            <v>LUSAJO KASUNGA</v>
          </cell>
        </row>
        <row r="317">
          <cell r="B317" t="str">
            <v>T329EBX</v>
          </cell>
          <cell r="C317" t="str">
            <v>T916EBY</v>
          </cell>
          <cell r="D317" t="str">
            <v> </v>
          </cell>
          <cell r="E317" t="str">
            <v>MOHAMED RAMADHAN MJEMA</v>
          </cell>
          <cell r="F317">
            <v>682387652</v>
          </cell>
          <cell r="G317">
            <v>4000332975</v>
          </cell>
          <cell r="H317" t="str">
            <v>TAE379240</v>
          </cell>
          <cell r="I317" t="e">
            <v>#N/A</v>
          </cell>
          <cell r="J317" t="str">
            <v>IRENE SHIJA</v>
          </cell>
        </row>
        <row r="318">
          <cell r="B318" t="str">
            <v>T947DSX</v>
          </cell>
          <cell r="C318" t="str">
            <v>T442DTD</v>
          </cell>
          <cell r="D318" t="str">
            <v> </v>
          </cell>
          <cell r="E318" t="str">
            <v>JEPHA ANDREW JORAM</v>
          </cell>
          <cell r="F318">
            <v>4000325033</v>
          </cell>
          <cell r="G318" t="str">
            <v>0698902033/0744338685</v>
          </cell>
          <cell r="H318" t="str">
            <v>TAE201580</v>
          </cell>
          <cell r="I318">
            <v>115259709</v>
          </cell>
          <cell r="J318" t="str">
            <v>Ayoub BENESTA</v>
          </cell>
        </row>
        <row r="319">
          <cell r="B319" t="str">
            <v>T315EBX</v>
          </cell>
          <cell r="C319" t="str">
            <v>T887EBY</v>
          </cell>
          <cell r="D319" t="str">
            <v> </v>
          </cell>
          <cell r="E319"/>
          <cell r="F319"/>
          <cell r="G319"/>
          <cell r="H319"/>
          <cell r="I319" t="str">
            <v>113-254-319</v>
          </cell>
          <cell r="J319" t="str">
            <v>IRENE SHIJA</v>
          </cell>
        </row>
        <row r="320">
          <cell r="B320" t="str">
            <v>T511EBY</v>
          </cell>
          <cell r="C320" t="str">
            <v>T929EBY</v>
          </cell>
          <cell r="D320" t="str">
            <v> </v>
          </cell>
          <cell r="E320" t="str">
            <v>MOHAMED SELEMANI LUZUA</v>
          </cell>
          <cell r="F320">
            <v>658278686</v>
          </cell>
          <cell r="G320">
            <v>4000016503</v>
          </cell>
          <cell r="H320" t="str">
            <v>TAE372016</v>
          </cell>
          <cell r="I320">
            <v>111182612</v>
          </cell>
          <cell r="J320" t="str">
            <v>Ayoub BENESTA</v>
          </cell>
        </row>
        <row r="321">
          <cell r="B321" t="str">
            <v>T921EBW</v>
          </cell>
          <cell r="C321" t="str">
            <v>T536EBY</v>
          </cell>
          <cell r="D321" t="str">
            <v>T360EBW</v>
          </cell>
          <cell r="E321" t="str">
            <v>MOHAMEDI ATHUMANI MKALI</v>
          </cell>
          <cell r="F321">
            <v>786019100</v>
          </cell>
          <cell r="G321">
            <v>4000191461</v>
          </cell>
          <cell r="H321" t="str">
            <v>TAE729201</v>
          </cell>
          <cell r="I321">
            <v>114739251</v>
          </cell>
          <cell r="J321" t="str">
            <v>SADI KIMWAGA</v>
          </cell>
        </row>
        <row r="322">
          <cell r="B322" t="str">
            <v>T269EBX</v>
          </cell>
          <cell r="C322" t="str">
            <v>T894EBY</v>
          </cell>
          <cell r="D322" t="str">
            <v> </v>
          </cell>
          <cell r="E322" t="str">
            <v>MOHAMEDI IDDI KULWA</v>
          </cell>
          <cell r="F322">
            <v>747229294</v>
          </cell>
          <cell r="G322">
            <v>4001782237</v>
          </cell>
          <cell r="H322" t="str">
            <v>TAE445572</v>
          </cell>
          <cell r="I322" t="e">
            <v>#N/A</v>
          </cell>
          <cell r="J322" t="str">
            <v>LUSAJO KASUNGA</v>
          </cell>
        </row>
        <row r="323">
          <cell r="B323" t="str">
            <v>T144EBX</v>
          </cell>
          <cell r="C323" t="str">
            <v>T593EBX</v>
          </cell>
          <cell r="D323" t="str">
            <v>T722EBV</v>
          </cell>
          <cell r="E323" t="str">
            <v>MOHAMEDI ISSA KIBARATI</v>
          </cell>
          <cell r="F323">
            <v>763555598</v>
          </cell>
          <cell r="G323">
            <v>4000390313</v>
          </cell>
          <cell r="H323" t="str">
            <v>TAE689909</v>
          </cell>
          <cell r="I323">
            <v>115920804</v>
          </cell>
          <cell r="J323" t="str">
            <v>Ayoub BENESTA</v>
          </cell>
        </row>
        <row r="324">
          <cell r="B324" t="str">
            <v>T318EBX</v>
          </cell>
          <cell r="C324" t="str">
            <v>T586EBX</v>
          </cell>
          <cell r="D324" t="str">
            <v>T612EBV</v>
          </cell>
          <cell r="E324" t="str">
            <v>MOHAMEDI MOSHI NYANZA</v>
          </cell>
          <cell r="F324">
            <v>743400615</v>
          </cell>
          <cell r="G324">
            <v>4001895170</v>
          </cell>
          <cell r="H324" t="str">
            <v>TAE517037</v>
          </cell>
          <cell r="I324" t="e">
            <v>#N/A</v>
          </cell>
          <cell r="J324" t="str">
            <v>Martha GOLODI</v>
          </cell>
        </row>
        <row r="325">
          <cell r="B325" t="str">
            <v>T413DHE</v>
          </cell>
          <cell r="C325" t="str">
            <v>T118DHM</v>
          </cell>
          <cell r="D325" t="str">
            <v> </v>
          </cell>
          <cell r="E325" t="str">
            <v>MOHAMEDI SAIDI HASSANI</v>
          </cell>
          <cell r="F325">
            <v>80</v>
          </cell>
          <cell r="G325">
            <v>4000292296</v>
          </cell>
          <cell r="H325"/>
          <cell r="I325" t="e">
            <v>#N/A</v>
          </cell>
          <cell r="J325" t="str">
            <v>SADI KIMWAGA</v>
          </cell>
        </row>
        <row r="326">
          <cell r="B326" t="str">
            <v>T965EBW</v>
          </cell>
          <cell r="C326" t="str">
            <v>T523EBW</v>
          </cell>
          <cell r="D326" t="str">
            <v>T527EBV</v>
          </cell>
          <cell r="E326" t="str">
            <v>MOHAMUD ALLY MWABUDA</v>
          </cell>
          <cell r="F326">
            <v>784138308</v>
          </cell>
          <cell r="G326">
            <v>4002667174</v>
          </cell>
          <cell r="H326" t="str">
            <v>TAE661153</v>
          </cell>
          <cell r="I326" t="e">
            <v>#N/A</v>
          </cell>
          <cell r="J326" t="str">
            <v>IRENE SHIJA</v>
          </cell>
        </row>
        <row r="327">
          <cell r="B327" t="str">
            <v>T742EBX</v>
          </cell>
          <cell r="C327" t="str">
            <v>T570EBY</v>
          </cell>
          <cell r="D327" t="str">
            <v>T987EBV</v>
          </cell>
          <cell r="E327" t="str">
            <v>MONDI STANSLAUS NDAKI</v>
          </cell>
          <cell r="F327">
            <v>769787976</v>
          </cell>
          <cell r="G327">
            <v>4000436771</v>
          </cell>
          <cell r="H327" t="str">
            <v>TAE676831</v>
          </cell>
          <cell r="I327" t="e">
            <v>#N/A</v>
          </cell>
          <cell r="J327" t="str">
            <v>PLASDUS MAHUMBA</v>
          </cell>
        </row>
        <row r="328">
          <cell r="B328" t="str">
            <v>T964EBW</v>
          </cell>
          <cell r="C328" t="str">
            <v>T520EBW</v>
          </cell>
          <cell r="D328" t="str">
            <v>T564EBV</v>
          </cell>
          <cell r="E328" t="str">
            <v>MORGAN  MOFAT KAYANGE</v>
          </cell>
          <cell r="F328" t="str">
            <v>H</v>
          </cell>
          <cell r="G328">
            <v>4000098112</v>
          </cell>
          <cell r="H328" t="str">
            <v>TAE323367</v>
          </cell>
          <cell r="I328" t="e">
            <v>#N/A</v>
          </cell>
          <cell r="J328" t="str">
            <v>IRENE SHIJA</v>
          </cell>
        </row>
        <row r="329">
          <cell r="B329" t="str">
            <v>T129EBX</v>
          </cell>
          <cell r="C329" t="str">
            <v>T607EBX</v>
          </cell>
          <cell r="D329" t="str">
            <v>T643EBV</v>
          </cell>
          <cell r="E329" t="str">
            <v>MORIS DANIEL NGOZOMA</v>
          </cell>
          <cell r="F329">
            <v>718605628</v>
          </cell>
          <cell r="G329">
            <v>4000300133</v>
          </cell>
          <cell r="H329" t="str">
            <v>TAE675094</v>
          </cell>
          <cell r="I329" t="str">
            <v>113-765-674</v>
          </cell>
          <cell r="J329" t="str">
            <v>Ayoub BENESTA</v>
          </cell>
        </row>
        <row r="330">
          <cell r="B330" t="str">
            <v>T954EBW</v>
          </cell>
          <cell r="C330" t="str">
            <v>T481EBW</v>
          </cell>
          <cell r="D330" t="str">
            <v>T625EBV</v>
          </cell>
          <cell r="E330" t="str">
            <v>MOSES ELIBARIKI MSHANA</v>
          </cell>
          <cell r="F330" t="str">
            <v>753833033/0789560494</v>
          </cell>
          <cell r="G330">
            <v>4000129353</v>
          </cell>
          <cell r="H330" t="str">
            <v>TAE414195</v>
          </cell>
          <cell r="I330">
            <v>112986618</v>
          </cell>
          <cell r="J330" t="str">
            <v>IRENE SHIJA</v>
          </cell>
        </row>
        <row r="331">
          <cell r="B331" t="str">
            <v>T582DTQ</v>
          </cell>
          <cell r="C331" t="str">
            <v>T820DTQ</v>
          </cell>
          <cell r="D331" t="str">
            <v> </v>
          </cell>
          <cell r="E331" t="str">
            <v xml:space="preserve">MOUD KIMWELI MUSSA </v>
          </cell>
          <cell r="F331">
            <v>687910980</v>
          </cell>
          <cell r="G331">
            <v>4000851092</v>
          </cell>
          <cell r="H331" t="str">
            <v>TAE671764</v>
          </cell>
          <cell r="I331" t="e">
            <v>#N/A</v>
          </cell>
          <cell r="J331" t="str">
            <v>PLASDUS MAHUMBA</v>
          </cell>
        </row>
        <row r="332">
          <cell r="B332" t="str">
            <v>T446DYR</v>
          </cell>
          <cell r="C332" t="str">
            <v>T828DYT</v>
          </cell>
          <cell r="D332" t="str">
            <v> </v>
          </cell>
          <cell r="E332" t="str">
            <v>MRISHO SHABANI JUMA</v>
          </cell>
          <cell r="F332">
            <v>688981889</v>
          </cell>
          <cell r="G332">
            <v>4000459090</v>
          </cell>
          <cell r="H332" t="str">
            <v>TAE677664</v>
          </cell>
          <cell r="I332">
            <v>116204444</v>
          </cell>
          <cell r="J332" t="str">
            <v>Martha GOLODI</v>
          </cell>
        </row>
        <row r="333">
          <cell r="B333" t="str">
            <v>T568DYR</v>
          </cell>
          <cell r="C333" t="str">
            <v>T841DYT</v>
          </cell>
          <cell r="D333" t="str">
            <v> </v>
          </cell>
          <cell r="E333" t="str">
            <v>MRISHO WAZIRI ALLY</v>
          </cell>
          <cell r="F333">
            <v>655350507</v>
          </cell>
          <cell r="G333">
            <v>4001166315</v>
          </cell>
          <cell r="H333" t="str">
            <v>TAE072132</v>
          </cell>
          <cell r="I333"/>
          <cell r="J333" t="str">
            <v>SADI KIMWAGA</v>
          </cell>
        </row>
        <row r="334">
          <cell r="B334" t="str">
            <v>T640DEB</v>
          </cell>
          <cell r="C334" t="str">
            <v>T376DEH</v>
          </cell>
          <cell r="D334" t="str">
            <v> </v>
          </cell>
          <cell r="E334" t="str">
            <v>MSAFIRI AMOS ANTON</v>
          </cell>
          <cell r="F334">
            <v>765913481</v>
          </cell>
          <cell r="G334">
            <v>4001520735</v>
          </cell>
          <cell r="H334" t="str">
            <v>TAE832544</v>
          </cell>
          <cell r="I334" t="str">
            <v>120-939-807</v>
          </cell>
          <cell r="J334" t="str">
            <v>PLASDUS MAHUMBA</v>
          </cell>
        </row>
        <row r="335">
          <cell r="B335" t="str">
            <v>T731DYR</v>
          </cell>
          <cell r="C335" t="str">
            <v>T935DYT</v>
          </cell>
          <cell r="D335" t="str">
            <v> </v>
          </cell>
          <cell r="E335" t="str">
            <v>MTAVYA BAKARI MTAVYA</v>
          </cell>
          <cell r="F335">
            <v>763859094</v>
          </cell>
          <cell r="G335">
            <v>4000018306</v>
          </cell>
          <cell r="H335" t="str">
            <v>TAE369965</v>
          </cell>
          <cell r="I335">
            <v>116290170</v>
          </cell>
          <cell r="J335" t="str">
            <v>IRENE SHIJA</v>
          </cell>
        </row>
        <row r="336">
          <cell r="B336" t="str">
            <v>T576DYR</v>
          </cell>
          <cell r="C336" t="str">
            <v>T801DYT</v>
          </cell>
          <cell r="D336" t="str">
            <v> </v>
          </cell>
          <cell r="E336" t="str">
            <v>MTWANGARA OMARY SEIF</v>
          </cell>
          <cell r="F336">
            <v>743797911</v>
          </cell>
          <cell r="G336">
            <v>4000400790</v>
          </cell>
          <cell r="H336" t="str">
            <v>TAE712186</v>
          </cell>
          <cell r="I336">
            <v>111034540</v>
          </cell>
          <cell r="J336" t="str">
            <v>IRENE SHIJA</v>
          </cell>
        </row>
        <row r="337">
          <cell r="B337" t="str">
            <v>T650DTQ</v>
          </cell>
          <cell r="C337" t="str">
            <v>T773DTQ</v>
          </cell>
          <cell r="D337" t="str">
            <v> </v>
          </cell>
          <cell r="E337" t="str">
            <v>MUHAMMED MAABAD AHMED</v>
          </cell>
          <cell r="F337">
            <v>624531038</v>
          </cell>
          <cell r="G337">
            <v>4001774173</v>
          </cell>
          <cell r="H337" t="str">
            <v>TAE524073</v>
          </cell>
          <cell r="I337" t="str">
            <v>122-062-228</v>
          </cell>
          <cell r="J337" t="str">
            <v>SADI KIMWAGA</v>
          </cell>
        </row>
        <row r="338">
          <cell r="B338" t="str">
            <v>T244EBX</v>
          </cell>
          <cell r="C338" t="str">
            <v>T895EBY</v>
          </cell>
          <cell r="D338" t="str">
            <v> </v>
          </cell>
          <cell r="E338" t="str">
            <v>MUHIDINI ABDI RASHIDI</v>
          </cell>
          <cell r="F338">
            <v>657988241</v>
          </cell>
          <cell r="G338">
            <v>4001812102</v>
          </cell>
          <cell r="H338" t="str">
            <v>TAE718068</v>
          </cell>
          <cell r="I338" t="e">
            <v>#N/A</v>
          </cell>
          <cell r="J338" t="str">
            <v>LUSAJO KASUNGA</v>
          </cell>
        </row>
        <row r="339">
          <cell r="B339" t="str">
            <v>T745EBX</v>
          </cell>
          <cell r="C339" t="str">
            <v>T208EBZ</v>
          </cell>
          <cell r="D339" t="str">
            <v>287EBW</v>
          </cell>
          <cell r="E339" t="str">
            <v>MUHSIN JUMA ATHUMAN</v>
          </cell>
          <cell r="F339">
            <v>693886644</v>
          </cell>
          <cell r="G339">
            <v>4002090838</v>
          </cell>
          <cell r="H339" t="str">
            <v>TAE650721</v>
          </cell>
          <cell r="I339" t="str">
            <v>123-367-227</v>
          </cell>
          <cell r="J339" t="str">
            <v>PLASDUS MAHUMBA</v>
          </cell>
        </row>
        <row r="340">
          <cell r="B340" t="str">
            <v>T710EBX</v>
          </cell>
          <cell r="C340" t="str">
            <v>T230EBZ</v>
          </cell>
          <cell r="D340" t="str">
            <v>T724EBV</v>
          </cell>
          <cell r="E340" t="str">
            <v>MUMBA YASSINI KHAMISI</v>
          </cell>
          <cell r="F340">
            <v>674227708</v>
          </cell>
          <cell r="G340">
            <v>4000971752</v>
          </cell>
          <cell r="H340" t="str">
            <v>TAE653522</v>
          </cell>
          <cell r="I340" t="e">
            <v>#N/A</v>
          </cell>
          <cell r="J340" t="str">
            <v>LUSAJO KASUNGA</v>
          </cell>
        </row>
        <row r="341">
          <cell r="B341" t="str">
            <v>T436DHG</v>
          </cell>
          <cell r="C341" t="str">
            <v>T913DHG</v>
          </cell>
          <cell r="D341" t="str">
            <v> </v>
          </cell>
          <cell r="E341" t="str">
            <v>MUSIN KAOZY MTEBE</v>
          </cell>
          <cell r="F341">
            <v>749497738</v>
          </cell>
          <cell r="G341">
            <v>4000366301</v>
          </cell>
          <cell r="H341" t="str">
            <v>TAE680631</v>
          </cell>
          <cell r="I341" t="str">
            <v>115-705-091</v>
          </cell>
          <cell r="J341" t="str">
            <v>PLASDUS MAHUMBA</v>
          </cell>
        </row>
        <row r="342">
          <cell r="B342" t="str">
            <v>T887EBW</v>
          </cell>
          <cell r="C342" t="str">
            <v>T548EBY</v>
          </cell>
          <cell r="D342" t="str">
            <v>T782EBV</v>
          </cell>
          <cell r="E342" t="str">
            <v>MUSSA ABDI OMAR</v>
          </cell>
          <cell r="F342">
            <v>766394642</v>
          </cell>
          <cell r="G342">
            <v>4000171278</v>
          </cell>
          <cell r="H342" t="str">
            <v>TAE312577</v>
          </cell>
          <cell r="I342" t="e">
            <v>#N/A</v>
          </cell>
          <cell r="J342" t="str">
            <v>Martha GOLODI</v>
          </cell>
        </row>
        <row r="343">
          <cell r="B343" t="str">
            <v>T572DEB</v>
          </cell>
          <cell r="C343" t="str">
            <v>T374DEH</v>
          </cell>
          <cell r="D343" t="str">
            <v> </v>
          </cell>
          <cell r="E343" t="str">
            <v>MUSSA AHAMADI NAMBAYAYA</v>
          </cell>
          <cell r="F343">
            <v>787661940</v>
          </cell>
          <cell r="G343">
            <v>4000052230</v>
          </cell>
          <cell r="H343" t="str">
            <v>TAE510532</v>
          </cell>
          <cell r="I343" t="str">
            <v>111-811-857</v>
          </cell>
          <cell r="J343" t="str">
            <v>SADI KIMWAGA</v>
          </cell>
        </row>
        <row r="344">
          <cell r="B344" t="str">
            <v>T842EBY</v>
          </cell>
          <cell r="C344" t="str">
            <v>T432EBW</v>
          </cell>
          <cell r="D344" t="str">
            <v>T533EBV</v>
          </cell>
          <cell r="E344" t="str">
            <v>MUSSA JUMA MOHAMED</v>
          </cell>
          <cell r="F344">
            <v>688476905</v>
          </cell>
          <cell r="G344">
            <v>4000691649</v>
          </cell>
          <cell r="H344" t="str">
            <v>TAE674506</v>
          </cell>
          <cell r="I344" t="e">
            <v>#N/A</v>
          </cell>
          <cell r="J344" t="str">
            <v>LUSAJO KASUNGA</v>
          </cell>
        </row>
        <row r="345">
          <cell r="B345" t="str">
            <v>T302EBX</v>
          </cell>
          <cell r="C345" t="str">
            <v>T499EBW</v>
          </cell>
          <cell r="D345" t="str">
            <v>T942EBV</v>
          </cell>
          <cell r="E345" t="str">
            <v>MUSSA MASASI MRINDOKO</v>
          </cell>
          <cell r="F345" t="str">
            <v>0753088291/0715088291</v>
          </cell>
          <cell r="G345">
            <v>4000156082</v>
          </cell>
          <cell r="H345" t="str">
            <v>TAE477374</v>
          </cell>
          <cell r="I345" t="e">
            <v>#N/A</v>
          </cell>
          <cell r="J345" t="str">
            <v>IRENE SHIJA</v>
          </cell>
        </row>
        <row r="346">
          <cell r="B346" t="str">
            <v>T395ECN</v>
          </cell>
          <cell r="C346" t="str">
            <v>T836ECG</v>
          </cell>
          <cell r="D346" t="str">
            <v>T988EBV</v>
          </cell>
          <cell r="E346" t="str">
            <v>MUSSA MASHAKA KAUZE</v>
          </cell>
          <cell r="F346" t="str">
            <v>712200623/0746443480</v>
          </cell>
          <cell r="G346">
            <v>4000033129</v>
          </cell>
          <cell r="H346" t="str">
            <v>TAE689108</v>
          </cell>
          <cell r="I346">
            <v>111480176</v>
          </cell>
          <cell r="J346" t="str">
            <v>LUSAJO KASUNGA</v>
          </cell>
        </row>
        <row r="347">
          <cell r="B347" t="str">
            <v>T498DYR</v>
          </cell>
          <cell r="C347" t="str">
            <v>T818DYT</v>
          </cell>
          <cell r="D347" t="str">
            <v> </v>
          </cell>
          <cell r="E347" t="str">
            <v>MUSSA OMARY HAMZA</v>
          </cell>
          <cell r="F347">
            <v>767408336</v>
          </cell>
          <cell r="G347">
            <v>4000036597</v>
          </cell>
          <cell r="H347" t="str">
            <v>TAE 749867</v>
          </cell>
          <cell r="I347" t="e">
            <v>#N/A</v>
          </cell>
          <cell r="J347" t="str">
            <v>Martha GOLODI</v>
          </cell>
        </row>
        <row r="348">
          <cell r="B348" t="str">
            <v>T278EBY</v>
          </cell>
          <cell r="C348" t="str">
            <v>T926EBY</v>
          </cell>
          <cell r="D348" t="str">
            <v> </v>
          </cell>
          <cell r="E348" t="str">
            <v>MUSSA RAMADHAN MITEMILIGWA</v>
          </cell>
          <cell r="F348">
            <v>4001113828</v>
          </cell>
          <cell r="G348">
            <v>655574057</v>
          </cell>
          <cell r="H348" t="str">
            <v>TAE684057</v>
          </cell>
          <cell r="I348">
            <v>117340589</v>
          </cell>
          <cell r="J348" t="str">
            <v>PLASDUS MAHUMBA</v>
          </cell>
        </row>
        <row r="349">
          <cell r="B349" t="str">
            <v>T797DDS</v>
          </cell>
          <cell r="C349" t="str">
            <v>T377DEH</v>
          </cell>
          <cell r="D349" t="str">
            <v> </v>
          </cell>
          <cell r="E349" t="str">
            <v>MUSSA RASHIDI HASSANI</v>
          </cell>
          <cell r="F349">
            <v>719313136</v>
          </cell>
          <cell r="G349">
            <v>4000174795</v>
          </cell>
          <cell r="H349" t="str">
            <v>TAE756788</v>
          </cell>
          <cell r="I349" t="str">
            <v>113-525-592</v>
          </cell>
          <cell r="J349" t="str">
            <v>Martha GOLODI</v>
          </cell>
        </row>
        <row r="350">
          <cell r="B350" t="str">
            <v>T516EBY</v>
          </cell>
          <cell r="C350" t="str">
            <v>T544EBY</v>
          </cell>
          <cell r="D350" t="str">
            <v>T638EBV</v>
          </cell>
          <cell r="E350" t="str">
            <v>MUSTAPHA MAHAMUDU KAMCHOCHE</v>
          </cell>
          <cell r="F350">
            <v>789522227</v>
          </cell>
          <cell r="G350">
            <v>4004516286</v>
          </cell>
          <cell r="H350" t="str">
            <v>TAE703633</v>
          </cell>
          <cell r="I350"/>
          <cell r="J350" t="str">
            <v>Ayoub BENESTA</v>
          </cell>
        </row>
        <row r="351">
          <cell r="B351" t="str">
            <v>T816EBW</v>
          </cell>
          <cell r="C351" t="str">
            <v>T349ECH</v>
          </cell>
          <cell r="D351" t="str">
            <v>T761EBV</v>
          </cell>
          <cell r="E351" t="str">
            <v>MUSTAPHA SELEMANI MSANGULE</v>
          </cell>
          <cell r="F351">
            <v>756961707</v>
          </cell>
          <cell r="G351">
            <v>4000033855</v>
          </cell>
          <cell r="H351" t="str">
            <v>TAE015330</v>
          </cell>
          <cell r="I351" t="e">
            <v>#N/A</v>
          </cell>
          <cell r="J351" t="str">
            <v>SADI KIMWAGA</v>
          </cell>
        </row>
        <row r="352">
          <cell r="B352" t="str">
            <v>T332EBX</v>
          </cell>
          <cell r="C352" t="str">
            <v>T924EBY</v>
          </cell>
          <cell r="D352" t="str">
            <v> </v>
          </cell>
          <cell r="E352" t="str">
            <v>MUZAMIRU SAIDI NAHODA</v>
          </cell>
          <cell r="F352">
            <v>717745930</v>
          </cell>
          <cell r="G352">
            <v>4004789644</v>
          </cell>
          <cell r="H352" t="str">
            <v>TAE558529</v>
          </cell>
          <cell r="I352" t="str">
            <v>135-141-836</v>
          </cell>
          <cell r="J352" t="str">
            <v>IRENE SHIJA</v>
          </cell>
        </row>
        <row r="353">
          <cell r="B353" t="str">
            <v>T714EBX</v>
          </cell>
          <cell r="C353" t="str">
            <v>T215EBZ</v>
          </cell>
          <cell r="D353" t="str">
            <v>T660EBV</v>
          </cell>
          <cell r="E353" t="str">
            <v>MWACKY ERNESTO MBAGO</v>
          </cell>
          <cell r="F353">
            <v>659436939</v>
          </cell>
          <cell r="G353">
            <v>4000085015</v>
          </cell>
          <cell r="H353" t="str">
            <v>TAE390175</v>
          </cell>
          <cell r="I353">
            <v>112329870</v>
          </cell>
          <cell r="J353" t="str">
            <v>LUSAJO KASUNGA</v>
          </cell>
        </row>
        <row r="354">
          <cell r="B354" t="str">
            <v>T124EBX</v>
          </cell>
          <cell r="C354" t="str">
            <v>T598EBX</v>
          </cell>
          <cell r="D354" t="str">
            <v>T703EBV</v>
          </cell>
          <cell r="E354" t="str">
            <v>MWALIM SALIM KASSIM</v>
          </cell>
          <cell r="F354">
            <v>788432282</v>
          </cell>
          <cell r="G354">
            <v>4000794331</v>
          </cell>
          <cell r="H354" t="str">
            <v>TAE677448</v>
          </cell>
          <cell r="I354">
            <v>117781607</v>
          </cell>
          <cell r="J354" t="str">
            <v>Ayoub BENESTA</v>
          </cell>
        </row>
        <row r="355">
          <cell r="B355" t="str">
            <v>T261DDJ</v>
          </cell>
          <cell r="C355" t="str">
            <v>T351DHS</v>
          </cell>
          <cell r="D355" t="str">
            <v> </v>
          </cell>
          <cell r="E355" t="str">
            <v>MWALIMU MRABA BAKARI</v>
          </cell>
          <cell r="F355">
            <v>652462060</v>
          </cell>
          <cell r="G355">
            <v>4001465910</v>
          </cell>
          <cell r="H355" t="str">
            <v>TAE679475</v>
          </cell>
          <cell r="I355" t="e">
            <v>#N/A</v>
          </cell>
          <cell r="J355" t="str">
            <v>Martha GOLODI</v>
          </cell>
        </row>
        <row r="356">
          <cell r="B356" t="str">
            <v>T404DHG</v>
          </cell>
          <cell r="C356" t="str">
            <v>T124DHM</v>
          </cell>
          <cell r="D356" t="str">
            <v> </v>
          </cell>
          <cell r="E356" t="str">
            <v>MWALIMU OMARY KIANGA</v>
          </cell>
          <cell r="F356" t="str">
            <v>0714362274/0713659501</v>
          </cell>
          <cell r="G356">
            <v>4002325403</v>
          </cell>
          <cell r="H356" t="str">
            <v>AB0274611</v>
          </cell>
          <cell r="I356" t="str">
            <v>124-306-531</v>
          </cell>
          <cell r="J356" t="str">
            <v>SADI KIMWAGA</v>
          </cell>
        </row>
        <row r="357">
          <cell r="B357" t="str">
            <v>T314DDJ</v>
          </cell>
          <cell r="C357" t="str">
            <v>T879DHG</v>
          </cell>
          <cell r="D357" t="str">
            <v> </v>
          </cell>
          <cell r="E357" t="str">
            <v>MWIDIN DANIEL MALATO</v>
          </cell>
          <cell r="F357">
            <v>679660031</v>
          </cell>
          <cell r="G357">
            <v>4000964146</v>
          </cell>
          <cell r="H357" t="str">
            <v>TAE 443537</v>
          </cell>
          <cell r="I357" t="e">
            <v>#N/A</v>
          </cell>
          <cell r="J357" t="str">
            <v>SADI KIMWAGA</v>
          </cell>
        </row>
        <row r="358">
          <cell r="B358" t="str">
            <v>T325EBX</v>
          </cell>
          <cell r="C358" t="str">
            <v>T605EBX</v>
          </cell>
          <cell r="D358" t="str">
            <v>T289EBW</v>
          </cell>
          <cell r="E358" t="str">
            <v>MZEE ALLY GANDI</v>
          </cell>
          <cell r="F358" t="str">
            <v>788191884/767764862</v>
          </cell>
          <cell r="G358">
            <v>4000071003</v>
          </cell>
          <cell r="H358" t="str">
            <v>TAE797889</v>
          </cell>
          <cell r="I358">
            <v>112101705</v>
          </cell>
          <cell r="J358" t="str">
            <v>Martha GOLODI</v>
          </cell>
        </row>
        <row r="359">
          <cell r="B359" t="str">
            <v>T749DEB</v>
          </cell>
          <cell r="C359" t="str">
            <v>T945DEK</v>
          </cell>
          <cell r="D359" t="str">
            <v> </v>
          </cell>
          <cell r="E359" t="str">
            <v>N/A</v>
          </cell>
          <cell r="F359">
            <v>655752076</v>
          </cell>
          <cell r="G359"/>
          <cell r="H359"/>
          <cell r="I359" t="e">
            <v>#N/A</v>
          </cell>
          <cell r="J359" t="str">
            <v>SADI KIMWAGA</v>
          </cell>
        </row>
        <row r="360">
          <cell r="B360" t="str">
            <v>T776EBW</v>
          </cell>
          <cell r="C360" t="str">
            <v>T832ECG</v>
          </cell>
          <cell r="D360" t="str">
            <v>T940EBV</v>
          </cell>
          <cell r="E360" t="str">
            <v>NASIBU HOSENI MWAHEMBA</v>
          </cell>
          <cell r="F360">
            <v>711767665</v>
          </cell>
          <cell r="G360">
            <v>4003102439</v>
          </cell>
          <cell r="H360" t="str">
            <v>TAE661141</v>
          </cell>
          <cell r="I360" t="str">
            <v>127-601-623</v>
          </cell>
          <cell r="J360" t="str">
            <v>Ayoub BENESTA</v>
          </cell>
        </row>
        <row r="361">
          <cell r="B361" t="str">
            <v>T444DHG</v>
          </cell>
          <cell r="C361" t="str">
            <v>T109DHM</v>
          </cell>
          <cell r="D361" t="str">
            <v> </v>
          </cell>
          <cell r="E361" t="str">
            <v>NASIBU SAIDY GUBWE</v>
          </cell>
          <cell r="F361">
            <v>767844538</v>
          </cell>
          <cell r="G361">
            <v>4006340874</v>
          </cell>
          <cell r="H361" t="str">
            <v>TAE683612</v>
          </cell>
          <cell r="I361" t="str">
            <v>144-695-674</v>
          </cell>
          <cell r="J361" t="str">
            <v>LUSAJO KASUNGA</v>
          </cell>
        </row>
        <row r="362">
          <cell r="B362" t="str">
            <v>T102EBX</v>
          </cell>
          <cell r="C362" t="str">
            <v>T456EBW</v>
          </cell>
          <cell r="D362" t="str">
            <v>T626EBV</v>
          </cell>
          <cell r="E362" t="str">
            <v>NASSIBU MSENGESI MLASA</v>
          </cell>
          <cell r="F362">
            <v>752891430</v>
          </cell>
          <cell r="G362">
            <v>4000173389</v>
          </cell>
          <cell r="H362" t="str">
            <v>TAE346112</v>
          </cell>
          <cell r="I362" t="e">
            <v>#N/A</v>
          </cell>
          <cell r="J362" t="str">
            <v>IRENE SHIJA</v>
          </cell>
        </row>
        <row r="363">
          <cell r="B363" t="str">
            <v>T311EBX</v>
          </cell>
          <cell r="C363" t="str">
            <v>T884EBY</v>
          </cell>
          <cell r="D363" t="str">
            <v> </v>
          </cell>
          <cell r="E363" t="str">
            <v>NASSORO ALLY AMBALI</v>
          </cell>
          <cell r="F363">
            <v>755505777</v>
          </cell>
          <cell r="G363">
            <v>4000078191</v>
          </cell>
          <cell r="H363" t="str">
            <v>TAE407770</v>
          </cell>
          <cell r="I363">
            <v>112217495</v>
          </cell>
          <cell r="J363" t="str">
            <v>Ayoub BENESTA</v>
          </cell>
        </row>
        <row r="364">
          <cell r="B364" t="str">
            <v>T493DYR</v>
          </cell>
          <cell r="C364" t="str">
            <v>T810DYT</v>
          </cell>
          <cell r="D364" t="str">
            <v> </v>
          </cell>
          <cell r="E364" t="str">
            <v>NASSORO BUSHIRI MOHAMED</v>
          </cell>
          <cell r="F364">
            <v>719154847</v>
          </cell>
          <cell r="G364">
            <v>4000172578</v>
          </cell>
          <cell r="H364" t="str">
            <v>TAE 652396</v>
          </cell>
          <cell r="I364">
            <v>113490802</v>
          </cell>
          <cell r="J364" t="str">
            <v>Martha GOLODI</v>
          </cell>
        </row>
        <row r="365">
          <cell r="B365" t="str">
            <v>T594DTQ</v>
          </cell>
          <cell r="C365" t="str">
            <v>T767DTQ</v>
          </cell>
          <cell r="D365" t="str">
            <v> </v>
          </cell>
          <cell r="E365" t="str">
            <v>NASSORO MALIKI OMARY</v>
          </cell>
          <cell r="F365" t="str">
            <v>0655522011/0758881498</v>
          </cell>
          <cell r="G365">
            <v>4003436422</v>
          </cell>
          <cell r="H365" t="str">
            <v>TAE761143</v>
          </cell>
          <cell r="I365" t="str">
            <v>129-130-261</v>
          </cell>
          <cell r="J365" t="str">
            <v>Ayoub BENESTA</v>
          </cell>
        </row>
        <row r="366">
          <cell r="B366" t="str">
            <v>T764EBW</v>
          </cell>
          <cell r="C366" t="str">
            <v>T442EBW</v>
          </cell>
          <cell r="D366" t="str">
            <v>T935EBV</v>
          </cell>
          <cell r="E366" t="str">
            <v>NASSORO PAZI PAZI</v>
          </cell>
          <cell r="F366">
            <v>782967812</v>
          </cell>
          <cell r="G366">
            <v>4003198318</v>
          </cell>
          <cell r="H366" t="str">
            <v>TAE658751</v>
          </cell>
          <cell r="I366"/>
          <cell r="J366" t="str">
            <v>Martha GOLODI</v>
          </cell>
        </row>
        <row r="367">
          <cell r="B367" t="str">
            <v>T603DTQ</v>
          </cell>
          <cell r="C367" t="str">
            <v>T811DTQ</v>
          </cell>
          <cell r="D367" t="str">
            <v> </v>
          </cell>
          <cell r="E367" t="str">
            <v>NICKODEMO DEOGLASS MASSAWE</v>
          </cell>
          <cell r="F367">
            <v>783704271</v>
          </cell>
          <cell r="G367">
            <v>4004269910</v>
          </cell>
          <cell r="H367" t="str">
            <v>TAE661830</v>
          </cell>
          <cell r="I367" t="str">
            <v>132-674-221</v>
          </cell>
          <cell r="J367" t="str">
            <v>PLASDUS MAHUMBA</v>
          </cell>
        </row>
        <row r="368">
          <cell r="B368" t="str">
            <v>T389ECN</v>
          </cell>
          <cell r="C368" t="str">
            <v>T794ECG</v>
          </cell>
          <cell r="D368" t="str">
            <v>T644EBV</v>
          </cell>
          <cell r="E368" t="str">
            <v>NICKSON CLIFFORD MAJURA</v>
          </cell>
          <cell r="F368">
            <v>752736522</v>
          </cell>
          <cell r="G368">
            <v>4000794925</v>
          </cell>
          <cell r="H368" t="str">
            <v>AB10113597</v>
          </cell>
          <cell r="I368" t="str">
            <v>117-814-912</v>
          </cell>
          <cell r="J368" t="str">
            <v>LUSAJO KASUNGA</v>
          </cell>
        </row>
        <row r="369">
          <cell r="B369" t="str">
            <v>T305EBX</v>
          </cell>
          <cell r="C369" t="str">
            <v>T897EBY</v>
          </cell>
          <cell r="D369" t="str">
            <v> </v>
          </cell>
          <cell r="E369" t="str">
            <v>NIKUSUMA PHILLIP NGELELA</v>
          </cell>
          <cell r="F369">
            <v>759848764</v>
          </cell>
          <cell r="G369">
            <v>4000303092</v>
          </cell>
          <cell r="H369" t="str">
            <v>TAE340761</v>
          </cell>
          <cell r="I369" t="str">
            <v>115-014-153</v>
          </cell>
          <cell r="J369" t="str">
            <v>Ayoub BENESTA</v>
          </cell>
        </row>
        <row r="370">
          <cell r="B370" t="str">
            <v>T820DDS</v>
          </cell>
          <cell r="C370" t="str">
            <v>T342DHS</v>
          </cell>
          <cell r="D370" t="str">
            <v> </v>
          </cell>
          <cell r="E370" t="str">
            <v>NIZAR HASHAM TIMBILI</v>
          </cell>
          <cell r="F370">
            <v>717421240</v>
          </cell>
          <cell r="G370">
            <v>4000061968</v>
          </cell>
          <cell r="H370" t="str">
            <v>TAE408617</v>
          </cell>
          <cell r="I370" t="str">
            <v>111-967-423</v>
          </cell>
          <cell r="J370" t="str">
            <v>SADI KIMWAGA</v>
          </cell>
        </row>
        <row r="371">
          <cell r="B371" t="str">
            <v>T941EBW</v>
          </cell>
          <cell r="C371" t="str">
            <v>T569EBX</v>
          </cell>
          <cell r="D371" t="str">
            <v>T634EBV</v>
          </cell>
          <cell r="E371" t="str">
            <v>NOEL RAPHAEL CHAWALA</v>
          </cell>
          <cell r="F371">
            <v>784506026</v>
          </cell>
          <cell r="G371">
            <v>4000133907</v>
          </cell>
          <cell r="H371" t="str">
            <v>TAE913654</v>
          </cell>
          <cell r="I371">
            <v>113042621</v>
          </cell>
          <cell r="J371" t="str">
            <v>IRENE SHIJA</v>
          </cell>
        </row>
        <row r="372">
          <cell r="B372" t="str">
            <v>T496DYR</v>
          </cell>
          <cell r="C372" t="str">
            <v>T823DYT</v>
          </cell>
          <cell r="D372" t="str">
            <v> </v>
          </cell>
          <cell r="E372" t="str">
            <v>NUHU MOHAMED NTILA</v>
          </cell>
          <cell r="F372">
            <v>686004008</v>
          </cell>
          <cell r="G372">
            <v>4000035103</v>
          </cell>
          <cell r="H372" t="str">
            <v>TAE650126</v>
          </cell>
          <cell r="I372">
            <v>111513589</v>
          </cell>
          <cell r="J372" t="str">
            <v>Ayoub BENESTA</v>
          </cell>
        </row>
        <row r="373">
          <cell r="B373" t="str">
            <v>T589DTQ</v>
          </cell>
          <cell r="C373" t="str">
            <v>T824DTQ</v>
          </cell>
          <cell r="D373" t="str">
            <v> </v>
          </cell>
          <cell r="E373" t="str">
            <v>NURDIN ABDALLAH LIKUMBA</v>
          </cell>
          <cell r="F373">
            <v>685228412</v>
          </cell>
          <cell r="G373">
            <v>4005703685</v>
          </cell>
          <cell r="H373" t="str">
            <v>TAE660018</v>
          </cell>
          <cell r="I373" t="str">
            <v>139-559-223</v>
          </cell>
          <cell r="J373" t="str">
            <v>Martha GOLODI</v>
          </cell>
        </row>
        <row r="374">
          <cell r="B374" t="str">
            <v>T127EBX</v>
          </cell>
          <cell r="C374" t="str">
            <v>T570EBX</v>
          </cell>
          <cell r="D374" t="str">
            <v>T696EBV</v>
          </cell>
          <cell r="E374" t="str">
            <v>OMAR SWALEH CHANINGA</v>
          </cell>
          <cell r="F374">
            <v>753764339</v>
          </cell>
          <cell r="G374">
            <v>4001131786</v>
          </cell>
          <cell r="H374" t="str">
            <v>TAE345059</v>
          </cell>
          <cell r="I374">
            <v>119233135</v>
          </cell>
          <cell r="J374" t="str">
            <v>Ayoub BENESTA</v>
          </cell>
        </row>
        <row r="375">
          <cell r="B375" t="str">
            <v>T513EBY</v>
          </cell>
          <cell r="C375" t="str">
            <v>T554EBX</v>
          </cell>
          <cell r="D375" t="str">
            <v>T113EBW</v>
          </cell>
          <cell r="E375" t="str">
            <v>OMARI ABEDI MOKA</v>
          </cell>
          <cell r="F375">
            <v>782407278</v>
          </cell>
          <cell r="G375">
            <v>4004254274</v>
          </cell>
          <cell r="H375" t="str">
            <v>TAE419673</v>
          </cell>
          <cell r="I375" t="e">
            <v>#N/A</v>
          </cell>
          <cell r="J375" t="str">
            <v>Martha GOLODI</v>
          </cell>
        </row>
        <row r="376">
          <cell r="B376" t="str">
            <v>T930EBW</v>
          </cell>
          <cell r="C376" t="str">
            <v>T408EBW</v>
          </cell>
          <cell r="D376" t="str">
            <v>T765EBV</v>
          </cell>
          <cell r="E376" t="str">
            <v>OMARI ATHUMANI SELEMANI</v>
          </cell>
          <cell r="F376">
            <v>788406666</v>
          </cell>
          <cell r="G376">
            <v>4000536824</v>
          </cell>
          <cell r="H376" t="str">
            <v>TAE632472</v>
          </cell>
          <cell r="I376" t="str">
            <v>116-765-526</v>
          </cell>
          <cell r="J376" t="str">
            <v>SADI KIMWAGA</v>
          </cell>
        </row>
        <row r="377">
          <cell r="B377" t="str">
            <v>T732DEC</v>
          </cell>
          <cell r="C377" t="str">
            <v>T750DEU</v>
          </cell>
          <cell r="D377" t="str">
            <v> </v>
          </cell>
          <cell r="E377" t="str">
            <v>OMARI HAMADI DASS</v>
          </cell>
          <cell r="F377">
            <v>694376034</v>
          </cell>
          <cell r="G377">
            <v>40000738915</v>
          </cell>
          <cell r="H377" t="str">
            <v>TAE574094</v>
          </cell>
          <cell r="I377" t="e">
            <v>#N/A</v>
          </cell>
          <cell r="J377" t="str">
            <v>IRENE SHIJA</v>
          </cell>
        </row>
        <row r="378">
          <cell r="B378" t="str">
            <v>T805DYR</v>
          </cell>
          <cell r="C378" t="str">
            <v>T929DYT</v>
          </cell>
          <cell r="D378" t="str">
            <v> </v>
          </cell>
          <cell r="E378" t="str">
            <v>OMARY HAMISI CHAI</v>
          </cell>
          <cell r="F378">
            <v>684856278</v>
          </cell>
          <cell r="G378">
            <v>4003224052</v>
          </cell>
          <cell r="H378" t="str">
            <v>TAE678689</v>
          </cell>
          <cell r="I378" t="str">
            <v>128-183-264</v>
          </cell>
          <cell r="J378" t="str">
            <v>LUSAJO KASUNGA</v>
          </cell>
        </row>
        <row r="379">
          <cell r="B379" t="str">
            <v>T529EBY</v>
          </cell>
          <cell r="C379" t="str">
            <v>T557EBX</v>
          </cell>
          <cell r="D379" t="str">
            <v>T691EBV</v>
          </cell>
          <cell r="E379" t="str">
            <v>OMARI SALIM KULUGIO</v>
          </cell>
          <cell r="F379">
            <v>788272205</v>
          </cell>
          <cell r="G379">
            <v>4000268862</v>
          </cell>
          <cell r="H379" t="str">
            <v>TAE076139</v>
          </cell>
          <cell r="I379" t="e">
            <v>#N/A</v>
          </cell>
          <cell r="J379" t="str">
            <v>Martha GOLODI</v>
          </cell>
        </row>
        <row r="380">
          <cell r="B380" t="str">
            <v>T339EBX</v>
          </cell>
          <cell r="C380" t="str">
            <v>T468EBW</v>
          </cell>
          <cell r="D380" t="str">
            <v>T772EBV</v>
          </cell>
          <cell r="E380" t="str">
            <v>OMARI SALIMU MOHAMEDI</v>
          </cell>
          <cell r="F380">
            <v>714212200</v>
          </cell>
          <cell r="G380">
            <v>4005072512</v>
          </cell>
          <cell r="H380" t="str">
            <v>TAE665465</v>
          </cell>
          <cell r="I380">
            <v>136382101</v>
          </cell>
          <cell r="J380" t="str">
            <v>SADI KIMWAGA</v>
          </cell>
        </row>
        <row r="381">
          <cell r="B381" t="str">
            <v>T154EBX</v>
          </cell>
          <cell r="C381" t="str">
            <v>T602EBX</v>
          </cell>
          <cell r="D381" t="str">
            <v>T593EBV</v>
          </cell>
          <cell r="E381" t="str">
            <v>OMARY FADHILI MSANGI</v>
          </cell>
          <cell r="F381">
            <v>767252262</v>
          </cell>
          <cell r="G381">
            <v>4001086377</v>
          </cell>
          <cell r="H381" t="str">
            <v>TAE374168</v>
          </cell>
          <cell r="I381">
            <v>119072484</v>
          </cell>
          <cell r="J381" t="str">
            <v>Ayoub BENESTA</v>
          </cell>
        </row>
        <row r="382">
          <cell r="B382" t="str">
            <v>T165EBX</v>
          </cell>
          <cell r="C382" t="str">
            <v>T571EBX</v>
          </cell>
          <cell r="D382" t="str">
            <v>T669EBV</v>
          </cell>
          <cell r="E382" t="str">
            <v>OMARY HAMZA MBARUKU</v>
          </cell>
          <cell r="F382">
            <v>677620617</v>
          </cell>
          <cell r="G382">
            <v>4003490444</v>
          </cell>
          <cell r="H382" t="str">
            <v>TAE656095</v>
          </cell>
          <cell r="I382" t="str">
            <v>129-410-965</v>
          </cell>
          <cell r="J382" t="str">
            <v>Ayoub BENESTA</v>
          </cell>
        </row>
        <row r="383">
          <cell r="B383" t="str">
            <v>T390ECN</v>
          </cell>
          <cell r="C383" t="str">
            <v>T788ECG</v>
          </cell>
          <cell r="D383" t="str">
            <v>T954EBV</v>
          </cell>
          <cell r="E383" t="str">
            <v>OMARY IDDY MACHUPPA</v>
          </cell>
          <cell r="F383">
            <v>782671777</v>
          </cell>
          <cell r="G383">
            <v>4000394851</v>
          </cell>
          <cell r="H383" t="str">
            <v>TAE477756</v>
          </cell>
          <cell r="I383" t="e">
            <v>#N/A</v>
          </cell>
          <cell r="J383" t="str">
            <v>PLASDUS MAHUMBA</v>
          </cell>
        </row>
        <row r="384">
          <cell r="B384" t="str">
            <v>T942DSX</v>
          </cell>
          <cell r="C384" t="str">
            <v>T420DTD</v>
          </cell>
          <cell r="D384" t="str">
            <v> </v>
          </cell>
          <cell r="E384" t="str">
            <v>OMARY SAID KITAMBO</v>
          </cell>
          <cell r="F384">
            <v>686825290</v>
          </cell>
          <cell r="G384">
            <v>4006464282</v>
          </cell>
          <cell r="H384" t="str">
            <v>TAE702024</v>
          </cell>
          <cell r="I384" t="e">
            <v>#N/A</v>
          </cell>
          <cell r="J384" t="str">
            <v>IRENE SHIJA</v>
          </cell>
        </row>
        <row r="385">
          <cell r="B385" t="str">
            <v>T861EBY</v>
          </cell>
          <cell r="C385" t="str">
            <v>T403EBW</v>
          </cell>
          <cell r="D385" t="str">
            <v>T780EBV</v>
          </cell>
          <cell r="E385" t="str">
            <v>OMARY SAID MTAJI</v>
          </cell>
          <cell r="F385">
            <v>787750194</v>
          </cell>
          <cell r="G385">
            <v>4000198777</v>
          </cell>
          <cell r="H385" t="str">
            <v>TAE 495146</v>
          </cell>
          <cell r="I385" t="e">
            <v>#N/A</v>
          </cell>
          <cell r="J385" t="str">
            <v>SADI KIMWAGA</v>
          </cell>
        </row>
        <row r="386">
          <cell r="B386" t="str">
            <v>T301EBX</v>
          </cell>
          <cell r="C386" t="str">
            <v>T522EBW</v>
          </cell>
          <cell r="D386" t="str">
            <v>T340EBW</v>
          </cell>
          <cell r="E386" t="str">
            <v>OMARY SALUM ABDI</v>
          </cell>
          <cell r="F386">
            <v>712198882</v>
          </cell>
          <cell r="G386">
            <v>4005000609</v>
          </cell>
          <cell r="H386" t="str">
            <v>TAE704057</v>
          </cell>
          <cell r="I386" t="str">
            <v>136-012-762</v>
          </cell>
          <cell r="J386" t="str">
            <v>SADI KIMWAGA</v>
          </cell>
        </row>
        <row r="387">
          <cell r="B387" t="str">
            <v>T575DYR</v>
          </cell>
          <cell r="C387" t="str">
            <v>T807DYT</v>
          </cell>
          <cell r="D387" t="str">
            <v> </v>
          </cell>
          <cell r="E387" t="str">
            <v>OMARY SEIF MGUBIRI</v>
          </cell>
          <cell r="F387">
            <v>655419024</v>
          </cell>
          <cell r="G387">
            <v>4000917500</v>
          </cell>
          <cell r="H387" t="str">
            <v>TAE657088</v>
          </cell>
          <cell r="I387" t="str">
            <v>118-408-829</v>
          </cell>
          <cell r="J387" t="str">
            <v>Ayoub BENESTA</v>
          </cell>
        </row>
        <row r="388">
          <cell r="B388" t="str">
            <v>T764DYR</v>
          </cell>
          <cell r="C388" t="str">
            <v>T948DYT</v>
          </cell>
          <cell r="D388"/>
          <cell r="E388" t="str">
            <v>OPTATUS SYLVESTER MUHINDO</v>
          </cell>
          <cell r="F388">
            <v>765465606</v>
          </cell>
          <cell r="G388">
            <v>4000854060</v>
          </cell>
          <cell r="H388" t="str">
            <v>AB1759872</v>
          </cell>
          <cell r="I388" t="e">
            <v>#N/A</v>
          </cell>
          <cell r="J388" t="str">
            <v>PLASDUS MAHUMBA</v>
          </cell>
        </row>
        <row r="389">
          <cell r="B389" t="str">
            <v>T577DTQ</v>
          </cell>
          <cell r="C389" t="str">
            <v>T812DTQ</v>
          </cell>
          <cell r="D389"/>
          <cell r="E389" t="str">
            <v>OSCAR NASHON NGOWI</v>
          </cell>
          <cell r="F389">
            <v>763617640</v>
          </cell>
          <cell r="G389">
            <v>4000652921</v>
          </cell>
          <cell r="H389" t="str">
            <v>TAE884583</v>
          </cell>
          <cell r="I389" t="e">
            <v>#N/A</v>
          </cell>
          <cell r="J389" t="str">
            <v>PLASDUS MAHUMBA</v>
          </cell>
        </row>
        <row r="390">
          <cell r="B390" t="str">
            <v>T435DHG</v>
          </cell>
          <cell r="C390" t="str">
            <v>T776DEU</v>
          </cell>
          <cell r="D390" t="str">
            <v> </v>
          </cell>
          <cell r="E390" t="str">
            <v>OTHUMAN SALUM MSIKA</v>
          </cell>
          <cell r="F390">
            <v>4000248089</v>
          </cell>
          <cell r="G390">
            <v>787170788</v>
          </cell>
          <cell r="H390" t="str">
            <v>TAE651170</v>
          </cell>
          <cell r="I390" t="str">
            <v>111-885-796</v>
          </cell>
          <cell r="J390" t="str">
            <v>IRENE SHIJA</v>
          </cell>
        </row>
        <row r="391">
          <cell r="B391" t="str">
            <v>T590DTQ</v>
          </cell>
          <cell r="C391" t="str">
            <v>T825DTQ</v>
          </cell>
          <cell r="D391" t="str">
            <v> </v>
          </cell>
          <cell r="E391" t="str">
            <v>PASTOR GASPER MCHAU</v>
          </cell>
          <cell r="F391">
            <v>714383542</v>
          </cell>
          <cell r="G391">
            <v>4000066329</v>
          </cell>
          <cell r="H391" t="str">
            <v>TAE668421</v>
          </cell>
          <cell r="I391" t="str">
            <v>112-039-767</v>
          </cell>
          <cell r="J391" t="str">
            <v>LUSAJO KASUNGA</v>
          </cell>
        </row>
        <row r="392">
          <cell r="B392" t="str">
            <v>T585DTQ</v>
          </cell>
          <cell r="C392" t="str">
            <v>T938DEK</v>
          </cell>
          <cell r="D392" t="str">
            <v> </v>
          </cell>
          <cell r="E392" t="str">
            <v>PATRICK CASTORY BANZI</v>
          </cell>
          <cell r="F392">
            <v>657223129</v>
          </cell>
          <cell r="G392">
            <v>4000521677</v>
          </cell>
          <cell r="H392" t="str">
            <v>TAE787188</v>
          </cell>
          <cell r="I392">
            <v>116716658</v>
          </cell>
          <cell r="J392" t="str">
            <v>PLASDUS MAHUMBA</v>
          </cell>
        </row>
        <row r="393">
          <cell r="B393" t="str">
            <v>T564DEB</v>
          </cell>
          <cell r="C393" t="str">
            <v>T745DEU</v>
          </cell>
          <cell r="D393" t="str">
            <v> </v>
          </cell>
          <cell r="E393" t="str">
            <v>PATRICK CLEMENT COROGO</v>
          </cell>
          <cell r="F393">
            <v>673298280</v>
          </cell>
          <cell r="G393">
            <v>4000014372</v>
          </cell>
          <cell r="H393" t="str">
            <v>TAE739322</v>
          </cell>
          <cell r="I393" t="e">
            <v>#N/A</v>
          </cell>
          <cell r="J393" t="str">
            <v>LUSAJO KASUNGA</v>
          </cell>
        </row>
        <row r="394">
          <cell r="B394" t="str">
            <v>T875EBY</v>
          </cell>
          <cell r="C394" t="str">
            <v>T827ECD</v>
          </cell>
          <cell r="D394" t="str">
            <v>T596EBV</v>
          </cell>
          <cell r="E394" t="str">
            <v>PATRICK MSONGWA MWANJIBILI</v>
          </cell>
          <cell r="F394">
            <v>768648549</v>
          </cell>
          <cell r="G394">
            <v>4000285936</v>
          </cell>
          <cell r="H394" t="str">
            <v>TAE641757</v>
          </cell>
          <cell r="I394" t="e">
            <v>#N/A</v>
          </cell>
          <cell r="J394" t="str">
            <v>SADI KIMWAGA</v>
          </cell>
        </row>
        <row r="395">
          <cell r="B395" t="str">
            <v>T424DHG</v>
          </cell>
          <cell r="C395" t="str">
            <v>T370DHS</v>
          </cell>
          <cell r="D395" t="str">
            <v> </v>
          </cell>
          <cell r="E395" t="str">
            <v>PETER JOSEPH CHORRAY</v>
          </cell>
          <cell r="F395">
            <v>749319185</v>
          </cell>
          <cell r="G395">
            <v>4006873525</v>
          </cell>
          <cell r="H395" t="str">
            <v>TAE711597</v>
          </cell>
          <cell r="I395"/>
          <cell r="J395" t="str">
            <v>Martha GOLODI</v>
          </cell>
        </row>
        <row r="396">
          <cell r="B396" t="str">
            <v>T779EBW</v>
          </cell>
          <cell r="C396" t="str">
            <v>T825ECG</v>
          </cell>
          <cell r="D396" t="str">
            <v>T636EBV</v>
          </cell>
          <cell r="E396" t="str">
            <v>PAUL NKAMU SENGWA</v>
          </cell>
          <cell r="F396">
            <v>688126432</v>
          </cell>
          <cell r="G396">
            <v>4000085251</v>
          </cell>
          <cell r="H396" t="str">
            <v>TAE318302</v>
          </cell>
          <cell r="I396">
            <v>111917663</v>
          </cell>
          <cell r="J396" t="str">
            <v>Ayoub BENESTA</v>
          </cell>
        </row>
        <row r="397">
          <cell r="B397" t="str">
            <v>T376ECN</v>
          </cell>
          <cell r="C397" t="str">
            <v>T822ECG</v>
          </cell>
          <cell r="D397" t="str">
            <v>T516EBV</v>
          </cell>
          <cell r="E397" t="str">
            <v>PETER BENJAMIN KINGU</v>
          </cell>
          <cell r="F397">
            <v>713749757</v>
          </cell>
          <cell r="G397">
            <v>4000200698</v>
          </cell>
          <cell r="H397" t="str">
            <v>TAE678674</v>
          </cell>
          <cell r="I397">
            <v>113857625</v>
          </cell>
          <cell r="J397" t="str">
            <v>Ayoub BENESTA</v>
          </cell>
        </row>
        <row r="398">
          <cell r="B398" t="str">
            <v>T913EBW</v>
          </cell>
          <cell r="C398" t="str">
            <v>T541EBY</v>
          </cell>
          <cell r="D398" t="str">
            <v>T218EBV</v>
          </cell>
          <cell r="E398" t="str">
            <v>PETER JOHN MAJAA</v>
          </cell>
          <cell r="F398">
            <v>756989588</v>
          </cell>
          <cell r="G398">
            <v>4001752825</v>
          </cell>
          <cell r="H398" t="str">
            <v>TAE672656</v>
          </cell>
          <cell r="I398">
            <v>121960788</v>
          </cell>
          <cell r="J398" t="str">
            <v>Martha GOLODI</v>
          </cell>
        </row>
        <row r="399">
          <cell r="B399" t="str">
            <v>T877EBY</v>
          </cell>
          <cell r="C399" t="str">
            <v>T491ECE</v>
          </cell>
          <cell r="D399" t="str">
            <v>T517EBV</v>
          </cell>
          <cell r="E399" t="str">
            <v>PETER KAKORE SHABANI</v>
          </cell>
          <cell r="F399">
            <v>767740001</v>
          </cell>
          <cell r="G399">
            <v>4000289763</v>
          </cell>
          <cell r="H399" t="str">
            <v>TAE867970</v>
          </cell>
          <cell r="I399">
            <v>114865060</v>
          </cell>
          <cell r="J399" t="str">
            <v>SADI KIMWAGA</v>
          </cell>
        </row>
        <row r="400">
          <cell r="B400" t="str">
            <v>T879EBY</v>
          </cell>
          <cell r="C400" t="str">
            <v>T441EBW</v>
          </cell>
          <cell r="D400" t="str">
            <v>T753EBV</v>
          </cell>
          <cell r="E400" t="str">
            <v>PETER KAMUGISHA HAMADI</v>
          </cell>
          <cell r="F400">
            <v>753167770</v>
          </cell>
          <cell r="G400">
            <v>4001561313</v>
          </cell>
          <cell r="H400" t="str">
            <v>TAE721249</v>
          </cell>
          <cell r="I400">
            <v>121110091</v>
          </cell>
          <cell r="J400" t="str">
            <v>LUSAJO KASUNGA</v>
          </cell>
        </row>
        <row r="401">
          <cell r="B401" t="str">
            <v>T275EBY</v>
          </cell>
          <cell r="C401" t="str">
            <v>T923EBY</v>
          </cell>
          <cell r="D401" t="str">
            <v> </v>
          </cell>
          <cell r="E401" t="str">
            <v>PILI LUGAMBULA BULIMA</v>
          </cell>
          <cell r="F401">
            <v>768185324</v>
          </cell>
          <cell r="G401">
            <v>4006849426</v>
          </cell>
          <cell r="H401" t="str">
            <v>TAE650083</v>
          </cell>
          <cell r="I401" t="e">
            <v>#N/A</v>
          </cell>
          <cell r="J401" t="str">
            <v>PLASDUS MAHUMBA</v>
          </cell>
        </row>
        <row r="402">
          <cell r="B402" t="str">
            <v>T272EBX</v>
          </cell>
          <cell r="C402" t="str">
            <v>T910EBY</v>
          </cell>
          <cell r="D402" t="str">
            <v> </v>
          </cell>
          <cell r="E402" t="str">
            <v>POTPHA PASCAL MTAKIMWA</v>
          </cell>
          <cell r="F402">
            <v>752508805</v>
          </cell>
          <cell r="G402">
            <v>4001407038</v>
          </cell>
          <cell r="H402" t="str">
            <v>TAE635683</v>
          </cell>
          <cell r="I402" t="str">
            <v>120-448-110</v>
          </cell>
          <cell r="J402" t="str">
            <v>Ayoub BENESTA</v>
          </cell>
        </row>
        <row r="403">
          <cell r="B403" t="str">
            <v>T357DHG</v>
          </cell>
          <cell r="C403" t="str">
            <v>T366DHS</v>
          </cell>
          <cell r="D403" t="str">
            <v> </v>
          </cell>
          <cell r="E403" t="str">
            <v>PRAYGOD THOMASI KIWAYA</v>
          </cell>
          <cell r="F403">
            <v>758378565</v>
          </cell>
          <cell r="G403">
            <v>4000410274</v>
          </cell>
          <cell r="H403" t="str">
            <v>TAE688883</v>
          </cell>
          <cell r="I403" t="str">
            <v>138-462-005</v>
          </cell>
          <cell r="J403" t="str">
            <v>SADI KIMWAGA</v>
          </cell>
        </row>
        <row r="404">
          <cell r="B404" t="str">
            <v>T869EBY</v>
          </cell>
          <cell r="C404" t="str">
            <v>T589EBY</v>
          </cell>
          <cell r="D404" t="str">
            <v>T588EBV</v>
          </cell>
          <cell r="E404" t="str">
            <v>RAFAEL ERASTO NZAWIBO</v>
          </cell>
          <cell r="F404">
            <v>765328581</v>
          </cell>
          <cell r="G404">
            <v>4000231317</v>
          </cell>
          <cell r="H404" t="str">
            <v>TAE644938</v>
          </cell>
          <cell r="I404">
            <v>114237795</v>
          </cell>
          <cell r="J404" t="str">
            <v>SADI KIMWAGA</v>
          </cell>
        </row>
        <row r="405">
          <cell r="B405" t="str">
            <v>T722EBX</v>
          </cell>
          <cell r="C405" t="str">
            <v>T542EBY</v>
          </cell>
          <cell r="D405" t="str">
            <v>T657EBV</v>
          </cell>
          <cell r="E405" t="str">
            <v>RAJABU ABDALLAH MWINAMA</v>
          </cell>
          <cell r="F405">
            <v>4003624518</v>
          </cell>
          <cell r="G405">
            <v>712814131</v>
          </cell>
          <cell r="H405" t="str">
            <v>TAE495097</v>
          </cell>
          <cell r="I405" t="e">
            <v>#N/A</v>
          </cell>
          <cell r="J405" t="str">
            <v>PLASDUS MAHUMBA</v>
          </cell>
        </row>
        <row r="406">
          <cell r="B406" t="str">
            <v>T712DYR</v>
          </cell>
          <cell r="C406" t="str">
            <v>T816DTQ</v>
          </cell>
          <cell r="D406" t="str">
            <v> </v>
          </cell>
          <cell r="E406" t="str">
            <v>RAJABU HUSSEIN AHMAD</v>
          </cell>
          <cell r="F406">
            <v>753042807</v>
          </cell>
          <cell r="G406">
            <v>4000307518</v>
          </cell>
          <cell r="H406" t="str">
            <v>TAE695463</v>
          </cell>
          <cell r="I406" t="str">
            <v>111-304-246</v>
          </cell>
          <cell r="J406" t="str">
            <v>LUSAJO KASUNGA</v>
          </cell>
        </row>
        <row r="407">
          <cell r="B407" t="str">
            <v>T975EBW</v>
          </cell>
          <cell r="C407" t="str">
            <v>T513EBW</v>
          </cell>
          <cell r="D407" t="str">
            <v>T224EBV</v>
          </cell>
          <cell r="E407" t="str">
            <v>RAJABU ISSA OMARI</v>
          </cell>
          <cell r="F407">
            <v>683970540</v>
          </cell>
          <cell r="G407">
            <v>4000196168</v>
          </cell>
          <cell r="H407" t="str">
            <v>TAE712530</v>
          </cell>
          <cell r="I407" t="str">
            <v>113-794-054</v>
          </cell>
          <cell r="J407" t="str">
            <v>SADI KIMWAGA</v>
          </cell>
        </row>
        <row r="408">
          <cell r="B408" t="str">
            <v>T993EBW</v>
          </cell>
          <cell r="C408" t="str">
            <v>T519EBW</v>
          </cell>
          <cell r="D408" t="str">
            <v>T560EBV</v>
          </cell>
          <cell r="E408" t="str">
            <v>RAJABU KONGO LADISLAUS</v>
          </cell>
          <cell r="F408">
            <v>755424343</v>
          </cell>
          <cell r="G408">
            <v>4000083332</v>
          </cell>
          <cell r="H408" t="str">
            <v>TAE673714</v>
          </cell>
          <cell r="I408">
            <v>112304606</v>
          </cell>
          <cell r="J408" t="str">
            <v>SADI KIMWAGA</v>
          </cell>
        </row>
        <row r="409">
          <cell r="B409" t="str">
            <v>T407DHE</v>
          </cell>
          <cell r="C409" t="str">
            <v>T120DHM</v>
          </cell>
          <cell r="D409" t="str">
            <v> </v>
          </cell>
          <cell r="E409" t="str">
            <v>RAJABU MOHAMED MATUA</v>
          </cell>
          <cell r="F409">
            <v>755114477</v>
          </cell>
          <cell r="G409">
            <v>4000233365</v>
          </cell>
          <cell r="H409" t="str">
            <v>TAE686368</v>
          </cell>
          <cell r="I409" t="str">
            <v>114-265-470</v>
          </cell>
          <cell r="J409" t="str">
            <v>LUSAJO KASUNGA</v>
          </cell>
        </row>
        <row r="410">
          <cell r="B410" t="str">
            <v>T190EBX</v>
          </cell>
          <cell r="C410" t="str">
            <v>T596EBX</v>
          </cell>
          <cell r="D410" t="str">
            <v>T217EBV</v>
          </cell>
          <cell r="E410" t="str">
            <v>RAJABU MOSHI MKUTA</v>
          </cell>
          <cell r="F410">
            <v>719258683</v>
          </cell>
          <cell r="G410">
            <v>4000890383</v>
          </cell>
          <cell r="H410" t="str">
            <v>TAE709443</v>
          </cell>
          <cell r="I410">
            <v>118289188</v>
          </cell>
          <cell r="J410" t="str">
            <v>IRENE SHIJA</v>
          </cell>
        </row>
        <row r="411">
          <cell r="B411" t="str">
            <v>T684EBX</v>
          </cell>
          <cell r="C411" t="str">
            <v>T224EBZ</v>
          </cell>
          <cell r="D411" t="str">
            <v>T683EBV</v>
          </cell>
          <cell r="E411" t="str">
            <v>RAJABU RASHIDI MALUPU</v>
          </cell>
          <cell r="F411">
            <v>748728885</v>
          </cell>
          <cell r="G411">
            <v>4002078835</v>
          </cell>
          <cell r="H411" t="str">
            <v>TAE573004</v>
          </cell>
          <cell r="I411" t="str">
            <v>122-755-738</v>
          </cell>
          <cell r="J411" t="str">
            <v>LUSAJO KASUNGA</v>
          </cell>
        </row>
        <row r="412">
          <cell r="B412" t="str">
            <v>T950DSX</v>
          </cell>
          <cell r="C412" t="str">
            <v>T386DTD</v>
          </cell>
          <cell r="D412" t="str">
            <v> </v>
          </cell>
          <cell r="E412" t="str">
            <v>RAJABU SADIKI SUNGUWAZYA</v>
          </cell>
          <cell r="F412">
            <v>715047010</v>
          </cell>
          <cell r="G412">
            <v>4004979830</v>
          </cell>
          <cell r="H412" t="str">
            <v>TAE658004</v>
          </cell>
          <cell r="I412"/>
          <cell r="J412" t="str">
            <v>LUSAJO KASUNGA</v>
          </cell>
        </row>
        <row r="413">
          <cell r="B413" t="str">
            <v>T325ECN</v>
          </cell>
          <cell r="C413" t="str">
            <v>T812ECG</v>
          </cell>
          <cell r="D413" t="str">
            <v>T776EBV</v>
          </cell>
          <cell r="E413" t="str">
            <v>RAMADHAN MWARAMI MBOMBWE</v>
          </cell>
          <cell r="F413">
            <v>689880862</v>
          </cell>
          <cell r="G413">
            <v>4000768258</v>
          </cell>
          <cell r="H413" t="str">
            <v>TAE393764</v>
          </cell>
          <cell r="I413" t="e">
            <v>#N/A</v>
          </cell>
          <cell r="J413" t="str">
            <v>PLASDUS MAHUMBA</v>
          </cell>
        </row>
        <row r="414">
          <cell r="B414" t="str">
            <v>T904EBW</v>
          </cell>
          <cell r="C414" t="str">
            <v>T550EBX</v>
          </cell>
          <cell r="D414" t="str">
            <v>T147EBW</v>
          </cell>
          <cell r="E414" t="str">
            <v>RAMADHAN RAHIBU SULEIMAN</v>
          </cell>
          <cell r="F414">
            <v>755821265</v>
          </cell>
          <cell r="G414">
            <v>4000176273</v>
          </cell>
          <cell r="H414" t="str">
            <v>TAE347471</v>
          </cell>
          <cell r="I414" t="e">
            <v>#N/A</v>
          </cell>
          <cell r="J414" t="str">
            <v>SADI KIMWAGA</v>
          </cell>
        </row>
        <row r="415">
          <cell r="B415" t="str">
            <v>T403ECN</v>
          </cell>
          <cell r="C415" t="str">
            <v>T785ECG</v>
          </cell>
          <cell r="D415" t="str">
            <v>T969EBV</v>
          </cell>
          <cell r="E415" t="str">
            <v>RAMADHANI AYOUB ATHUMANI</v>
          </cell>
          <cell r="F415">
            <v>712929554</v>
          </cell>
          <cell r="G415">
            <v>4006759485</v>
          </cell>
          <cell r="H415" t="str">
            <v>TAE509342</v>
          </cell>
          <cell r="I415" t="str">
            <v>144-646-827</v>
          </cell>
          <cell r="J415" t="str">
            <v>LUSAJO KASUNGA</v>
          </cell>
        </row>
        <row r="416">
          <cell r="B416" t="str">
            <v>T704DYR</v>
          </cell>
          <cell r="C416" t="str">
            <v>T490DDC</v>
          </cell>
          <cell r="D416" t="str">
            <v> </v>
          </cell>
          <cell r="E416" t="str">
            <v>RAMADHANI HAMISI SALUM</v>
          </cell>
          <cell r="F416">
            <v>688727212</v>
          </cell>
          <cell r="G416">
            <v>4000977569</v>
          </cell>
          <cell r="H416" t="str">
            <v>TAE675021</v>
          </cell>
          <cell r="I416" t="e">
            <v>#N/A</v>
          </cell>
          <cell r="J416" t="str">
            <v>SADI KIMWAGA</v>
          </cell>
        </row>
        <row r="417">
          <cell r="B417" t="str">
            <v>T352DHG</v>
          </cell>
          <cell r="C417" t="str">
            <v>T357DHS</v>
          </cell>
          <cell r="D417" t="str">
            <v> </v>
          </cell>
          <cell r="E417" t="str">
            <v>RAMADHANI HASSANI MSAMBILA</v>
          </cell>
          <cell r="F417">
            <v>675482036</v>
          </cell>
          <cell r="G417">
            <v>4000157393</v>
          </cell>
          <cell r="H417" t="str">
            <v>TAE684929</v>
          </cell>
          <cell r="I417" t="str">
            <v>113-324-376</v>
          </cell>
          <cell r="J417" t="str">
            <v>IRENE SHIJA</v>
          </cell>
        </row>
        <row r="418">
          <cell r="B418" t="str">
            <v>T634DHL</v>
          </cell>
          <cell r="C418" t="str">
            <v>T988DHL</v>
          </cell>
          <cell r="D418" t="str">
            <v> </v>
          </cell>
          <cell r="E418" t="str">
            <v>RAMADHANI MBEZI OMARY</v>
          </cell>
          <cell r="F418">
            <v>683869500</v>
          </cell>
          <cell r="G418">
            <v>4001318754</v>
          </cell>
          <cell r="H418" t="str">
            <v>TAE829562</v>
          </cell>
          <cell r="I418" t="str">
            <v>120-025-465</v>
          </cell>
          <cell r="J418" t="str">
            <v>Martha GOLODI</v>
          </cell>
        </row>
        <row r="419">
          <cell r="B419" t="str">
            <v>T318EBY</v>
          </cell>
          <cell r="C419" t="str">
            <v>T472EBW</v>
          </cell>
          <cell r="D419" t="str">
            <v>T747EBV</v>
          </cell>
          <cell r="E419" t="str">
            <v>RAMADHANI NASSORO KILUA</v>
          </cell>
          <cell r="F419">
            <v>711803299</v>
          </cell>
          <cell r="G419">
            <v>4006872396</v>
          </cell>
          <cell r="H419" t="str">
            <v>TAE673299</v>
          </cell>
          <cell r="I419" t="e">
            <v>#N/A</v>
          </cell>
          <cell r="J419" t="str">
            <v>IRENE SHIJA</v>
          </cell>
        </row>
        <row r="420">
          <cell r="B420" t="str">
            <v>T519EBY</v>
          </cell>
          <cell r="C420" t="str">
            <v>T921EBY</v>
          </cell>
          <cell r="D420" t="str">
            <v> </v>
          </cell>
          <cell r="E420" t="str">
            <v>RAMADHANI PAZI JAMES</v>
          </cell>
          <cell r="F420">
            <v>719909012</v>
          </cell>
          <cell r="G420">
            <v>4000162992</v>
          </cell>
          <cell r="H420" t="str">
            <v>TAE677237</v>
          </cell>
          <cell r="I420"/>
          <cell r="J420" t="str">
            <v>Ayoub BENESTA</v>
          </cell>
        </row>
        <row r="421">
          <cell r="B421" t="str">
            <v>T727EBX</v>
          </cell>
          <cell r="C421" t="str">
            <v>T264EBZ</v>
          </cell>
          <cell r="D421" t="str">
            <v>T958EBV</v>
          </cell>
          <cell r="E421" t="str">
            <v>RAMADHANI SAID NCHIMBI</v>
          </cell>
          <cell r="F421">
            <v>4000306595</v>
          </cell>
          <cell r="G421">
            <v>685600999</v>
          </cell>
          <cell r="H421" t="str">
            <v>TAE778717</v>
          </cell>
          <cell r="I421" t="e">
            <v>#N/A</v>
          </cell>
          <cell r="J421" t="str">
            <v>PLASDUS MAHUMBA</v>
          </cell>
        </row>
        <row r="422">
          <cell r="B422" t="str">
            <v>T482DYR</v>
          </cell>
          <cell r="C422" t="str">
            <v>T827DYT</v>
          </cell>
          <cell r="D422" t="str">
            <v> </v>
          </cell>
          <cell r="E422" t="str">
            <v>RAMADHANI SHABANI WAGAMOYO</v>
          </cell>
          <cell r="F422">
            <v>714776929</v>
          </cell>
          <cell r="G422">
            <v>4000120289</v>
          </cell>
          <cell r="H422" t="str">
            <v>TAE724377</v>
          </cell>
          <cell r="I422" t="str">
            <v>111-984-360</v>
          </cell>
          <cell r="J422" t="str">
            <v>SADI KIMWAGA</v>
          </cell>
        </row>
        <row r="423">
          <cell r="B423" t="str">
            <v>T183EBX</v>
          </cell>
          <cell r="C423" t="str">
            <v>T588EBX</v>
          </cell>
          <cell r="D423" t="str">
            <v>T216EBV</v>
          </cell>
          <cell r="E423" t="str">
            <v>RAMADHANI SHAIBU SWALEHE</v>
          </cell>
          <cell r="F423">
            <v>789186705</v>
          </cell>
          <cell r="G423">
            <v>4001259303</v>
          </cell>
          <cell r="H423" t="str">
            <v>TAE708432</v>
          </cell>
          <cell r="I423">
            <v>119529395</v>
          </cell>
          <cell r="J423" t="str">
            <v>Ayoub BENESTA</v>
          </cell>
        </row>
        <row r="424">
          <cell r="B424" t="str">
            <v>T246EBX</v>
          </cell>
          <cell r="C424" t="str">
            <v>T912EBY</v>
          </cell>
          <cell r="D424" t="str">
            <v> </v>
          </cell>
          <cell r="E424" t="str">
            <v>RASHID HASSAN NZOGO</v>
          </cell>
          <cell r="F424">
            <v>654124860</v>
          </cell>
          <cell r="G424">
            <v>4000633740</v>
          </cell>
          <cell r="H424" t="str">
            <v>TAE685519</v>
          </cell>
          <cell r="I424">
            <v>117172333</v>
          </cell>
          <cell r="J424" t="str">
            <v>IRENE SHIJA</v>
          </cell>
        </row>
        <row r="425">
          <cell r="B425" t="str">
            <v>T598DTQ</v>
          </cell>
          <cell r="C425" t="str">
            <v>T802DTQ</v>
          </cell>
          <cell r="D425" t="str">
            <v> </v>
          </cell>
          <cell r="E425" t="str">
            <v>RASHID HEMEDI KHALIFA</v>
          </cell>
          <cell r="F425">
            <v>756327087</v>
          </cell>
          <cell r="G425">
            <v>4003925412</v>
          </cell>
          <cell r="H425" t="str">
            <v>TAE766325</v>
          </cell>
          <cell r="I425" t="str">
            <v>131-625-960</v>
          </cell>
          <cell r="J425" t="str">
            <v>Ayoub BENESTA</v>
          </cell>
        </row>
        <row r="426">
          <cell r="B426" t="str">
            <v>T328EBX</v>
          </cell>
          <cell r="C426" t="str">
            <v>T889EBY</v>
          </cell>
          <cell r="D426" t="str">
            <v> </v>
          </cell>
          <cell r="E426" t="str">
            <v>RASHID MUSSA MALILO</v>
          </cell>
          <cell r="F426">
            <v>785008020</v>
          </cell>
          <cell r="G426">
            <v>4000831421</v>
          </cell>
          <cell r="H426" t="str">
            <v>TAE702851</v>
          </cell>
          <cell r="I426" t="str">
            <v>118-043-847</v>
          </cell>
          <cell r="J426" t="str">
            <v>Ayoub BENESTA</v>
          </cell>
        </row>
        <row r="427">
          <cell r="B427" t="str">
            <v>T817DDS</v>
          </cell>
          <cell r="C427" t="str">
            <v>T579DEJ</v>
          </cell>
          <cell r="D427" t="str">
            <v> </v>
          </cell>
          <cell r="E427" t="str">
            <v>RASHIDI HUDI HUSSEIN</v>
          </cell>
          <cell r="F427">
            <v>716200489</v>
          </cell>
          <cell r="G427">
            <v>4002062064</v>
          </cell>
          <cell r="H427" t="str">
            <v>TAE691063</v>
          </cell>
          <cell r="I427" t="str">
            <v>117-738-280</v>
          </cell>
          <cell r="J427" t="str">
            <v>Ayoub BENESTA</v>
          </cell>
        </row>
        <row r="428">
          <cell r="B428" t="str">
            <v>T510EBY</v>
          </cell>
          <cell r="C428" t="str">
            <v>T890EBY</v>
          </cell>
          <cell r="D428" t="str">
            <v> </v>
          </cell>
          <cell r="E428" t="str">
            <v>RASHIDI MUSTAFA ABDALLAH</v>
          </cell>
          <cell r="F428">
            <v>788462246</v>
          </cell>
          <cell r="G428">
            <v>4000183901</v>
          </cell>
          <cell r="H428" t="str">
            <v>TAE814050</v>
          </cell>
          <cell r="I428" t="e">
            <v>#N/A</v>
          </cell>
          <cell r="J428" t="str">
            <v>PLASDUS MAHUMBA</v>
          </cell>
        </row>
        <row r="429">
          <cell r="B429" t="str">
            <v>T327EBX</v>
          </cell>
          <cell r="C429" t="str">
            <v>T907EBY</v>
          </cell>
          <cell r="D429" t="str">
            <v> </v>
          </cell>
          <cell r="E429" t="str">
            <v>RASUL ZUBERY KAONDO</v>
          </cell>
          <cell r="F429">
            <v>716264699</v>
          </cell>
          <cell r="G429">
            <v>4000128259</v>
          </cell>
          <cell r="H429" t="str">
            <v>TAE753923</v>
          </cell>
          <cell r="I429">
            <v>112749446</v>
          </cell>
          <cell r="J429" t="str">
            <v>Ayoub BENESTA</v>
          </cell>
        </row>
        <row r="430">
          <cell r="B430" t="str">
            <v>T735EBX</v>
          </cell>
          <cell r="C430" t="str">
            <v>T547EBY</v>
          </cell>
          <cell r="D430" t="str">
            <v>T947EBV</v>
          </cell>
          <cell r="E430" t="str">
            <v>REGNALD BEATUS TEMU</v>
          </cell>
          <cell r="F430">
            <v>785788006</v>
          </cell>
          <cell r="G430">
            <v>4000066135</v>
          </cell>
          <cell r="H430" t="str">
            <v>TAE771176</v>
          </cell>
          <cell r="I430">
            <v>112037462</v>
          </cell>
          <cell r="J430" t="str">
            <v>PLASDUS MAHUMBA</v>
          </cell>
        </row>
        <row r="431">
          <cell r="B431" t="str">
            <v>T839EBY</v>
          </cell>
          <cell r="C431" t="str">
            <v>T547EBX</v>
          </cell>
          <cell r="D431" t="str">
            <v>T123EBW</v>
          </cell>
          <cell r="E431" t="str">
            <v>REVOCATUS LAUREAN ANATORY</v>
          </cell>
          <cell r="F431">
            <v>789808097</v>
          </cell>
          <cell r="G431">
            <v>4001097895</v>
          </cell>
          <cell r="H431" t="str">
            <v>TAE477781</v>
          </cell>
          <cell r="I431">
            <v>119113490</v>
          </cell>
          <cell r="J431" t="str">
            <v>PLASDUS MAHUMBA</v>
          </cell>
        </row>
        <row r="432">
          <cell r="B432" t="str">
            <v>T878EBW</v>
          </cell>
          <cell r="C432" t="str">
            <v>T588EBY</v>
          </cell>
          <cell r="D432" t="str">
            <v>T526EBV</v>
          </cell>
          <cell r="E432" t="str">
            <v>RICCO SARAI RICCO</v>
          </cell>
          <cell r="F432">
            <v>656098109</v>
          </cell>
          <cell r="G432">
            <v>4000052388</v>
          </cell>
          <cell r="H432" t="str">
            <v>TAE570450</v>
          </cell>
          <cell r="I432">
            <v>111812810</v>
          </cell>
          <cell r="J432" t="str">
            <v>SADI KIMWAGA</v>
          </cell>
        </row>
        <row r="433">
          <cell r="B433" t="str">
            <v>T178EBX</v>
          </cell>
          <cell r="C433" t="str">
            <v>T582EBX</v>
          </cell>
          <cell r="D433" t="str">
            <v>T733EBV</v>
          </cell>
          <cell r="E433" t="str">
            <v>RICHARD ALOYCE MAKYAO</v>
          </cell>
          <cell r="F433">
            <v>752795271</v>
          </cell>
          <cell r="G433">
            <v>4000530085</v>
          </cell>
          <cell r="H433" t="str">
            <v>TAE897046</v>
          </cell>
          <cell r="I433">
            <v>112647015</v>
          </cell>
          <cell r="J433" t="str">
            <v>IRENE SHIJA</v>
          </cell>
        </row>
        <row r="434">
          <cell r="B434" t="str">
            <v>T585DYR</v>
          </cell>
          <cell r="C434" t="str">
            <v>T958DYT</v>
          </cell>
          <cell r="D434" t="str">
            <v> </v>
          </cell>
          <cell r="E434" t="str">
            <v>RICHARD JOHN MWASILE</v>
          </cell>
          <cell r="F434">
            <v>768918801</v>
          </cell>
          <cell r="G434">
            <v>4000854896</v>
          </cell>
          <cell r="H434" t="str">
            <v>TAE680461</v>
          </cell>
          <cell r="I434" t="str">
            <v>118-146-417</v>
          </cell>
          <cell r="J434" t="str">
            <v>Ayoub BENESTA</v>
          </cell>
        </row>
        <row r="435">
          <cell r="B435" t="str">
            <v>T573DYR</v>
          </cell>
          <cell r="C435" t="str">
            <v>T839DYT</v>
          </cell>
          <cell r="D435" t="str">
            <v> </v>
          </cell>
          <cell r="E435" t="str">
            <v>RICHARD OMBENI KIOGWE</v>
          </cell>
          <cell r="F435">
            <v>788933196</v>
          </cell>
          <cell r="G435">
            <v>4000047327</v>
          </cell>
          <cell r="H435" t="str">
            <v>TAE320907</v>
          </cell>
          <cell r="I435" t="str">
            <v>111-718-776</v>
          </cell>
          <cell r="J435" t="str">
            <v>Ayoub BENESTA</v>
          </cell>
        </row>
        <row r="436">
          <cell r="B436" t="str">
            <v>T802DYR</v>
          </cell>
          <cell r="C436" t="str">
            <v>T802DYT</v>
          </cell>
          <cell r="D436" t="str">
            <v> </v>
          </cell>
          <cell r="E436" t="str">
            <v>RICHARD SYLVESTER MEELA</v>
          </cell>
          <cell r="F436">
            <v>789989552</v>
          </cell>
          <cell r="G436">
            <v>4000209126</v>
          </cell>
          <cell r="H436" t="str">
            <v>TAE628075</v>
          </cell>
          <cell r="I436" t="e">
            <v>#N/A</v>
          </cell>
          <cell r="J436" t="str">
            <v>LUSAJO KASUNGA</v>
          </cell>
        </row>
        <row r="437">
          <cell r="B437" t="str">
            <v>T405DHG</v>
          </cell>
          <cell r="C437" t="str">
            <v>T892DHG</v>
          </cell>
          <cell r="D437" t="str">
            <v> </v>
          </cell>
          <cell r="E437" t="str">
            <v>RICHARD YONAH MSENGI</v>
          </cell>
          <cell r="F437">
            <v>787681695</v>
          </cell>
          <cell r="G437">
            <v>4000242933</v>
          </cell>
          <cell r="H437" t="str">
            <v>TAE492792</v>
          </cell>
          <cell r="I437" t="str">
            <v>113-083-700</v>
          </cell>
          <cell r="J437" t="str">
            <v>PLASDUS MAHUMBA</v>
          </cell>
        </row>
        <row r="438">
          <cell r="B438" t="str">
            <v>T397ECN</v>
          </cell>
          <cell r="C438" t="str">
            <v>T792ECG</v>
          </cell>
          <cell r="D438" t="str">
            <v>T522EBV</v>
          </cell>
          <cell r="E438" t="str">
            <v>RIZIKI HASSAN HAMISI</v>
          </cell>
          <cell r="F438">
            <v>764919999</v>
          </cell>
          <cell r="G438">
            <v>4003668417</v>
          </cell>
          <cell r="H438" t="str">
            <v>TAE492988</v>
          </cell>
          <cell r="I438">
            <v>130267378</v>
          </cell>
          <cell r="J438" t="str">
            <v>Martha GOLODI</v>
          </cell>
        </row>
        <row r="439">
          <cell r="B439" t="str">
            <v>T703DYR</v>
          </cell>
          <cell r="C439" t="str">
            <v>T811DYT</v>
          </cell>
          <cell r="D439" t="str">
            <v> </v>
          </cell>
          <cell r="E439" t="str">
            <v>ROBERT DICKSON LAIZER</v>
          </cell>
          <cell r="F439">
            <v>764735378</v>
          </cell>
          <cell r="G439">
            <v>4005012856</v>
          </cell>
          <cell r="H439" t="str">
            <v>TAE691002</v>
          </cell>
          <cell r="I439" t="str">
            <v>135-862-762</v>
          </cell>
          <cell r="J439" t="str">
            <v>Ayoub BENESTA</v>
          </cell>
        </row>
        <row r="440">
          <cell r="B440" t="str">
            <v>T224EBX</v>
          </cell>
          <cell r="C440" t="str">
            <v>T883EBY</v>
          </cell>
          <cell r="D440" t="str">
            <v> </v>
          </cell>
          <cell r="E440" t="str">
            <v>ROBERT TULIA CHANDO</v>
          </cell>
          <cell r="F440">
            <v>737358784</v>
          </cell>
          <cell r="G440">
            <v>4000086460</v>
          </cell>
          <cell r="H440" t="str">
            <v>TAE324135</v>
          </cell>
          <cell r="I440">
            <v>112361642</v>
          </cell>
          <cell r="J440" t="str">
            <v>LUSAJO KASUNGA</v>
          </cell>
        </row>
        <row r="441">
          <cell r="B441" t="str">
            <v>T263EBX</v>
          </cell>
          <cell r="C441" t="str">
            <v>T917EBY</v>
          </cell>
          <cell r="D441" t="str">
            <v> </v>
          </cell>
          <cell r="E441" t="str">
            <v>BAKARI MOHAMEDI SAIDI</v>
          </cell>
          <cell r="F441">
            <v>682812537</v>
          </cell>
          <cell r="G441">
            <v>4001627854</v>
          </cell>
          <cell r="H441" t="str">
            <v>TAE626859</v>
          </cell>
          <cell r="I441" t="str">
            <v>102-227-107</v>
          </cell>
          <cell r="J441" t="str">
            <v>LUSAJO KASUNGA</v>
          </cell>
        </row>
        <row r="442">
          <cell r="B442" t="str">
            <v>T844EBY</v>
          </cell>
          <cell r="C442" t="str">
            <v>T413EBW</v>
          </cell>
          <cell r="D442" t="str">
            <v>T515EBV</v>
          </cell>
          <cell r="E442" t="str">
            <v>ROMANI COSTER DANIEL</v>
          </cell>
          <cell r="F442">
            <v>757033884</v>
          </cell>
          <cell r="G442">
            <v>4000812430</v>
          </cell>
          <cell r="H442" t="str">
            <v>TAE680211</v>
          </cell>
          <cell r="I442" t="e">
            <v>#N/A</v>
          </cell>
          <cell r="J442" t="str">
            <v>Martha GOLODI</v>
          </cell>
        </row>
        <row r="443">
          <cell r="B443" t="str">
            <v>T348DHG</v>
          </cell>
          <cell r="C443" t="str">
            <v>T117DHM</v>
          </cell>
          <cell r="D443" t="str">
            <v> </v>
          </cell>
          <cell r="E443" t="str">
            <v>SAID ALLY MVUGALO</v>
          </cell>
          <cell r="F443" t="str">
            <v>652 281 629</v>
          </cell>
          <cell r="G443">
            <v>4005234025</v>
          </cell>
          <cell r="H443" t="str">
            <v>TAE675408</v>
          </cell>
          <cell r="I443" t="str">
            <v>137-308-407</v>
          </cell>
          <cell r="J443" t="str">
            <v>IRENE SHIJA</v>
          </cell>
        </row>
        <row r="444">
          <cell r="B444" t="str">
            <v>T852EBY</v>
          </cell>
          <cell r="C444" t="str">
            <v>T535EBY</v>
          </cell>
          <cell r="D444" t="str">
            <v>T605EBV</v>
          </cell>
          <cell r="E444" t="str">
            <v>SAID ALLY SAID</v>
          </cell>
          <cell r="F444">
            <v>755422689</v>
          </cell>
          <cell r="G444">
            <v>4000312131</v>
          </cell>
          <cell r="H444" t="str">
            <v>TAE855679</v>
          </cell>
          <cell r="I444">
            <v>115103466</v>
          </cell>
          <cell r="J444" t="str">
            <v>PLASDUS MAHUMBA</v>
          </cell>
        </row>
        <row r="445">
          <cell r="B445" t="str">
            <v>T438DHG</v>
          </cell>
          <cell r="C445" t="str">
            <v>T903DHG</v>
          </cell>
          <cell r="D445" t="str">
            <v> </v>
          </cell>
          <cell r="E445" t="str">
            <v>SAID ASUMAN MUHOGO</v>
          </cell>
          <cell r="F445">
            <v>713310008</v>
          </cell>
          <cell r="G445">
            <v>4000618976</v>
          </cell>
          <cell r="H445" t="str">
            <v>TAE679758</v>
          </cell>
          <cell r="I445" t="e">
            <v>#N/A</v>
          </cell>
          <cell r="J445" t="str">
            <v>Martha GOLODI</v>
          </cell>
        </row>
        <row r="446">
          <cell r="B446" t="str">
            <v>T723DYR</v>
          </cell>
          <cell r="C446" t="str">
            <v>T921DYT</v>
          </cell>
          <cell r="D446" t="str">
            <v> </v>
          </cell>
          <cell r="E446" t="str">
            <v>SAID ATHUMANI NONGWA</v>
          </cell>
          <cell r="F446">
            <v>745111213</v>
          </cell>
          <cell r="G446">
            <v>4000190861</v>
          </cell>
          <cell r="H446" t="str">
            <v>TAE926653</v>
          </cell>
          <cell r="I446" t="str">
            <v>112-943-811</v>
          </cell>
          <cell r="J446" t="str">
            <v>LUSAJO KASUNGA</v>
          </cell>
        </row>
        <row r="447">
          <cell r="B447" t="str">
            <v>T587DTQ</v>
          </cell>
          <cell r="C447" t="str">
            <v>T770DTQ</v>
          </cell>
          <cell r="D447" t="str">
            <v> </v>
          </cell>
          <cell r="E447" t="str">
            <v>SAID HATIB KINGODOLO</v>
          </cell>
          <cell r="F447">
            <v>764414957</v>
          </cell>
          <cell r="G447">
            <v>4000423023</v>
          </cell>
          <cell r="H447" t="str">
            <v>TAE672016</v>
          </cell>
          <cell r="I447" t="e">
            <v>#N/A</v>
          </cell>
          <cell r="J447" t="str">
            <v>IRENE SHIJA</v>
          </cell>
        </row>
        <row r="448">
          <cell r="B448" t="str">
            <v>T564DYR</v>
          </cell>
          <cell r="C448" t="str">
            <v>T817DYT</v>
          </cell>
          <cell r="D448" t="str">
            <v> </v>
          </cell>
          <cell r="E448" t="str">
            <v>SAID KUDRA ULEDI</v>
          </cell>
          <cell r="F448">
            <v>787747479</v>
          </cell>
          <cell r="G448">
            <v>4000067760</v>
          </cell>
          <cell r="H448" t="str">
            <v>TAE685696</v>
          </cell>
          <cell r="I448">
            <v>111448582</v>
          </cell>
          <cell r="J448" t="str">
            <v>Ayoub BENESTA</v>
          </cell>
        </row>
        <row r="449">
          <cell r="B449" t="str">
            <v>T579DYR</v>
          </cell>
          <cell r="C449" t="str">
            <v>T837DYT</v>
          </cell>
          <cell r="D449" t="str">
            <v> </v>
          </cell>
          <cell r="E449" t="str">
            <v>SAID NURU MTANDA</v>
          </cell>
          <cell r="F449">
            <v>789061149</v>
          </cell>
          <cell r="G449">
            <v>4000964720</v>
          </cell>
          <cell r="H449" t="str">
            <v>TAE781032</v>
          </cell>
          <cell r="I449">
            <v>118540484</v>
          </cell>
          <cell r="J449" t="str">
            <v>Ayoub BENESTA</v>
          </cell>
        </row>
        <row r="450">
          <cell r="B450" t="str">
            <v>T282EBY</v>
          </cell>
          <cell r="C450" t="str">
            <v>T911EBY</v>
          </cell>
          <cell r="D450" t="str">
            <v> </v>
          </cell>
          <cell r="E450" t="str">
            <v>SAID RAJABU RAJABU</v>
          </cell>
          <cell r="F450">
            <v>748414646</v>
          </cell>
          <cell r="G450">
            <v>4001247645</v>
          </cell>
          <cell r="H450" t="str">
            <v>TAE687313</v>
          </cell>
          <cell r="I450" t="e">
            <v>#N/A</v>
          </cell>
          <cell r="J450" t="str">
            <v>PLASDUS MAHUMBA</v>
          </cell>
        </row>
        <row r="451">
          <cell r="B451" t="str">
            <v>T521EBY</v>
          </cell>
          <cell r="C451" t="str">
            <v>T564EBX</v>
          </cell>
          <cell r="D451" t="str">
            <v>T137EBW</v>
          </cell>
          <cell r="E451" t="str">
            <v>SAID SALUM MOHAMED</v>
          </cell>
          <cell r="F451">
            <v>656341313</v>
          </cell>
          <cell r="G451">
            <v>4000111023</v>
          </cell>
          <cell r="H451" t="str">
            <v>TAE 634977</v>
          </cell>
          <cell r="I451" t="str">
            <v>112-723-021</v>
          </cell>
          <cell r="J451" t="str">
            <v>SADI KIMWAGA</v>
          </cell>
        </row>
        <row r="452">
          <cell r="B452" t="str">
            <v>T804DYR</v>
          </cell>
          <cell r="C452" t="str">
            <v>T804DYT</v>
          </cell>
          <cell r="D452" t="str">
            <v> </v>
          </cell>
          <cell r="E452" t="str">
            <v>SAIDI BAKARI NG'ITU</v>
          </cell>
          <cell r="F452">
            <v>783651188</v>
          </cell>
          <cell r="G452">
            <v>4000694420</v>
          </cell>
          <cell r="H452" t="str">
            <v>TAE403499</v>
          </cell>
          <cell r="I452" t="e">
            <v>#N/A</v>
          </cell>
          <cell r="J452" t="str">
            <v>IRENE SHIJA</v>
          </cell>
        </row>
        <row r="453">
          <cell r="B453" t="str">
            <v>T994EBW</v>
          </cell>
          <cell r="C453" t="str">
            <v>T476EBW</v>
          </cell>
          <cell r="D453" t="str">
            <v>T603EBV</v>
          </cell>
          <cell r="E453" t="str">
            <v>SAIDI OMARI MTEA</v>
          </cell>
          <cell r="F453" t="str">
            <v>716592131/744507171</v>
          </cell>
          <cell r="G453">
            <v>4003267715</v>
          </cell>
          <cell r="H453" t="str">
            <v>TAE428298</v>
          </cell>
          <cell r="I453">
            <v>128339485</v>
          </cell>
          <cell r="J453" t="str">
            <v>Martha GOLODI</v>
          </cell>
        </row>
        <row r="454">
          <cell r="B454" t="str">
            <v>T263DDJ</v>
          </cell>
          <cell r="C454" t="str">
            <v>T117DAD</v>
          </cell>
          <cell r="D454" t="str">
            <v> </v>
          </cell>
          <cell r="E454" t="str">
            <v>SAIMON GEORGE KAAYA</v>
          </cell>
          <cell r="F454">
            <v>689598390</v>
          </cell>
          <cell r="G454">
            <v>4005932307</v>
          </cell>
          <cell r="H454" t="str">
            <v>AB10095157</v>
          </cell>
          <cell r="I454" t="e">
            <v>#N/A</v>
          </cell>
          <cell r="J454" t="str">
            <v>LUSAJO KASUNGA</v>
          </cell>
        </row>
        <row r="455">
          <cell r="B455" t="str">
            <v>T729DYR</v>
          </cell>
          <cell r="C455" t="str">
            <v>T934DYT</v>
          </cell>
          <cell r="D455" t="str">
            <v> </v>
          </cell>
          <cell r="E455" t="str">
            <v>SALEHE HAMISI ABDALLAH</v>
          </cell>
          <cell r="F455">
            <v>787885810</v>
          </cell>
          <cell r="G455">
            <v>4000186798</v>
          </cell>
          <cell r="H455" t="str">
            <v>TAE859783</v>
          </cell>
          <cell r="I455" t="e">
            <v>#N/A</v>
          </cell>
          <cell r="J455" t="str">
            <v>PLASDUS MAHUMBA</v>
          </cell>
        </row>
        <row r="456">
          <cell r="B456" t="str">
            <v>T593DTQ</v>
          </cell>
          <cell r="C456" t="str">
            <v>T826DTQ</v>
          </cell>
          <cell r="D456" t="str">
            <v> </v>
          </cell>
          <cell r="E456" t="str">
            <v>SALIM ABDALLA KILINDO</v>
          </cell>
          <cell r="F456">
            <v>784590331</v>
          </cell>
          <cell r="G456">
            <v>4000404870</v>
          </cell>
          <cell r="H456" t="str">
            <v>TAE823081</v>
          </cell>
          <cell r="I456" t="e">
            <v>#N/A</v>
          </cell>
          <cell r="J456" t="str">
            <v>SADI KIMWAGA</v>
          </cell>
        </row>
        <row r="457">
          <cell r="B457" t="str">
            <v>T642DHL</v>
          </cell>
          <cell r="C457" t="str">
            <v>T193DBH</v>
          </cell>
          <cell r="D457" t="str">
            <v> </v>
          </cell>
          <cell r="E457" t="str">
            <v>SALIM SHABAN KIKOTI</v>
          </cell>
          <cell r="F457">
            <v>780368192</v>
          </cell>
          <cell r="G457">
            <v>4004909855</v>
          </cell>
          <cell r="H457" t="str">
            <v>TAE881789</v>
          </cell>
          <cell r="I457" t="str">
            <v>135-553-948</v>
          </cell>
          <cell r="J457" t="str">
            <v>PLASDUS MAHUMBA</v>
          </cell>
        </row>
        <row r="458">
          <cell r="B458" t="str">
            <v>T914EBW</v>
          </cell>
          <cell r="C458" t="str">
            <v>T546EBY</v>
          </cell>
          <cell r="D458" t="str">
            <v>T950EBV</v>
          </cell>
          <cell r="E458" t="str">
            <v>SALIMU SAIDI KIANDIKO</v>
          </cell>
          <cell r="F458">
            <v>757025839</v>
          </cell>
          <cell r="G458">
            <v>4000063682</v>
          </cell>
          <cell r="H458" t="str">
            <v>TAE708522</v>
          </cell>
          <cell r="I458" t="str">
            <v>111-275-033</v>
          </cell>
          <cell r="J458" t="str">
            <v>SADI KIMWAGA</v>
          </cell>
        </row>
        <row r="459">
          <cell r="B459" t="str">
            <v>T738EBX</v>
          </cell>
          <cell r="C459" t="str">
            <v>T201EBZ</v>
          </cell>
          <cell r="D459" t="str">
            <v>T687EBV</v>
          </cell>
          <cell r="E459" t="str">
            <v>SALMU JUMANNE SWALEHE</v>
          </cell>
          <cell r="F459">
            <v>783150487</v>
          </cell>
          <cell r="G459">
            <v>400424165</v>
          </cell>
          <cell r="H459" t="str">
            <v>TAE670544</v>
          </cell>
          <cell r="I459" t="e">
            <v>#N/A</v>
          </cell>
          <cell r="J459" t="str">
            <v>PLASDUS MAHUMBA</v>
          </cell>
        </row>
        <row r="460">
          <cell r="B460" t="str">
            <v>T308EBX</v>
          </cell>
          <cell r="C460" t="str">
            <v>T914EBY</v>
          </cell>
          <cell r="D460" t="str">
            <v> </v>
          </cell>
          <cell r="E460" t="str">
            <v>SALUM ALLY MAYANGA</v>
          </cell>
          <cell r="F460">
            <v>784654366</v>
          </cell>
          <cell r="G460">
            <v>4000350541</v>
          </cell>
          <cell r="H460" t="str">
            <v>TAE851134</v>
          </cell>
          <cell r="I460">
            <v>104158927</v>
          </cell>
          <cell r="J460" t="str">
            <v>LUSAJO KASUNGA</v>
          </cell>
        </row>
        <row r="461">
          <cell r="B461" t="str">
            <v>T678EBX</v>
          </cell>
          <cell r="C461" t="str">
            <v>T279EBZ</v>
          </cell>
          <cell r="D461" t="str">
            <v>T708EBV</v>
          </cell>
          <cell r="E461" t="str">
            <v>SALUM ATHUMANI MSILE</v>
          </cell>
          <cell r="F461"/>
          <cell r="G461">
            <v>4000632046</v>
          </cell>
          <cell r="H461" t="str">
            <v>TAE297375</v>
          </cell>
          <cell r="I461">
            <v>117167747</v>
          </cell>
          <cell r="J461" t="str">
            <v>LUSAJO KASUNGA</v>
          </cell>
        </row>
        <row r="462">
          <cell r="B462" t="str">
            <v>T945DSX</v>
          </cell>
          <cell r="C462" t="str">
            <v>T415DTD</v>
          </cell>
          <cell r="D462" t="str">
            <v> </v>
          </cell>
          <cell r="E462" t="str">
            <v>SALUM KITENGE ALLY</v>
          </cell>
          <cell r="F462">
            <v>652245490</v>
          </cell>
          <cell r="G462">
            <v>4000271224</v>
          </cell>
          <cell r="H462" t="str">
            <v>TAE 080172</v>
          </cell>
          <cell r="I462" t="str">
            <v>114-626-732</v>
          </cell>
          <cell r="J462" t="str">
            <v>SADI KIMWAGA</v>
          </cell>
        </row>
        <row r="463">
          <cell r="B463" t="str">
            <v>T794DDS</v>
          </cell>
          <cell r="C463" t="str">
            <v>T489DEJ</v>
          </cell>
          <cell r="D463" t="str">
            <v> </v>
          </cell>
          <cell r="E463" t="str">
            <v>SALUM MGANGA MADENI</v>
          </cell>
          <cell r="F463">
            <v>621850408</v>
          </cell>
          <cell r="G463">
            <v>4000370870</v>
          </cell>
          <cell r="H463" t="str">
            <v>AB1803644</v>
          </cell>
          <cell r="I463" t="str">
            <v>112-525-920</v>
          </cell>
          <cell r="J463" t="str">
            <v>SADI KIMWAGA</v>
          </cell>
        </row>
        <row r="464">
          <cell r="B464" t="str">
            <v>T336EBX</v>
          </cell>
          <cell r="C464" t="str">
            <v>T906EBY</v>
          </cell>
          <cell r="D464" t="str">
            <v> </v>
          </cell>
          <cell r="E464" t="str">
            <v>SALUM MOHAMED NYIRIKA</v>
          </cell>
          <cell r="F464">
            <v>685980307</v>
          </cell>
          <cell r="G464">
            <v>4001345957</v>
          </cell>
          <cell r="H464" t="str">
            <v>TAE655625</v>
          </cell>
          <cell r="I464" t="str">
            <v>114-809-896</v>
          </cell>
          <cell r="J464" t="str">
            <v>Ayoub BENESTA</v>
          </cell>
        </row>
        <row r="465">
          <cell r="B465" t="str">
            <v>T870EBW</v>
          </cell>
          <cell r="C465" t="str">
            <v>T534EBY</v>
          </cell>
          <cell r="D465" t="str">
            <v>T953EBV</v>
          </cell>
          <cell r="E465" t="str">
            <v>SALUM SELEMAN MOHAMED</v>
          </cell>
          <cell r="F465" t="str">
            <v> </v>
          </cell>
          <cell r="G465">
            <v>4000451247</v>
          </cell>
          <cell r="H465" t="str">
            <v>TAE049228</v>
          </cell>
          <cell r="I465"/>
          <cell r="J465" t="str">
            <v>Martha GOLODI</v>
          </cell>
        </row>
        <row r="466">
          <cell r="B466" t="str">
            <v>T168EBX</v>
          </cell>
          <cell r="C466" t="str">
            <v>T579EBX</v>
          </cell>
          <cell r="D466" t="str">
            <v>T637EBV</v>
          </cell>
          <cell r="E466" t="str">
            <v>SALUMU HAIFAI LIKOKO</v>
          </cell>
          <cell r="F466">
            <v>782540065</v>
          </cell>
          <cell r="G466">
            <v>4000513385</v>
          </cell>
          <cell r="H466" t="str">
            <v>TAE535504</v>
          </cell>
          <cell r="I466" t="str">
            <v>113-372-206</v>
          </cell>
          <cell r="J466" t="str">
            <v>Ayoub BENESTA</v>
          </cell>
        </row>
        <row r="467">
          <cell r="B467" t="str">
            <v>T952DSX</v>
          </cell>
          <cell r="C467" t="str">
            <v>T396DTD</v>
          </cell>
          <cell r="D467" t="str">
            <v> </v>
          </cell>
          <cell r="E467" t="str">
            <v>SAMSONI JOSEPH USEGA</v>
          </cell>
          <cell r="F467" t="str">
            <v>713153026/0694091313</v>
          </cell>
          <cell r="G467">
            <v>400160663</v>
          </cell>
          <cell r="H467" t="str">
            <v>TAE944277</v>
          </cell>
          <cell r="I467" t="str">
            <v>121-305-011</v>
          </cell>
          <cell r="J467" t="str">
            <v>Ayoub BENESTA</v>
          </cell>
        </row>
        <row r="468">
          <cell r="B468" t="str">
            <v>T641DHL</v>
          </cell>
          <cell r="C468" t="str">
            <v>T981DHL</v>
          </cell>
          <cell r="D468" t="str">
            <v> </v>
          </cell>
          <cell r="E468" t="str">
            <v>SAMWEL KIBANGA SAMSEY</v>
          </cell>
          <cell r="F468">
            <v>784770566</v>
          </cell>
          <cell r="G468">
            <v>4000327735</v>
          </cell>
          <cell r="H468" t="str">
            <v>AB10014130</v>
          </cell>
          <cell r="I468" t="e">
            <v>#N/A</v>
          </cell>
          <cell r="J468" t="str">
            <v>Martha GOLODI</v>
          </cell>
        </row>
        <row r="469">
          <cell r="B469" t="str">
            <v>T651DTQ</v>
          </cell>
          <cell r="C469" t="str">
            <v>T779DTQ</v>
          </cell>
          <cell r="D469" t="str">
            <v> </v>
          </cell>
          <cell r="E469" t="str">
            <v>SAMWEL KIBANGA SEMSEY</v>
          </cell>
          <cell r="F469">
            <v>4000327735</v>
          </cell>
          <cell r="G469">
            <v>784770566</v>
          </cell>
          <cell r="H469" t="str">
            <v>TAE919414</v>
          </cell>
          <cell r="I469" t="e">
            <v>#N/A</v>
          </cell>
          <cell r="J469" t="str">
            <v>Martha GOLODI</v>
          </cell>
        </row>
        <row r="470">
          <cell r="B470" t="str">
            <v>T939EBW</v>
          </cell>
          <cell r="C470" t="str">
            <v>T516EBW</v>
          </cell>
          <cell r="D470" t="str">
            <v>T524EBV</v>
          </cell>
          <cell r="E470" t="str">
            <v>SEIF AMARY HAMAD</v>
          </cell>
          <cell r="F470">
            <v>688445506</v>
          </cell>
          <cell r="G470">
            <v>4001684284</v>
          </cell>
          <cell r="H470" t="str">
            <v>TAE652059</v>
          </cell>
          <cell r="I470" t="str">
            <v>121-656-582</v>
          </cell>
          <cell r="J470" t="str">
            <v>IRENE SHIJA</v>
          </cell>
        </row>
        <row r="471">
          <cell r="B471" t="str">
            <v>T817EBY</v>
          </cell>
          <cell r="C471" t="str">
            <v>T440EBW</v>
          </cell>
          <cell r="D471" t="str">
            <v>T649EBV</v>
          </cell>
          <cell r="E471" t="str">
            <v>SEIF HAMISI CHILUMBA</v>
          </cell>
          <cell r="F471">
            <v>713636494</v>
          </cell>
          <cell r="G471">
            <v>4003025781</v>
          </cell>
          <cell r="H471" t="str">
            <v>TAE266593</v>
          </cell>
          <cell r="I471" t="e">
            <v>#N/A</v>
          </cell>
          <cell r="J471" t="str">
            <v>LUSAJO KASUNGA</v>
          </cell>
        </row>
        <row r="472">
          <cell r="B472" t="str">
            <v>T365DHG</v>
          </cell>
          <cell r="C472" t="str">
            <v>T916DHG</v>
          </cell>
          <cell r="D472" t="str">
            <v>T996DVQ</v>
          </cell>
          <cell r="E472" t="str">
            <v>SEIF SAID MOHAMED</v>
          </cell>
          <cell r="F472">
            <v>789056871</v>
          </cell>
          <cell r="G472">
            <v>4000407495</v>
          </cell>
          <cell r="H472" t="str">
            <v>TAE771376</v>
          </cell>
          <cell r="I472" t="e">
            <v>#N/A</v>
          </cell>
          <cell r="J472" t="str">
            <v>LUSAJO KASUNGA</v>
          </cell>
        </row>
        <row r="473">
          <cell r="B473" t="str">
            <v>T954DSX</v>
          </cell>
          <cell r="C473" t="str">
            <v>T421DTD</v>
          </cell>
          <cell r="D473" t="str">
            <v> </v>
          </cell>
          <cell r="E473" t="str">
            <v>SELEIMANI MNGODO  SELEMAINI</v>
          </cell>
          <cell r="F473">
            <v>715253243</v>
          </cell>
          <cell r="G473">
            <v>4001419910</v>
          </cell>
          <cell r="H473" t="str">
            <v>TAE606442</v>
          </cell>
          <cell r="I473" t="e">
            <v>#N/A</v>
          </cell>
          <cell r="J473" t="str">
            <v>LUSAJO KASUNGA</v>
          </cell>
        </row>
        <row r="474">
          <cell r="B474" t="str">
            <v>T491DYR</v>
          </cell>
          <cell r="C474" t="str">
            <v>T813DYT</v>
          </cell>
          <cell r="D474" t="str">
            <v> </v>
          </cell>
          <cell r="E474" t="str">
            <v>JUMA SALUMU KITANO</v>
          </cell>
          <cell r="F474">
            <v>765278425</v>
          </cell>
          <cell r="G474">
            <v>4001508040</v>
          </cell>
          <cell r="H474" t="str">
            <v>TAE427637</v>
          </cell>
          <cell r="I474"/>
          <cell r="J474" t="str">
            <v>SADI KIMWAGA</v>
          </cell>
        </row>
        <row r="475">
          <cell r="B475" t="str">
            <v>T799EBW</v>
          </cell>
          <cell r="C475" t="str">
            <v>T352ECH</v>
          </cell>
          <cell r="D475" t="str">
            <v>T281EBW</v>
          </cell>
          <cell r="E475" t="str">
            <v>SHABANI HAMISI MRISHO</v>
          </cell>
          <cell r="F475">
            <v>787301718</v>
          </cell>
          <cell r="G475">
            <v>4000374761</v>
          </cell>
          <cell r="H475" t="str">
            <v>TAE609921</v>
          </cell>
          <cell r="I475">
            <v>115775693</v>
          </cell>
          <cell r="J475" t="str">
            <v>IRENE SHIJA</v>
          </cell>
        </row>
        <row r="476">
          <cell r="B476" t="str">
            <v>T955EBW</v>
          </cell>
          <cell r="C476" t="str">
            <v>T449EBW</v>
          </cell>
          <cell r="D476" t="str">
            <v>T579EBV</v>
          </cell>
          <cell r="E476" t="str">
            <v>SHABANI HARUNA SEMENTA</v>
          </cell>
          <cell r="F476">
            <v>789535371</v>
          </cell>
          <cell r="G476">
            <v>4001409500</v>
          </cell>
          <cell r="H476" t="str">
            <v>TAE693839</v>
          </cell>
          <cell r="I476" t="e">
            <v>#N/A</v>
          </cell>
          <cell r="J476" t="str">
            <v>IRENE SHIJA</v>
          </cell>
        </row>
        <row r="477">
          <cell r="B477" t="str">
            <v>T584DTQ</v>
          </cell>
          <cell r="C477" t="str">
            <v>T993DTQ</v>
          </cell>
          <cell r="D477" t="str">
            <v> </v>
          </cell>
          <cell r="E477" t="str">
            <v>SHABANI KHALID NONGWA</v>
          </cell>
          <cell r="F477">
            <v>713493482</v>
          </cell>
          <cell r="G477">
            <v>4001247559</v>
          </cell>
          <cell r="H477" t="str">
            <v>TAE467283</v>
          </cell>
          <cell r="I477" t="str">
            <v>179-444-985</v>
          </cell>
          <cell r="J477" t="str">
            <v>Ayoub BENESTA</v>
          </cell>
        </row>
        <row r="478">
          <cell r="B478" t="str">
            <v>T732DYR</v>
          </cell>
          <cell r="C478" t="str">
            <v>T833DYT</v>
          </cell>
          <cell r="D478" t="str">
            <v> </v>
          </cell>
          <cell r="E478" t="str">
            <v>SHABANI NURUDINI ABDELY</v>
          </cell>
          <cell r="F478">
            <v>683995374</v>
          </cell>
          <cell r="G478">
            <v>4000266948</v>
          </cell>
          <cell r="H478" t="str">
            <v>TAE623460</v>
          </cell>
          <cell r="I478" t="str">
            <v>114-626-589</v>
          </cell>
          <cell r="J478" t="str">
            <v>LUSAJO KASUNGA</v>
          </cell>
        </row>
        <row r="479">
          <cell r="B479" t="str">
            <v>T802EBW</v>
          </cell>
          <cell r="C479" t="str">
            <v>T805ECG</v>
          </cell>
          <cell r="D479" t="str">
            <v>T978EBV</v>
          </cell>
          <cell r="E479" t="str">
            <v>SHABANI RAJABU MASHAURI</v>
          </cell>
          <cell r="F479">
            <v>746171742</v>
          </cell>
          <cell r="G479">
            <v>4000318429</v>
          </cell>
          <cell r="H479" t="str">
            <v>TAE529938</v>
          </cell>
          <cell r="I479" t="e">
            <v>#N/A</v>
          </cell>
          <cell r="J479" t="str">
            <v>IRENE SHIJA</v>
          </cell>
        </row>
        <row r="480">
          <cell r="B480" t="str">
            <v>T422DHE</v>
          </cell>
          <cell r="C480" t="str">
            <v>T878DEU</v>
          </cell>
          <cell r="D480" t="str">
            <v> </v>
          </cell>
          <cell r="E480" t="str">
            <v>SHABANI SALUM ABDALLAH</v>
          </cell>
          <cell r="F480">
            <v>655492223</v>
          </cell>
          <cell r="G480">
            <v>4002603476</v>
          </cell>
          <cell r="H480" t="str">
            <v>TAE896961</v>
          </cell>
          <cell r="I480"/>
          <cell r="J480" t="str">
            <v>IRENE SHIJA</v>
          </cell>
        </row>
        <row r="481">
          <cell r="B481" t="str">
            <v>T416DHG</v>
          </cell>
          <cell r="C481" t="str">
            <v>T970DHL</v>
          </cell>
          <cell r="D481" t="str">
            <v> </v>
          </cell>
          <cell r="E481" t="str">
            <v>SHABANI SUDI KILANGO</v>
          </cell>
          <cell r="F481">
            <v>659454237</v>
          </cell>
          <cell r="G481">
            <v>4000069990</v>
          </cell>
          <cell r="H481" t="str">
            <v>TAE421992</v>
          </cell>
          <cell r="I481" t="str">
            <v>108-125-624</v>
          </cell>
          <cell r="J481" t="str">
            <v>PLASDUS MAHUMBA</v>
          </cell>
        </row>
        <row r="482">
          <cell r="B482" t="str">
            <v>T711EBX</v>
          </cell>
          <cell r="C482" t="str">
            <v>T234EBZ</v>
          </cell>
          <cell r="D482" t="str">
            <v>T718EBV</v>
          </cell>
          <cell r="E482" t="str">
            <v>SHAIBU SAIDI MKILALU</v>
          </cell>
          <cell r="F482">
            <v>786466880</v>
          </cell>
          <cell r="G482">
            <v>4000254168</v>
          </cell>
          <cell r="H482" t="str">
            <v>TAE325169</v>
          </cell>
          <cell r="I482">
            <v>114491314</v>
          </cell>
          <cell r="J482" t="str">
            <v>LUSAJO KASUNGA</v>
          </cell>
        </row>
        <row r="483">
          <cell r="B483" t="str">
            <v>T661DTQ</v>
          </cell>
          <cell r="C483" t="str">
            <v>T818DTQ</v>
          </cell>
          <cell r="D483" t="str">
            <v> </v>
          </cell>
          <cell r="E483" t="str">
            <v>SHOMAR MOHAMED MITAWA</v>
          </cell>
          <cell r="F483">
            <v>735</v>
          </cell>
          <cell r="G483">
            <v>4005892629</v>
          </cell>
          <cell r="H483" t="str">
            <v>TAE 662330</v>
          </cell>
          <cell r="I483" t="e">
            <v>#N/A</v>
          </cell>
          <cell r="J483" t="str">
            <v>PLASDUS MAHUMBA</v>
          </cell>
        </row>
        <row r="484">
          <cell r="B484" t="str">
            <v>T415DHE</v>
          </cell>
          <cell r="C484" t="str">
            <v>T874DHG</v>
          </cell>
          <cell r="D484" t="str">
            <v> </v>
          </cell>
          <cell r="E484" t="str">
            <v>SHUKURU MARTIN SANGA</v>
          </cell>
          <cell r="F484">
            <v>754267542</v>
          </cell>
          <cell r="G484">
            <v>4000454345</v>
          </cell>
          <cell r="H484" t="str">
            <v>TAE879112</v>
          </cell>
          <cell r="I484" t="str">
            <v>116-410-346</v>
          </cell>
          <cell r="J484" t="str">
            <v>IRENE SHIJA</v>
          </cell>
        </row>
        <row r="485">
          <cell r="B485" t="str">
            <v>T737EBX</v>
          </cell>
          <cell r="C485" t="str">
            <v>T261EBZ</v>
          </cell>
          <cell r="D485" t="str">
            <v>T677EBV</v>
          </cell>
          <cell r="E485" t="str">
            <v>SHUKURU MOHAMED MAZELA</v>
          </cell>
          <cell r="F485">
            <v>718862752</v>
          </cell>
          <cell r="G485">
            <v>4000679082</v>
          </cell>
          <cell r="H485" t="str">
            <v>TAE287943</v>
          </cell>
          <cell r="I485" t="e">
            <v>#N/A</v>
          </cell>
          <cell r="J485" t="str">
            <v>PLASDUS MAHUMBA</v>
          </cell>
        </row>
        <row r="486">
          <cell r="B486" t="str">
            <v>T711DEB</v>
          </cell>
          <cell r="C486" t="str">
            <v>T917DDJ</v>
          </cell>
          <cell r="D486" t="str">
            <v> </v>
          </cell>
          <cell r="E486" t="str">
            <v>SILVESTER SELENGA NYANGE</v>
          </cell>
          <cell r="F486">
            <v>752626132</v>
          </cell>
          <cell r="G486">
            <v>4000359731</v>
          </cell>
          <cell r="H486" t="str">
            <v>TAE633397</v>
          </cell>
          <cell r="I486" t="str">
            <v>127-692-769</v>
          </cell>
          <cell r="J486" t="str">
            <v>LUSAJO KASUNGA</v>
          </cell>
        </row>
        <row r="487">
          <cell r="B487" t="str">
            <v>T910EBW</v>
          </cell>
          <cell r="C487" t="str">
            <v>T565EBX</v>
          </cell>
          <cell r="D487" t="str">
            <v>T667EBV</v>
          </cell>
          <cell r="E487" t="str">
            <v>SIRAJI YAHAYA SALIM</v>
          </cell>
          <cell r="F487">
            <v>755557363</v>
          </cell>
          <cell r="G487">
            <v>4000212442</v>
          </cell>
          <cell r="H487" t="str">
            <v>TAE304003</v>
          </cell>
          <cell r="I487" t="e">
            <v>#N/A</v>
          </cell>
          <cell r="J487" t="str">
            <v>Martha GOLODI</v>
          </cell>
        </row>
        <row r="488">
          <cell r="B488" t="str">
            <v>T561DYR</v>
          </cell>
          <cell r="C488" t="str">
            <v>T406DAK</v>
          </cell>
          <cell r="D488" t="str">
            <v> </v>
          </cell>
          <cell r="E488" t="str">
            <v>STAN ENISON LULANDALA</v>
          </cell>
          <cell r="F488">
            <v>788156661</v>
          </cell>
          <cell r="G488">
            <v>4000369760</v>
          </cell>
          <cell r="H488" t="str">
            <v>TAE642152</v>
          </cell>
          <cell r="I488" t="str">
            <v>115-734-016</v>
          </cell>
          <cell r="J488" t="str">
            <v>Ayoub BENESTA</v>
          </cell>
        </row>
        <row r="489">
          <cell r="B489" t="str">
            <v>T720DYR</v>
          </cell>
          <cell r="C489" t="str">
            <v>T821DYT</v>
          </cell>
          <cell r="D489" t="str">
            <v> </v>
          </cell>
          <cell r="E489" t="str">
            <v>STANLEY SAIMON MLOGANZALA</v>
          </cell>
          <cell r="F489">
            <v>766227106</v>
          </cell>
          <cell r="G489">
            <v>4001437333</v>
          </cell>
          <cell r="H489" t="str">
            <v>TAE681313</v>
          </cell>
          <cell r="I489">
            <v>118097327</v>
          </cell>
          <cell r="J489" t="str">
            <v>PLASDUS MAHUMBA</v>
          </cell>
        </row>
        <row r="490">
          <cell r="B490" t="str">
            <v>T873EBY</v>
          </cell>
          <cell r="C490" t="str">
            <v>T545EBY</v>
          </cell>
          <cell r="D490" t="str">
            <v>T628EBV</v>
          </cell>
          <cell r="E490" t="str">
            <v>STEPHANO ABINELI ULOMI</v>
          </cell>
          <cell r="F490">
            <v>752455628</v>
          </cell>
          <cell r="G490">
            <v>4004394739</v>
          </cell>
          <cell r="H490" t="str">
            <v>TAE365651</v>
          </cell>
          <cell r="I490" t="e">
            <v>#N/A</v>
          </cell>
          <cell r="J490" t="str">
            <v>LUSAJO KASUNGA</v>
          </cell>
        </row>
        <row r="491">
          <cell r="B491" t="str">
            <v>T384ECN</v>
          </cell>
          <cell r="C491" t="str">
            <v>T801ECG</v>
          </cell>
          <cell r="D491" t="str">
            <v>T315EBW</v>
          </cell>
          <cell r="E491" t="str">
            <v>STEPHEN JOHN NGOMALE</v>
          </cell>
          <cell r="F491">
            <v>655492223</v>
          </cell>
          <cell r="G491">
            <v>4000775435</v>
          </cell>
          <cell r="H491" t="str">
            <v>TAE492611</v>
          </cell>
          <cell r="I491" t="str">
            <v>116-231-492</v>
          </cell>
          <cell r="J491" t="str">
            <v>Ayoub BENESTA</v>
          </cell>
        </row>
        <row r="492">
          <cell r="B492" t="str">
            <v>T375DHG</v>
          </cell>
          <cell r="C492" t="str">
            <v>T992DHL</v>
          </cell>
          <cell r="D492" t="str">
            <v>T335DVR</v>
          </cell>
          <cell r="E492" t="str">
            <v>STEVEN OCTAVIAN MILANZI</v>
          </cell>
          <cell r="F492">
            <v>693444828</v>
          </cell>
          <cell r="G492">
            <v>4005857115</v>
          </cell>
          <cell r="H492" t="str">
            <v>TAE793676</v>
          </cell>
          <cell r="I492"/>
          <cell r="J492" t="str">
            <v>SADI KIMWAGA</v>
          </cell>
        </row>
        <row r="493">
          <cell r="B493" t="str">
            <v>T858EBY</v>
          </cell>
          <cell r="C493" t="str">
            <v>T537EBY</v>
          </cell>
          <cell r="D493" t="str">
            <v>T656EBV</v>
          </cell>
          <cell r="E493" t="str">
            <v>SULEIMAN RAMADHANI KILIMWENGU</v>
          </cell>
          <cell r="F493">
            <v>715944245</v>
          </cell>
          <cell r="G493">
            <v>4000407846</v>
          </cell>
          <cell r="H493" t="str">
            <v>TAE364845</v>
          </cell>
          <cell r="I493" t="e">
            <v>#N/A</v>
          </cell>
          <cell r="J493" t="str">
            <v>SADI KIMWAGA</v>
          </cell>
        </row>
        <row r="494">
          <cell r="B494" t="str">
            <v>T755EBX</v>
          </cell>
          <cell r="C494" t="str">
            <v>T552EBY</v>
          </cell>
          <cell r="D494" t="str">
            <v>T980EBV</v>
          </cell>
          <cell r="E494" t="str">
            <v>SUNDAY EDWIN SOKA</v>
          </cell>
          <cell r="F494">
            <v>754081330</v>
          </cell>
          <cell r="G494">
            <v>4000218271</v>
          </cell>
          <cell r="H494" t="str">
            <v>TAE342801</v>
          </cell>
          <cell r="I494">
            <v>114083461</v>
          </cell>
          <cell r="J494" t="str">
            <v>PLASDUS MAHUMBA</v>
          </cell>
        </row>
        <row r="495">
          <cell r="B495" t="str">
            <v>T737DEB</v>
          </cell>
          <cell r="C495" t="str">
            <v>T930DEK</v>
          </cell>
          <cell r="D495" t="str">
            <v> </v>
          </cell>
          <cell r="E495" t="str">
            <v>SWAMIMU SWAIBU MUFURUKI</v>
          </cell>
          <cell r="F495" t="str">
            <v>0787502090/0621123330</v>
          </cell>
          <cell r="G495">
            <v>4004346471</v>
          </cell>
          <cell r="H495" t="str">
            <v>TAE772439</v>
          </cell>
          <cell r="I495" t="e">
            <v>#N/A</v>
          </cell>
          <cell r="J495" t="str">
            <v>IRENE SHIJA</v>
          </cell>
        </row>
        <row r="496">
          <cell r="B496" t="str">
            <v>T960DSX</v>
          </cell>
          <cell r="C496" t="str">
            <v>T418DTD</v>
          </cell>
          <cell r="D496" t="str">
            <v> </v>
          </cell>
          <cell r="E496" t="str">
            <v>SWEDI SALEHE MAJORO</v>
          </cell>
          <cell r="F496">
            <v>628677014</v>
          </cell>
          <cell r="G496">
            <v>4005459328</v>
          </cell>
          <cell r="H496" t="str">
            <v>TAE806978</v>
          </cell>
          <cell r="I496" t="str">
            <v>138-321-932</v>
          </cell>
          <cell r="J496" t="str">
            <v>Martha GOLODI</v>
          </cell>
        </row>
        <row r="497">
          <cell r="B497" t="str">
            <v>T909EBW</v>
          </cell>
          <cell r="C497" t="str">
            <v>T430EBW</v>
          </cell>
          <cell r="D497" t="str">
            <v>T695EBV</v>
          </cell>
          <cell r="E497" t="str">
            <v>SWEETBERT RUKONGE MWEMEZI</v>
          </cell>
          <cell r="F497">
            <v>765758820</v>
          </cell>
          <cell r="G497">
            <v>4000343636</v>
          </cell>
          <cell r="H497" t="str">
            <v>TAE464119</v>
          </cell>
          <cell r="I497">
            <v>115434810</v>
          </cell>
          <cell r="J497" t="str">
            <v>LUSAJO KASUNGA</v>
          </cell>
        </row>
        <row r="498">
          <cell r="B498" t="str">
            <v>T866EBY</v>
          </cell>
          <cell r="C498" t="str">
            <v>T429EBW</v>
          </cell>
          <cell r="D498" t="str">
            <v>T219EBV</v>
          </cell>
          <cell r="E498" t="str">
            <v>TADEY CRISTIAN MALEKELA</v>
          </cell>
          <cell r="F498">
            <v>657161112</v>
          </cell>
          <cell r="G498">
            <v>4001070416</v>
          </cell>
          <cell r="H498" t="str">
            <v>TAE679484</v>
          </cell>
          <cell r="I498">
            <v>113393106</v>
          </cell>
          <cell r="J498" t="str">
            <v>Martha GOLODI</v>
          </cell>
        </row>
        <row r="499">
          <cell r="B499" t="str">
            <v>T602DTQ</v>
          </cell>
          <cell r="C499" t="str">
            <v>T815DTQ</v>
          </cell>
          <cell r="D499" t="str">
            <v> </v>
          </cell>
          <cell r="E499" t="str">
            <v>TAHJ MFAUME TUMBAMA</v>
          </cell>
          <cell r="F499">
            <v>687841842</v>
          </cell>
          <cell r="G499">
            <v>4006299125</v>
          </cell>
          <cell r="H499" t="str">
            <v>TAE659336</v>
          </cell>
          <cell r="I499" t="e">
            <v>#N/A</v>
          </cell>
          <cell r="J499" t="str">
            <v>PLASDUS MAHUMBA</v>
          </cell>
        </row>
        <row r="500">
          <cell r="B500" t="str">
            <v>T986EBW</v>
          </cell>
          <cell r="C500" t="str">
            <v>T491EBW</v>
          </cell>
          <cell r="D500" t="str">
            <v>T587EBV</v>
          </cell>
          <cell r="E500" t="str">
            <v>THADEUS CHARLES HONGOLI</v>
          </cell>
          <cell r="F500">
            <v>763779369</v>
          </cell>
          <cell r="G500">
            <v>4000353848</v>
          </cell>
          <cell r="H500" t="str">
            <v>TAE818659</v>
          </cell>
          <cell r="I500" t="e">
            <v>#N/A</v>
          </cell>
          <cell r="J500" t="str">
            <v>IRENE SHIJA</v>
          </cell>
        </row>
        <row r="501">
          <cell r="B501" t="str">
            <v>T798DYR</v>
          </cell>
          <cell r="C501" t="str">
            <v>T798DYT</v>
          </cell>
          <cell r="D501" t="str">
            <v> </v>
          </cell>
          <cell r="E501" t="str">
            <v>THANK AKIBA MASHINENE</v>
          </cell>
          <cell r="F501">
            <v>786725617</v>
          </cell>
          <cell r="G501">
            <v>4005699079</v>
          </cell>
          <cell r="H501" t="str">
            <v>TAE698104</v>
          </cell>
          <cell r="I501" t="e">
            <v>#N/A</v>
          </cell>
          <cell r="J501" t="str">
            <v>IRENE SHIJA</v>
          </cell>
        </row>
        <row r="502">
          <cell r="B502" t="str">
            <v>T762DYR</v>
          </cell>
          <cell r="C502" t="str">
            <v>T939DYT</v>
          </cell>
          <cell r="D502" t="str">
            <v> </v>
          </cell>
          <cell r="E502" t="str">
            <v>THOMAS KITILYA WEBO</v>
          </cell>
          <cell r="F502">
            <v>715000022</v>
          </cell>
          <cell r="G502">
            <v>4000125600</v>
          </cell>
          <cell r="H502" t="str">
            <v>TAE405809</v>
          </cell>
          <cell r="I502" t="str">
            <v>112-931-724</v>
          </cell>
          <cell r="J502" t="str">
            <v>IRENE SHIJA</v>
          </cell>
        </row>
        <row r="503">
          <cell r="B503" t="str">
            <v>T586DTQ</v>
          </cell>
          <cell r="C503" t="str">
            <v>T817DTQ</v>
          </cell>
          <cell r="D503" t="str">
            <v> </v>
          </cell>
          <cell r="E503" t="str">
            <v xml:space="preserve">THOMASI GEORGE MASELE </v>
          </cell>
          <cell r="F503">
            <v>672609297</v>
          </cell>
          <cell r="G503">
            <v>4006351185</v>
          </cell>
          <cell r="H503" t="str">
            <v>TAE689512</v>
          </cell>
          <cell r="I503" t="e">
            <v>#N/A</v>
          </cell>
          <cell r="J503" t="str">
            <v>PLASDUS MAHUMBA</v>
          </cell>
        </row>
        <row r="504">
          <cell r="B504" t="str">
            <v>T890EBW</v>
          </cell>
          <cell r="C504" t="str">
            <v>T550EBY</v>
          </cell>
          <cell r="D504" t="str">
            <v>T930EBV</v>
          </cell>
          <cell r="E504" t="str">
            <v>TWAHIR RASHID MSAKA</v>
          </cell>
          <cell r="F504">
            <v>763260621</v>
          </cell>
          <cell r="G504">
            <v>4002891820</v>
          </cell>
          <cell r="H504" t="str">
            <v>TAE603902</v>
          </cell>
          <cell r="I504" t="str">
            <v>126-898-231</v>
          </cell>
          <cell r="J504" t="str">
            <v>SADI KIMWAGA</v>
          </cell>
        </row>
        <row r="505">
          <cell r="B505" t="str">
            <v>T443DHG</v>
          </cell>
          <cell r="C505" t="str">
            <v>T972DHL</v>
          </cell>
          <cell r="D505" t="str">
            <v> </v>
          </cell>
          <cell r="E505" t="str">
            <v>TYSO RAJABU DEBE</v>
          </cell>
          <cell r="F505" t="str">
            <v>0686311919/0718222202</v>
          </cell>
          <cell r="G505">
            <v>4000072371</v>
          </cell>
          <cell r="H505" t="str">
            <v>TAE272080</v>
          </cell>
          <cell r="I505"/>
          <cell r="J505" t="str">
            <v>Ayoub BENESTA</v>
          </cell>
        </row>
        <row r="506">
          <cell r="B506" t="str">
            <v>T382ECN</v>
          </cell>
          <cell r="C506" t="str">
            <v>T795ECG</v>
          </cell>
          <cell r="D506" t="str">
            <v>T640EBV</v>
          </cell>
          <cell r="E506" t="str">
            <v>VICENT EDWARD MLOWE</v>
          </cell>
          <cell r="F506">
            <v>767676595</v>
          </cell>
          <cell r="G506">
            <v>4000619016</v>
          </cell>
          <cell r="H506" t="str">
            <v>TAE700008</v>
          </cell>
          <cell r="I506" t="str">
            <v>114-629-650</v>
          </cell>
          <cell r="J506" t="str">
            <v>SADI KIMWAGA</v>
          </cell>
        </row>
        <row r="507">
          <cell r="B507" t="str">
            <v>T697DEB</v>
          </cell>
          <cell r="C507" t="str">
            <v>T928DEK</v>
          </cell>
          <cell r="D507" t="str">
            <v> </v>
          </cell>
          <cell r="E507" t="str">
            <v>VICTOR RICHARD MWAILOLO</v>
          </cell>
          <cell r="F507">
            <v>685966719</v>
          </cell>
          <cell r="G507">
            <v>4001552859</v>
          </cell>
          <cell r="H507"/>
          <cell r="I507"/>
          <cell r="J507" t="str">
            <v>Martha GOLODI</v>
          </cell>
        </row>
        <row r="508">
          <cell r="B508" t="str">
            <v>T716EBX</v>
          </cell>
          <cell r="C508" t="str">
            <v>T670EBY</v>
          </cell>
          <cell r="D508" t="str">
            <v>T698EBV</v>
          </cell>
          <cell r="E508" t="str">
            <v>WILLIAM JIBABA KADUMA</v>
          </cell>
          <cell r="F508">
            <v>788162164</v>
          </cell>
          <cell r="G508">
            <v>4000414176</v>
          </cell>
          <cell r="H508" t="str">
            <v>TAE826876</v>
          </cell>
          <cell r="I508">
            <v>115839578</v>
          </cell>
          <cell r="J508" t="str">
            <v>LUSAJO KASUNGA</v>
          </cell>
        </row>
        <row r="509">
          <cell r="B509" t="str">
            <v>T261EBX</v>
          </cell>
          <cell r="C509" t="str">
            <v>T932EBY</v>
          </cell>
          <cell r="D509" t="str">
            <v> </v>
          </cell>
          <cell r="E509" t="str">
            <v>DAVID CHRISTOPHER KESSY</v>
          </cell>
          <cell r="F509">
            <v>782949555</v>
          </cell>
          <cell r="G509">
            <v>4001068945</v>
          </cell>
          <cell r="H509" t="str">
            <v>TAE322605</v>
          </cell>
          <cell r="I509" t="str">
            <v>111-019-703</v>
          </cell>
          <cell r="J509" t="str">
            <v>LUSAJO KASUNGA</v>
          </cell>
        </row>
        <row r="510">
          <cell r="B510" t="str">
            <v>T286EBY</v>
          </cell>
          <cell r="C510" t="str">
            <v>T424EBW</v>
          </cell>
          <cell r="D510" t="str">
            <v>T145EBW</v>
          </cell>
          <cell r="E510" t="str">
            <v>WILLIAM RICHARD MACK</v>
          </cell>
          <cell r="F510">
            <v>687975791</v>
          </cell>
          <cell r="G510">
            <v>400361446</v>
          </cell>
          <cell r="H510" t="str">
            <v>TAE680045</v>
          </cell>
          <cell r="I510">
            <v>112867872</v>
          </cell>
          <cell r="J510" t="str">
            <v>PLASDUS MAHUMBA</v>
          </cell>
        </row>
        <row r="511">
          <cell r="B511" t="str">
            <v>T899EBW</v>
          </cell>
          <cell r="C511" t="str">
            <v>T532EBY</v>
          </cell>
          <cell r="D511" t="str">
            <v>T295EBW</v>
          </cell>
          <cell r="E511" t="str">
            <v>YAHAYA MWINCHUMU ZUBERI</v>
          </cell>
          <cell r="F511">
            <v>744506881</v>
          </cell>
          <cell r="G511">
            <v>4000340259</v>
          </cell>
          <cell r="H511" t="str">
            <v>TAE623469</v>
          </cell>
          <cell r="I511">
            <v>115384325</v>
          </cell>
          <cell r="J511" t="str">
            <v>Martha GOLODI</v>
          </cell>
        </row>
        <row r="512">
          <cell r="B512" t="str">
            <v>T337EBX</v>
          </cell>
          <cell r="C512" t="str">
            <v>T597EBX</v>
          </cell>
          <cell r="D512" t="str">
            <v>T648EBV</v>
          </cell>
          <cell r="E512" t="str">
            <v>YAHYA HASSANI ADAM</v>
          </cell>
          <cell r="F512" t="str">
            <v>0782272030/0713300443</v>
          </cell>
          <cell r="G512">
            <v>4000356629</v>
          </cell>
          <cell r="H512" t="str">
            <v>TAE 514425</v>
          </cell>
          <cell r="I512" t="e">
            <v>#N/A</v>
          </cell>
          <cell r="J512" t="str">
            <v>Martha GOLODI</v>
          </cell>
        </row>
        <row r="513">
          <cell r="B513" t="str">
            <v>T797DYR</v>
          </cell>
          <cell r="C513" t="str">
            <v>T507DDC</v>
          </cell>
          <cell r="D513" t="str">
            <v> </v>
          </cell>
          <cell r="E513" t="str">
            <v>YASIN BAKARI NYALU</v>
          </cell>
          <cell r="F513">
            <v>718389939</v>
          </cell>
          <cell r="G513">
            <v>4005256130</v>
          </cell>
          <cell r="H513" t="str">
            <v>TAE897754</v>
          </cell>
          <cell r="I513" t="str">
            <v>137-423-243</v>
          </cell>
          <cell r="J513" t="str">
            <v>Ayoub BENESTA</v>
          </cell>
        </row>
        <row r="514">
          <cell r="B514" t="str">
            <v>T773EBW</v>
          </cell>
          <cell r="C514" t="str">
            <v>T824ECG</v>
          </cell>
          <cell r="D514" t="str">
            <v>T673EBV</v>
          </cell>
          <cell r="E514" t="str">
            <v>YOHANES PAULO MLIMAKALA</v>
          </cell>
          <cell r="F514">
            <v>713048883</v>
          </cell>
          <cell r="G514">
            <v>4000483327</v>
          </cell>
          <cell r="H514" t="str">
            <v>TAE418285</v>
          </cell>
          <cell r="I514" t="str">
            <v>116-533-308</v>
          </cell>
          <cell r="J514" t="str">
            <v>Ayoub BENESTA</v>
          </cell>
        </row>
        <row r="515">
          <cell r="B515" t="str">
            <v>T428DHG</v>
          </cell>
          <cell r="C515" t="str">
            <v>T877DHG</v>
          </cell>
          <cell r="D515" t="str">
            <v> </v>
          </cell>
          <cell r="E515" t="str">
            <v>YUDA TIMOTH MWAMBETA</v>
          </cell>
          <cell r="F515">
            <v>686891433</v>
          </cell>
          <cell r="G515">
            <v>4003787964</v>
          </cell>
          <cell r="H515" t="str">
            <v>TAE527202</v>
          </cell>
          <cell r="I515" t="e">
            <v>#N/A</v>
          </cell>
          <cell r="J515" t="str">
            <v>Martha GOLODI</v>
          </cell>
        </row>
        <row r="516">
          <cell r="B516" t="str">
            <v>T950EBW</v>
          </cell>
          <cell r="C516" t="str">
            <v>T512EBW</v>
          </cell>
          <cell r="D516" t="str">
            <v>T215EBV</v>
          </cell>
          <cell r="E516" t="str">
            <v>YUNUS ABDILLAH SULEIMAN</v>
          </cell>
          <cell r="F516">
            <v>683000193</v>
          </cell>
          <cell r="G516">
            <v>4005135791</v>
          </cell>
          <cell r="H516" t="str">
            <v>TAE494303</v>
          </cell>
          <cell r="I516">
            <v>136700855</v>
          </cell>
          <cell r="J516" t="str">
            <v>Martha GOLODI</v>
          </cell>
        </row>
        <row r="517">
          <cell r="B517" t="str">
            <v>T180EBX</v>
          </cell>
          <cell r="C517" t="str">
            <v>T603EBX</v>
          </cell>
          <cell r="D517" t="str">
            <v>T221EBV</v>
          </cell>
          <cell r="E517" t="str">
            <v>YUSUF ALLY MAWIMBI</v>
          </cell>
          <cell r="F517">
            <v>784580501</v>
          </cell>
          <cell r="G517">
            <v>4000138437</v>
          </cell>
          <cell r="H517" t="str">
            <v>TAE651778</v>
          </cell>
          <cell r="I517" t="e">
            <v>#N/A</v>
          </cell>
          <cell r="J517" t="str">
            <v>IRENE SHIJA</v>
          </cell>
        </row>
        <row r="518">
          <cell r="B518" t="str">
            <v>T331EBX</v>
          </cell>
          <cell r="C518" t="str">
            <v>T909EBY</v>
          </cell>
          <cell r="D518" t="str">
            <v> </v>
          </cell>
          <cell r="E518" t="str">
            <v>YUSUFU  SAMSON NICODEMUS</v>
          </cell>
          <cell r="F518">
            <v>786232923</v>
          </cell>
          <cell r="G518">
            <v>4001163234</v>
          </cell>
          <cell r="H518" t="str">
            <v>TAE679148</v>
          </cell>
          <cell r="I518" t="e">
            <v>#N/A</v>
          </cell>
          <cell r="J518" t="str">
            <v>LUSAJO KASUNGA</v>
          </cell>
        </row>
        <row r="519">
          <cell r="B519" t="str">
            <v>T717EBX</v>
          </cell>
          <cell r="C519" t="str">
            <v>T248EBZ</v>
          </cell>
          <cell r="D519" t="str">
            <v>T658EBV</v>
          </cell>
          <cell r="E519" t="str">
            <v>YUSUPH RAHIBU SULEIMAN</v>
          </cell>
          <cell r="F519">
            <v>787985669</v>
          </cell>
          <cell r="G519">
            <v>4000244828</v>
          </cell>
          <cell r="H519" t="str">
            <v>TAE633656</v>
          </cell>
          <cell r="I519" t="e">
            <v>#N/A</v>
          </cell>
          <cell r="J519" t="str">
            <v>IRENE SHIJA</v>
          </cell>
        </row>
        <row r="520">
          <cell r="B520" t="str">
            <v>T867EBY</v>
          </cell>
          <cell r="C520" t="str">
            <v>T544EBX</v>
          </cell>
          <cell r="D520" t="str">
            <v>T567EBV</v>
          </cell>
          <cell r="E520" t="str">
            <v>YUSUPH SELEMANI SHOO</v>
          </cell>
          <cell r="F520">
            <v>694076104</v>
          </cell>
          <cell r="G520">
            <v>4001571413</v>
          </cell>
          <cell r="H520" t="str">
            <v>TAE676905</v>
          </cell>
          <cell r="I520" t="e">
            <v>#N/A</v>
          </cell>
          <cell r="J520" t="str">
            <v>Martha GOLODI</v>
          </cell>
        </row>
        <row r="521">
          <cell r="B521" t="str">
            <v>T817EBW</v>
          </cell>
          <cell r="C521" t="str">
            <v>T821ECG</v>
          </cell>
          <cell r="D521" t="str">
            <v>T143EBW</v>
          </cell>
          <cell r="E521" t="str">
            <v>YUSUPH ZIAGA SANGA</v>
          </cell>
          <cell r="F521">
            <v>679200719</v>
          </cell>
          <cell r="G521">
            <v>4000298950</v>
          </cell>
          <cell r="H521" t="str">
            <v>TAE522865</v>
          </cell>
          <cell r="I521" t="str">
            <v>114-974-803</v>
          </cell>
          <cell r="J521" t="str">
            <v>PLASDUS MAHUMBA</v>
          </cell>
        </row>
        <row r="522">
          <cell r="B522" t="str">
            <v>T804EBW</v>
          </cell>
          <cell r="C522" t="str">
            <v>T827ECG</v>
          </cell>
          <cell r="D522" t="str">
            <v>T610EBV</v>
          </cell>
          <cell r="E522" t="str">
            <v>YUSUPHU IBRAHIM MGONGOLWA</v>
          </cell>
          <cell r="F522">
            <v>788474795</v>
          </cell>
          <cell r="G522">
            <v>4001537451</v>
          </cell>
          <cell r="H522" t="str">
            <v>TAE402688</v>
          </cell>
          <cell r="I522" t="e">
            <v>#N/A</v>
          </cell>
          <cell r="J522" t="str">
            <v>IRENE SHIJA</v>
          </cell>
        </row>
        <row r="523">
          <cell r="B523" t="str">
            <v>T727DYR</v>
          </cell>
          <cell r="C523" t="str">
            <v>T103DYU</v>
          </cell>
          <cell r="D523" t="str">
            <v> </v>
          </cell>
          <cell r="E523" t="str">
            <v>ZACHALIA JOSEPH SHIMBI</v>
          </cell>
          <cell r="F523">
            <v>745934095</v>
          </cell>
          <cell r="G523">
            <v>4005191376</v>
          </cell>
          <cell r="H523" t="str">
            <v>TAE684289</v>
          </cell>
          <cell r="I523" t="e">
            <v>#N/A</v>
          </cell>
          <cell r="J523" t="str">
            <v>PLASDUS MAHUMBA</v>
          </cell>
        </row>
        <row r="524">
          <cell r="B524" t="str">
            <v>T182EBX</v>
          </cell>
          <cell r="C524" t="str">
            <v>T572EBX</v>
          </cell>
          <cell r="D524" t="str">
            <v>T707EBV</v>
          </cell>
          <cell r="E524" t="str">
            <v>ZAIDI HUSSEIN ATHUMANI</v>
          </cell>
          <cell r="F524" t="str">
            <v>764882104/655550420</v>
          </cell>
          <cell r="G524">
            <v>4000248034</v>
          </cell>
          <cell r="H524" t="str">
            <v>TAE709177</v>
          </cell>
          <cell r="I524">
            <v>114135704</v>
          </cell>
          <cell r="J524" t="str">
            <v>Ayoub BENESTA</v>
          </cell>
        </row>
        <row r="525">
          <cell r="B525" t="str">
            <v>T840EBY</v>
          </cell>
          <cell r="C525" t="str">
            <v>T404EBW</v>
          </cell>
          <cell r="D525" t="str">
            <v>T144EBW</v>
          </cell>
          <cell r="E525" t="str">
            <v>ZAKARIA RAJABU KINANA</v>
          </cell>
          <cell r="F525">
            <v>654836363</v>
          </cell>
          <cell r="G525">
            <v>4000581178</v>
          </cell>
          <cell r="H525" t="str">
            <v>TAE607156</v>
          </cell>
          <cell r="I525" t="str">
            <v>114-733-857</v>
          </cell>
          <cell r="J525" t="str">
            <v>PLASDUS MAHUMBA</v>
          </cell>
        </row>
        <row r="526">
          <cell r="B526" t="str">
            <v>T768EBW</v>
          </cell>
          <cell r="C526" t="str">
            <v>T811ECG</v>
          </cell>
          <cell r="D526" t="str">
            <v>T356EBW</v>
          </cell>
          <cell r="E526" t="str">
            <v>ZUBERI HATIBU MJAHIDI</v>
          </cell>
          <cell r="F526">
            <v>655166206</v>
          </cell>
          <cell r="G526">
            <v>4000284118</v>
          </cell>
          <cell r="H526" t="str">
            <v>TAE569020</v>
          </cell>
          <cell r="I526"/>
          <cell r="J526" t="str">
            <v>Ayoub BENESTA</v>
          </cell>
        </row>
        <row r="527">
          <cell r="B527" t="str">
            <v>T341DDJ</v>
          </cell>
          <cell r="C527" t="str">
            <v>T863DEV</v>
          </cell>
          <cell r="D527" t="str">
            <v> </v>
          </cell>
          <cell r="E527"/>
          <cell r="F527" t="str">
            <v> </v>
          </cell>
          <cell r="G527" t="str">
            <v> </v>
          </cell>
          <cell r="H527" t="str">
            <v> </v>
          </cell>
          <cell r="I527"/>
          <cell r="J527" t="str">
            <v>IRENE SHIJA</v>
          </cell>
        </row>
        <row r="528">
          <cell r="B528" t="str">
            <v>T421DHG</v>
          </cell>
          <cell r="C528" t="str">
            <v>T875DHG</v>
          </cell>
          <cell r="D528" t="str">
            <v> </v>
          </cell>
          <cell r="E528"/>
          <cell r="F528" t="str">
            <v> </v>
          </cell>
          <cell r="G528" t="str">
            <v> </v>
          </cell>
          <cell r="H528" t="str">
            <v> </v>
          </cell>
          <cell r="I528"/>
          <cell r="J528" t="str">
            <v>IRENE SHIJA</v>
          </cell>
        </row>
        <row r="529">
          <cell r="B529" t="str">
            <v>T743DEB</v>
          </cell>
          <cell r="C529" t="str">
            <v>T775DEU</v>
          </cell>
          <cell r="D529" t="str">
            <v> </v>
          </cell>
          <cell r="E529"/>
          <cell r="F529">
            <v>689598390</v>
          </cell>
          <cell r="G529">
            <v>4005932307</v>
          </cell>
          <cell r="H529" t="str">
            <v>AB01685631</v>
          </cell>
          <cell r="I529"/>
          <cell r="J529" t="str">
            <v>PLASDUS MAHUMBA</v>
          </cell>
        </row>
        <row r="530">
          <cell r="B530" t="str">
            <v>T367DHG</v>
          </cell>
          <cell r="C530" t="str">
            <v>T297DAK</v>
          </cell>
          <cell r="D530" t="str">
            <v> </v>
          </cell>
          <cell r="E530"/>
          <cell r="F530"/>
          <cell r="G530"/>
          <cell r="H530"/>
          <cell r="I530" t="str">
            <v>121-583-542</v>
          </cell>
          <cell r="J530" t="str">
            <v>PLASDUS MAHUMBA</v>
          </cell>
        </row>
        <row r="531">
          <cell r="B531" t="str">
            <v>T288DDJ</v>
          </cell>
          <cell r="C531" t="str">
            <v>T934DEK</v>
          </cell>
          <cell r="D531" t="str">
            <v>T997DVQ</v>
          </cell>
          <cell r="E531"/>
          <cell r="F531"/>
          <cell r="G531"/>
          <cell r="H531"/>
          <cell r="I531" t="str">
            <v>116-727-749</v>
          </cell>
          <cell r="J531" t="str">
            <v>Martha GOLODI</v>
          </cell>
        </row>
        <row r="532">
          <cell r="B532" t="str">
            <v>T252DDJ</v>
          </cell>
          <cell r="C532" t="str">
            <v>T756DEU</v>
          </cell>
          <cell r="D532" t="str">
            <v>T992DVQ</v>
          </cell>
          <cell r="E532"/>
          <cell r="F532"/>
          <cell r="G532"/>
          <cell r="H532"/>
          <cell r="I532" t="str">
            <v>115-594-540</v>
          </cell>
          <cell r="J532" t="str">
            <v>Martha GOLODI</v>
          </cell>
        </row>
        <row r="533">
          <cell r="B533" t="str">
            <v>T796DDS</v>
          </cell>
          <cell r="C533" t="str">
            <v>T735DEU</v>
          </cell>
          <cell r="D533" t="str">
            <v> </v>
          </cell>
          <cell r="E533"/>
          <cell r="F533"/>
          <cell r="G533"/>
          <cell r="H533"/>
          <cell r="I533">
            <v>120531980</v>
          </cell>
          <cell r="J533" t="str">
            <v>Martha GOLODI</v>
          </cell>
        </row>
        <row r="534">
          <cell r="B534" t="str">
            <v>T752DEB</v>
          </cell>
          <cell r="C534" t="str">
            <v>T462DDC</v>
          </cell>
          <cell r="D534" t="str">
            <v> </v>
          </cell>
          <cell r="E534"/>
          <cell r="F534"/>
          <cell r="G534"/>
          <cell r="H534"/>
          <cell r="I534"/>
          <cell r="J534" t="str">
            <v>LUSAJO KASUNGA</v>
          </cell>
        </row>
        <row r="535">
          <cell r="B535" t="str">
            <v>T377DCT</v>
          </cell>
          <cell r="C535" t="str">
            <v>T412DAK</v>
          </cell>
          <cell r="D535" t="str">
            <v>T984DVQ</v>
          </cell>
          <cell r="E535"/>
          <cell r="F535"/>
          <cell r="G535"/>
          <cell r="H535"/>
          <cell r="I535" t="str">
            <v>114-131-687</v>
          </cell>
          <cell r="J535" t="str">
            <v>IRENE SHIJA</v>
          </cell>
        </row>
        <row r="536">
          <cell r="B536" t="str">
            <v>T115DEC</v>
          </cell>
          <cell r="C536" t="str">
            <v>T492DEJ</v>
          </cell>
          <cell r="D536" t="str">
            <v> </v>
          </cell>
          <cell r="E536"/>
          <cell r="F536"/>
          <cell r="G536"/>
          <cell r="H536"/>
          <cell r="I536" t="str">
            <v>122-169-030</v>
          </cell>
          <cell r="J536" t="str">
            <v>SADI KIMWAGA</v>
          </cell>
        </row>
        <row r="537">
          <cell r="B537" t="str">
            <v>T327DDJ</v>
          </cell>
          <cell r="C537" t="str">
            <v>T925DDJ</v>
          </cell>
          <cell r="D537" t="str">
            <v> </v>
          </cell>
          <cell r="E537"/>
          <cell r="F537"/>
          <cell r="G537"/>
          <cell r="H537"/>
          <cell r="I537"/>
          <cell r="J537" t="str">
            <v>IRENE SHIJA</v>
          </cell>
        </row>
        <row r="538">
          <cell r="B538" t="str">
            <v>T713DEB</v>
          </cell>
          <cell r="C538" t="str">
            <v>T931DEK</v>
          </cell>
          <cell r="D538" t="str">
            <v> </v>
          </cell>
          <cell r="E538"/>
          <cell r="F538"/>
          <cell r="G538"/>
          <cell r="H538"/>
          <cell r="I538" t="str">
            <v>115-143-662</v>
          </cell>
          <cell r="J538" t="str">
            <v>IRENE SHIJA</v>
          </cell>
        </row>
        <row r="539">
          <cell r="B539" t="str">
            <v>T702DEB</v>
          </cell>
          <cell r="C539" t="str">
            <v>T523DDC</v>
          </cell>
          <cell r="D539" t="str">
            <v> </v>
          </cell>
          <cell r="E539"/>
          <cell r="F539"/>
          <cell r="G539"/>
          <cell r="H539"/>
          <cell r="I539" t="str">
            <v>113-320-265</v>
          </cell>
          <cell r="J539" t="str">
            <v>SADI KIMWAGA</v>
          </cell>
        </row>
        <row r="540">
          <cell r="B540" t="str">
            <v>T266DDJ</v>
          </cell>
          <cell r="C540" t="str">
            <v>T910DDJ</v>
          </cell>
          <cell r="D540" t="str">
            <v> </v>
          </cell>
          <cell r="E540"/>
          <cell r="F540"/>
          <cell r="G540"/>
          <cell r="H540"/>
          <cell r="I540"/>
          <cell r="J540" t="str">
            <v>Ayoub BENESTA</v>
          </cell>
        </row>
        <row r="541">
          <cell r="B541" t="str">
            <v>T426DHG</v>
          </cell>
          <cell r="C541" t="str">
            <v>T920DHG</v>
          </cell>
          <cell r="D541" t="str">
            <v> </v>
          </cell>
          <cell r="E541"/>
          <cell r="F541"/>
          <cell r="G541"/>
          <cell r="H541"/>
          <cell r="I541"/>
          <cell r="J541" t="str">
            <v>LUSAJO KASUNGA</v>
          </cell>
        </row>
        <row r="542">
          <cell r="B542" t="str">
            <v>T410DHG</v>
          </cell>
          <cell r="C542" t="str">
            <v>T923DHG</v>
          </cell>
          <cell r="D542" t="str">
            <v> </v>
          </cell>
          <cell r="E542"/>
          <cell r="F542">
            <v>712929554</v>
          </cell>
          <cell r="G542">
            <v>4006759485</v>
          </cell>
          <cell r="H542" t="str">
            <v>TAE509342</v>
          </cell>
          <cell r="I542" t="str">
            <v>144-646-827</v>
          </cell>
          <cell r="J542" t="str">
            <v>LUSAJO KASUNGA</v>
          </cell>
        </row>
        <row r="543">
          <cell r="B543" t="str">
            <v>T274DDJ</v>
          </cell>
          <cell r="C543" t="str">
            <v>T933DDJ</v>
          </cell>
          <cell r="D543" t="str">
            <v> </v>
          </cell>
          <cell r="E543"/>
          <cell r="F543"/>
          <cell r="G543"/>
          <cell r="H543"/>
          <cell r="I543"/>
          <cell r="J543" t="str">
            <v>Ayoub BENESTA</v>
          </cell>
        </row>
        <row r="544">
          <cell r="B544" t="str">
            <v>T715DEB</v>
          </cell>
          <cell r="C544" t="str">
            <v>T485DDC</v>
          </cell>
          <cell r="D544" t="str">
            <v> </v>
          </cell>
          <cell r="E544"/>
          <cell r="F544"/>
          <cell r="G544"/>
          <cell r="H544"/>
          <cell r="I544"/>
          <cell r="J544" t="str">
            <v>LUSAJO KASUNGA</v>
          </cell>
        </row>
        <row r="545">
          <cell r="B545" t="str">
            <v>T336DHG</v>
          </cell>
          <cell r="C545" t="str">
            <v>T870DHG</v>
          </cell>
          <cell r="D545" t="str">
            <v> </v>
          </cell>
          <cell r="E545"/>
          <cell r="F545"/>
          <cell r="G545">
            <v>4006299125</v>
          </cell>
          <cell r="H545" t="str">
            <v>TAE659336</v>
          </cell>
          <cell r="I545" t="str">
            <v>143-449-823</v>
          </cell>
          <cell r="J545" t="str">
            <v>PLASDUS MAHUMBA</v>
          </cell>
        </row>
        <row r="546">
          <cell r="F546"/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NIGHT"/>
      <sheetName val="TRIPS"/>
    </sheetNames>
    <sheetDataSet>
      <sheetData sheetId="0"/>
      <sheetData sheetId="1"/>
      <sheetData sheetId="2">
        <row r="1">
          <cell r="A1" t="str">
            <v>Grouping</v>
          </cell>
          <cell r="B1" t="str">
            <v>Beginning</v>
          </cell>
          <cell r="C1" t="str">
            <v>Initial location</v>
          </cell>
          <cell r="D1" t="str">
            <v>End</v>
          </cell>
          <cell r="E1" t="str">
            <v>Final location</v>
          </cell>
          <cell r="F1" t="str">
            <v>Duration</v>
          </cell>
          <cell r="G1" t="str">
            <v>Mileage</v>
          </cell>
        </row>
        <row r="2">
          <cell r="A2" t="str">
            <v>T102EBX</v>
          </cell>
          <cell r="B2" t="str">
            <v>2026-02-23 22:06:32</v>
          </cell>
          <cell r="C2" t="str">
            <v>UBUNGO ACCESS WORLD</v>
          </cell>
          <cell r="D2" t="str">
            <v>2026-02-23 23:55:46</v>
          </cell>
          <cell r="E2" t="str">
            <v>UBUNGO ACCESS WORLD</v>
          </cell>
          <cell r="F2" t="str">
            <v>0:07:09</v>
          </cell>
          <cell r="G2">
            <v>0.59768699999999997</v>
          </cell>
        </row>
        <row r="3">
          <cell r="A3" t="str">
            <v>T102EBX</v>
          </cell>
          <cell r="B3" t="str">
            <v>2026-02-23 22:06:32</v>
          </cell>
          <cell r="C3" t="str">
            <v>UBUNGO ACCESS WORLD</v>
          </cell>
          <cell r="D3" t="str">
            <v>2026-02-23 22:10:37</v>
          </cell>
          <cell r="E3" t="str">
            <v>UBUNGO ACCESS WORLD</v>
          </cell>
          <cell r="F3" t="str">
            <v>0:04:05</v>
          </cell>
          <cell r="G3">
            <v>0.191582</v>
          </cell>
        </row>
        <row r="4">
          <cell r="A4" t="str">
            <v>T102EBX</v>
          </cell>
          <cell r="B4" t="str">
            <v>2026-02-23 23:52:42</v>
          </cell>
          <cell r="C4" t="str">
            <v>UBUNGO ACCESS WORLD</v>
          </cell>
          <cell r="D4" t="str">
            <v>2026-02-23 23:55:46</v>
          </cell>
          <cell r="E4" t="str">
            <v>UBUNGO ACCESS WORLD</v>
          </cell>
          <cell r="F4" t="str">
            <v>0:03:04</v>
          </cell>
          <cell r="G4">
            <v>0.40610499999999999</v>
          </cell>
        </row>
        <row r="5">
          <cell r="A5" t="str">
            <v>T109EBX</v>
          </cell>
          <cell r="B5" t="str">
            <v>2026-02-23 18:50:30</v>
          </cell>
          <cell r="C5" t="str">
            <v>GL KURASINI YARD</v>
          </cell>
          <cell r="D5" t="str">
            <v>2026-02-23 22:20:42</v>
          </cell>
          <cell r="E5" t="str">
            <v>R708, Dar Es Salaam</v>
          </cell>
          <cell r="F5" t="str">
            <v>2:22:22</v>
          </cell>
          <cell r="G5">
            <v>39.436855000000001</v>
          </cell>
        </row>
        <row r="6">
          <cell r="A6" t="str">
            <v>T109EBX</v>
          </cell>
          <cell r="B6" t="str">
            <v>2026-02-23 18:50:30</v>
          </cell>
          <cell r="C6" t="str">
            <v>GL KURASINI YARD</v>
          </cell>
          <cell r="D6" t="str">
            <v>2026-02-23 18:54:42</v>
          </cell>
          <cell r="E6" t="str">
            <v>GL KURASINI YARD</v>
          </cell>
          <cell r="F6" t="str">
            <v>0:04:12</v>
          </cell>
          <cell r="G6">
            <v>0.138128</v>
          </cell>
        </row>
        <row r="7">
          <cell r="A7" t="str">
            <v>T109EBX</v>
          </cell>
          <cell r="B7" t="str">
            <v>2026-02-23 19:43:57</v>
          </cell>
          <cell r="C7" t="str">
            <v>GL KURASINI YARD</v>
          </cell>
          <cell r="D7" t="str">
            <v>2026-02-23 20:01:03</v>
          </cell>
          <cell r="E7" t="str">
            <v>GL KURASINI YARD</v>
          </cell>
          <cell r="F7" t="str">
            <v>0:17:06</v>
          </cell>
          <cell r="G7">
            <v>0.1138</v>
          </cell>
        </row>
        <row r="8">
          <cell r="A8" t="str">
            <v>T109EBX</v>
          </cell>
          <cell r="B8" t="str">
            <v>2026-02-23 20:07:04</v>
          </cell>
          <cell r="C8" t="str">
            <v>GL KURASINI YARD</v>
          </cell>
          <cell r="D8" t="str">
            <v>2026-02-23 21:40:33</v>
          </cell>
          <cell r="E8" t="str">
            <v>DAR ES SALAAM</v>
          </cell>
          <cell r="F8" t="str">
            <v>1:33:29</v>
          </cell>
          <cell r="G8">
            <v>29.265934000000001</v>
          </cell>
        </row>
        <row r="9">
          <cell r="A9" t="str">
            <v>T109EBX</v>
          </cell>
          <cell r="B9" t="str">
            <v>2026-02-23 21:48:03</v>
          </cell>
          <cell r="C9" t="str">
            <v>DAR ES SALAAM</v>
          </cell>
          <cell r="D9" t="str">
            <v>2026-02-23 22:04:55</v>
          </cell>
          <cell r="E9" t="str">
            <v>DAR ES SALAAM</v>
          </cell>
          <cell r="F9" t="str">
            <v>0:16:52</v>
          </cell>
          <cell r="G9">
            <v>6.2767840000000001</v>
          </cell>
        </row>
        <row r="10">
          <cell r="A10" t="str">
            <v>T109EBX</v>
          </cell>
          <cell r="B10" t="str">
            <v>2026-02-23 22:09:59</v>
          </cell>
          <cell r="C10" t="str">
            <v>DAR ES SALAAM</v>
          </cell>
          <cell r="D10" t="str">
            <v>2026-02-23 22:20:42</v>
          </cell>
          <cell r="E10" t="str">
            <v>R708, Dar Es Salaam</v>
          </cell>
          <cell r="F10" t="str">
            <v>0:10:43</v>
          </cell>
          <cell r="G10">
            <v>3.6422089999999998</v>
          </cell>
        </row>
        <row r="11">
          <cell r="A11" t="str">
            <v>T142EBX</v>
          </cell>
          <cell r="B11" t="str">
            <v>2026-02-23 19:12:51</v>
          </cell>
          <cell r="C11" t="str">
            <v>MAKAMBAKO WBG</v>
          </cell>
          <cell r="D11" t="str">
            <v>2026-02-23 19:15:47</v>
          </cell>
          <cell r="E11" t="str">
            <v>MAKAMBAKO</v>
          </cell>
          <cell r="F11" t="str">
            <v>0:02:56</v>
          </cell>
          <cell r="G11">
            <v>0.115288</v>
          </cell>
        </row>
        <row r="12">
          <cell r="A12" t="str">
            <v>T142EBX</v>
          </cell>
          <cell r="B12" t="str">
            <v>2026-02-23 19:12:51</v>
          </cell>
          <cell r="C12" t="str">
            <v>MAKAMBAKO WBG</v>
          </cell>
          <cell r="D12" t="str">
            <v>2026-02-23 19:15:47</v>
          </cell>
          <cell r="E12" t="str">
            <v>MAKAMBAKO</v>
          </cell>
          <cell r="F12" t="str">
            <v>0:02:56</v>
          </cell>
          <cell r="G12">
            <v>0.115288</v>
          </cell>
        </row>
        <row r="13">
          <cell r="A13" t="str">
            <v>T147EBX</v>
          </cell>
          <cell r="B13" t="str">
            <v>2026-02-23 18:52:54</v>
          </cell>
          <cell r="C13" t="str">
            <v>GL KURASINI YARD</v>
          </cell>
          <cell r="D13" t="str">
            <v>2026-02-23 20:50:56</v>
          </cell>
          <cell r="E13" t="str">
            <v>R708, Dar Es Salaam</v>
          </cell>
          <cell r="F13" t="str">
            <v>1:43:02</v>
          </cell>
          <cell r="G13">
            <v>39.247985</v>
          </cell>
        </row>
        <row r="14">
          <cell r="A14" t="str">
            <v>T147EBX</v>
          </cell>
          <cell r="B14" t="str">
            <v>2026-02-23 18:52:54</v>
          </cell>
          <cell r="C14" t="str">
            <v>GL KURASINI YARD</v>
          </cell>
          <cell r="D14" t="str">
            <v>2026-02-23 20:02:10</v>
          </cell>
          <cell r="E14" t="str">
            <v>DAR ES SALAAM</v>
          </cell>
          <cell r="F14" t="str">
            <v>1:09:16</v>
          </cell>
          <cell r="G14">
            <v>22.647777000000001</v>
          </cell>
        </row>
        <row r="15">
          <cell r="A15" t="str">
            <v>T147EBX</v>
          </cell>
          <cell r="B15" t="str">
            <v>2026-02-23 20:17:10</v>
          </cell>
          <cell r="C15" t="str">
            <v>DAR ES SALAAM</v>
          </cell>
          <cell r="D15" t="str">
            <v>2026-02-23 20:50:56</v>
          </cell>
          <cell r="E15" t="str">
            <v>R708, Dar Es Salaam</v>
          </cell>
          <cell r="F15" t="str">
            <v>0:33:46</v>
          </cell>
          <cell r="G15">
            <v>16.600207999999999</v>
          </cell>
        </row>
        <row r="16">
          <cell r="A16" t="str">
            <v>T165EBX</v>
          </cell>
          <cell r="B16" t="str">
            <v>2026-02-23 21:51:10</v>
          </cell>
          <cell r="C16" t="str">
            <v>COMMUS SAS - KOLWEZI MINE</v>
          </cell>
          <cell r="D16" t="str">
            <v>2026-02-23 21:52:10</v>
          </cell>
          <cell r="E16" t="str">
            <v>COMMUS SAS - KOLWEZI MINE</v>
          </cell>
          <cell r="F16" t="str">
            <v>0:01:00</v>
          </cell>
          <cell r="G16">
            <v>0.119389</v>
          </cell>
        </row>
        <row r="17">
          <cell r="A17" t="str">
            <v>T165EBX</v>
          </cell>
          <cell r="B17" t="str">
            <v>2026-02-23 21:51:10</v>
          </cell>
          <cell r="C17" t="str">
            <v>COMMUS SAS - KOLWEZI MINE</v>
          </cell>
          <cell r="D17" t="str">
            <v>2026-02-23 21:52:10</v>
          </cell>
          <cell r="E17" t="str">
            <v>COMMUS SAS - KOLWEZI MINE</v>
          </cell>
          <cell r="F17" t="str">
            <v>0:01:00</v>
          </cell>
          <cell r="G17">
            <v>0.119389</v>
          </cell>
        </row>
        <row r="18">
          <cell r="A18" t="str">
            <v>T263DDJ</v>
          </cell>
          <cell r="B18" t="str">
            <v>2026-02-23 21:17:30</v>
          </cell>
          <cell r="C18" t="str">
            <v>Rn39, 5.54 km from Kisenda</v>
          </cell>
          <cell r="D18" t="str">
            <v>2026-02-23 22:45:00</v>
          </cell>
          <cell r="E18" t="str">
            <v>Route De La Mine Deziwa, 5.69 km from Kisenda</v>
          </cell>
          <cell r="F18" t="str">
            <v>1:27:30</v>
          </cell>
          <cell r="G18">
            <v>16.710142999999999</v>
          </cell>
        </row>
        <row r="19">
          <cell r="A19" t="str">
            <v>T263DDJ</v>
          </cell>
          <cell r="B19" t="str">
            <v>2026-02-23 21:17:30</v>
          </cell>
          <cell r="C19" t="str">
            <v>Rn39, 5.54 km from Kisenda</v>
          </cell>
          <cell r="D19" t="str">
            <v>2026-02-23 22:45:00</v>
          </cell>
          <cell r="E19" t="str">
            <v>Route De La Mine Deziwa, 5.69 km from Kisenda</v>
          </cell>
          <cell r="F19" t="str">
            <v>1:27:30</v>
          </cell>
          <cell r="G19">
            <v>16.710142999999999</v>
          </cell>
        </row>
        <row r="20">
          <cell r="A20" t="str">
            <v>T264EBX</v>
          </cell>
          <cell r="B20" t="str">
            <v>2026-02-23 18:40:27</v>
          </cell>
          <cell r="C20" t="str">
            <v>MOKAMBO DRC SIDE</v>
          </cell>
          <cell r="D20" t="str">
            <v>2026-02-23 20:35:10</v>
          </cell>
          <cell r="E20" t="str">
            <v>MOKAMBO DRC SIDE</v>
          </cell>
          <cell r="F20" t="str">
            <v>0:12:20</v>
          </cell>
          <cell r="G20">
            <v>0.88990100000000005</v>
          </cell>
        </row>
        <row r="21">
          <cell r="A21" t="str">
            <v>T264EBX</v>
          </cell>
          <cell r="B21" t="str">
            <v>2026-02-23 18:40:27</v>
          </cell>
          <cell r="C21" t="str">
            <v>MOKAMBO DRC SIDE</v>
          </cell>
          <cell r="D21" t="str">
            <v>2026-02-23 18:45:02</v>
          </cell>
          <cell r="E21" t="str">
            <v>MOKAMBO DRC SIDE</v>
          </cell>
          <cell r="F21" t="str">
            <v>0:04:35</v>
          </cell>
          <cell r="G21">
            <v>0.50389499999999998</v>
          </cell>
        </row>
        <row r="22">
          <cell r="A22" t="str">
            <v>T264EBX</v>
          </cell>
          <cell r="B22" t="str">
            <v>2026-02-23 19:16:17</v>
          </cell>
          <cell r="C22" t="str">
            <v>MOKAMBO DRC SIDE</v>
          </cell>
          <cell r="D22" t="str">
            <v>2026-02-23 19:18:57</v>
          </cell>
          <cell r="E22" t="str">
            <v>MOKAMBO DRC SIDE</v>
          </cell>
          <cell r="F22" t="str">
            <v>0:02:40</v>
          </cell>
          <cell r="G22">
            <v>0.20372799999999999</v>
          </cell>
        </row>
        <row r="23">
          <cell r="A23" t="str">
            <v>T264EBX</v>
          </cell>
          <cell r="B23" t="str">
            <v>2026-02-23 20:30:05</v>
          </cell>
          <cell r="C23" t="str">
            <v>MOKAMBO DRC SIDE</v>
          </cell>
          <cell r="D23" t="str">
            <v>2026-02-23 20:35:10</v>
          </cell>
          <cell r="E23" t="str">
            <v>MOKAMBO DRC SIDE</v>
          </cell>
          <cell r="F23" t="str">
            <v>0:05:05</v>
          </cell>
          <cell r="G23">
            <v>0.182278</v>
          </cell>
        </row>
        <row r="24">
          <cell r="A24" t="str">
            <v>T276DDJ</v>
          </cell>
          <cell r="B24" t="str">
            <v>2026-02-23 20:12:29</v>
          </cell>
          <cell r="C24" t="str">
            <v>Great North Road, Nakonde</v>
          </cell>
          <cell r="D24" t="str">
            <v>2026-02-23 20:29:43</v>
          </cell>
          <cell r="E24" t="str">
            <v>NAKONDE ZM SIDE</v>
          </cell>
          <cell r="F24" t="str">
            <v>0:17:14</v>
          </cell>
          <cell r="G24">
            <v>6.3737630000000003</v>
          </cell>
        </row>
        <row r="25">
          <cell r="A25" t="str">
            <v>T276DDJ</v>
          </cell>
          <cell r="B25" t="str">
            <v>2026-02-23 20:12:29</v>
          </cell>
          <cell r="C25" t="str">
            <v>Great North Road, Nakonde</v>
          </cell>
          <cell r="D25" t="str">
            <v>2026-02-23 20:29:43</v>
          </cell>
          <cell r="E25" t="str">
            <v>NAKONDE ZM SIDE</v>
          </cell>
          <cell r="F25" t="str">
            <v>0:17:14</v>
          </cell>
          <cell r="G25">
            <v>6.3737630000000003</v>
          </cell>
        </row>
        <row r="26">
          <cell r="A26" t="str">
            <v>T287DDJ</v>
          </cell>
          <cell r="B26" t="str">
            <v>2026-02-23 19:30:29</v>
          </cell>
          <cell r="C26" t="str">
            <v>TUNDUMA BORDER TZ SIDE</v>
          </cell>
          <cell r="D26" t="str">
            <v>2026-02-23 19:53:31</v>
          </cell>
          <cell r="E26" t="str">
            <v>TUNDUMA PARKING</v>
          </cell>
          <cell r="F26" t="str">
            <v>0:23:02</v>
          </cell>
          <cell r="G26">
            <v>3.2240289999999998</v>
          </cell>
        </row>
        <row r="27">
          <cell r="A27" t="str">
            <v>T287DDJ</v>
          </cell>
          <cell r="B27" t="str">
            <v>2026-02-23 19:30:29</v>
          </cell>
          <cell r="C27" t="str">
            <v>TUNDUMA BORDER TZ SIDE</v>
          </cell>
          <cell r="D27" t="str">
            <v>2026-02-23 19:53:31</v>
          </cell>
          <cell r="E27" t="str">
            <v>TUNDUMA PARKING</v>
          </cell>
          <cell r="F27" t="str">
            <v>0:23:02</v>
          </cell>
          <cell r="G27">
            <v>3.2240289999999998</v>
          </cell>
        </row>
        <row r="28">
          <cell r="A28" t="str">
            <v>T312EBX</v>
          </cell>
          <cell r="B28" t="str">
            <v>2026-02-23 19:58:13</v>
          </cell>
          <cell r="C28" t="str">
            <v>Tanzam Road, 2.37 km from Mbeya</v>
          </cell>
          <cell r="D28" t="str">
            <v>2026-02-23 20:01:27</v>
          </cell>
          <cell r="E28" t="str">
            <v>Tanzam Road, 2.47 km from Mbeya</v>
          </cell>
          <cell r="F28" t="str">
            <v>0:03:14</v>
          </cell>
          <cell r="G28">
            <v>0.118003</v>
          </cell>
        </row>
        <row r="29">
          <cell r="A29" t="str">
            <v>T312EBX</v>
          </cell>
          <cell r="B29" t="str">
            <v>2026-02-23 19:58:13</v>
          </cell>
          <cell r="C29" t="str">
            <v>Tanzam Road, 2.37 km from Mbeya</v>
          </cell>
          <cell r="D29" t="str">
            <v>2026-02-23 20:01:27</v>
          </cell>
          <cell r="E29" t="str">
            <v>Tanzam Road, 2.47 km from Mbeya</v>
          </cell>
          <cell r="F29" t="str">
            <v>0:03:14</v>
          </cell>
          <cell r="G29">
            <v>0.118003</v>
          </cell>
        </row>
        <row r="30">
          <cell r="A30" t="str">
            <v>T325EBX</v>
          </cell>
          <cell r="B30" t="str">
            <v>2026-02-23 19:16:25</v>
          </cell>
          <cell r="C30" t="str">
            <v>DAR ES SALAAM</v>
          </cell>
          <cell r="D30" t="str">
            <v>2026-02-23 19:33:39</v>
          </cell>
          <cell r="E30" t="str">
            <v>DAR ES SALAAM</v>
          </cell>
          <cell r="F30" t="str">
            <v>0:17:14</v>
          </cell>
          <cell r="G30">
            <v>5.5525169999999999</v>
          </cell>
        </row>
        <row r="31">
          <cell r="A31" t="str">
            <v>T325EBX</v>
          </cell>
          <cell r="B31" t="str">
            <v>2026-02-23 19:16:25</v>
          </cell>
          <cell r="C31" t="str">
            <v>DAR ES SALAAM</v>
          </cell>
          <cell r="D31" t="str">
            <v>2026-02-23 19:33:39</v>
          </cell>
          <cell r="E31" t="str">
            <v>DAR ES SALAAM</v>
          </cell>
          <cell r="F31" t="str">
            <v>0:17:14</v>
          </cell>
          <cell r="G31">
            <v>5.5525169999999999</v>
          </cell>
        </row>
        <row r="32">
          <cell r="A32" t="str">
            <v>T329EBX</v>
          </cell>
          <cell r="B32" t="str">
            <v>2026-02-23 19:21:09</v>
          </cell>
          <cell r="C32" t="str">
            <v>TENKE FUNGURUME MINE DRC</v>
          </cell>
          <cell r="D32" t="str">
            <v>2026-02-23 22:13:45</v>
          </cell>
          <cell r="E32" t="str">
            <v>TENKE FUNGURUME MINE DRC</v>
          </cell>
          <cell r="F32" t="str">
            <v>0:27:40</v>
          </cell>
          <cell r="G32">
            <v>1.8296650000000001</v>
          </cell>
        </row>
        <row r="33">
          <cell r="A33" t="str">
            <v>T329EBX</v>
          </cell>
          <cell r="B33" t="str">
            <v>2026-02-23 19:21:09</v>
          </cell>
          <cell r="C33" t="str">
            <v>TENKE FUNGURUME MINE DRC</v>
          </cell>
          <cell r="D33" t="str">
            <v>2026-02-23 19:28:43</v>
          </cell>
          <cell r="E33" t="str">
            <v>TENKE FUNGURUME MINE DRC</v>
          </cell>
          <cell r="F33" t="str">
            <v>0:07:34</v>
          </cell>
          <cell r="G33">
            <v>0.67496400000000001</v>
          </cell>
        </row>
        <row r="34">
          <cell r="A34" t="str">
            <v>T329EBX</v>
          </cell>
          <cell r="B34" t="str">
            <v>2026-02-23 21:33:03</v>
          </cell>
          <cell r="C34" t="str">
            <v>TENKE FUNGURUME MINE DRC</v>
          </cell>
          <cell r="D34" t="str">
            <v>2026-02-23 21:48:44</v>
          </cell>
          <cell r="E34" t="str">
            <v>TENKE FUNGURUME MINE DRC</v>
          </cell>
          <cell r="F34" t="str">
            <v>0:15:41</v>
          </cell>
          <cell r="G34">
            <v>1.0209490000000001</v>
          </cell>
        </row>
        <row r="35">
          <cell r="A35" t="str">
            <v>T329EBX</v>
          </cell>
          <cell r="B35" t="str">
            <v>2026-02-23 22:09:20</v>
          </cell>
          <cell r="C35" t="str">
            <v>TENKE FUNGURUME MINE DRC</v>
          </cell>
          <cell r="D35" t="str">
            <v>2026-02-23 22:13:45</v>
          </cell>
          <cell r="E35" t="str">
            <v>TENKE FUNGURUME MINE DRC</v>
          </cell>
          <cell r="F35" t="str">
            <v>0:04:25</v>
          </cell>
          <cell r="G35">
            <v>0.13375200000000001</v>
          </cell>
        </row>
        <row r="36">
          <cell r="A36" t="str">
            <v>T332DHG</v>
          </cell>
          <cell r="B36" t="str">
            <v>2026-02-23 22:06:26</v>
          </cell>
          <cell r="C36" t="str">
            <v>TUNDUMA BORDER TZ SIDE</v>
          </cell>
          <cell r="D36" t="str">
            <v>2026-02-23 23:59:24</v>
          </cell>
          <cell r="E36" t="str">
            <v>TUNDUMA PARKING</v>
          </cell>
          <cell r="F36" t="str">
            <v>0:30:10</v>
          </cell>
          <cell r="G36">
            <v>6.3882289999999999</v>
          </cell>
        </row>
        <row r="37">
          <cell r="A37" t="str">
            <v>T332DHG</v>
          </cell>
          <cell r="B37" t="str">
            <v>2026-02-23 22:06:26</v>
          </cell>
          <cell r="C37" t="str">
            <v>TUNDUMA BORDER TZ SIDE</v>
          </cell>
          <cell r="D37" t="str">
            <v>2026-02-23 22:28:01</v>
          </cell>
          <cell r="E37" t="str">
            <v>TUNDUMA BORDER TZ SIDE</v>
          </cell>
          <cell r="F37" t="str">
            <v>0:21:35</v>
          </cell>
          <cell r="G37">
            <v>4.4748049999999999</v>
          </cell>
        </row>
        <row r="38">
          <cell r="A38" t="str">
            <v>T332DHG</v>
          </cell>
          <cell r="B38" t="str">
            <v>2026-02-23 23:30:21</v>
          </cell>
          <cell r="C38" t="str">
            <v>TUNDUMA BORDER TZ SIDE</v>
          </cell>
          <cell r="D38" t="str">
            <v>2026-02-23 23:34:54</v>
          </cell>
          <cell r="E38" t="str">
            <v>TUNDUMA BORDER TZ SIDE</v>
          </cell>
          <cell r="F38" t="str">
            <v>0:04:33</v>
          </cell>
          <cell r="G38">
            <v>0.129722</v>
          </cell>
        </row>
        <row r="39">
          <cell r="A39" t="str">
            <v>T332DHG</v>
          </cell>
          <cell r="B39" t="str">
            <v>2026-02-23 23:55:22</v>
          </cell>
          <cell r="C39" t="str">
            <v>TUNDUMA BORDER TZ SIDE</v>
          </cell>
          <cell r="D39" t="str">
            <v>2026-02-23 23:59:24</v>
          </cell>
          <cell r="E39" t="str">
            <v>TUNDUMA PARKING</v>
          </cell>
          <cell r="F39" t="str">
            <v>0:04:02</v>
          </cell>
          <cell r="G39">
            <v>1.7837019999999999</v>
          </cell>
        </row>
        <row r="40">
          <cell r="A40" t="str">
            <v>T333DHG</v>
          </cell>
          <cell r="B40" t="str">
            <v>2026-02-23 19:01:09</v>
          </cell>
          <cell r="C40" t="str">
            <v>T1, 1.20 km from Wanging’ombe</v>
          </cell>
          <cell r="D40" t="str">
            <v>2026-02-23 20:07:08</v>
          </cell>
          <cell r="E40" t="str">
            <v>MAKAMBAKO WBG</v>
          </cell>
          <cell r="F40" t="str">
            <v>1:05:59</v>
          </cell>
          <cell r="G40">
            <v>24.386914000000001</v>
          </cell>
        </row>
        <row r="41">
          <cell r="A41" t="str">
            <v>T333DHG</v>
          </cell>
          <cell r="B41" t="str">
            <v>2026-02-23 19:01:09</v>
          </cell>
          <cell r="C41" t="str">
            <v>T1, 1.20 km from Wanging’ombe</v>
          </cell>
          <cell r="D41" t="str">
            <v>2026-02-23 20:07:08</v>
          </cell>
          <cell r="E41" t="str">
            <v>MAKAMBAKO WBG</v>
          </cell>
          <cell r="F41" t="str">
            <v>1:05:59</v>
          </cell>
          <cell r="G41">
            <v>24.386914000000001</v>
          </cell>
        </row>
        <row r="42">
          <cell r="A42" t="str">
            <v>T335EBX</v>
          </cell>
          <cell r="B42" t="str">
            <v>2026-02-23 19:37:58</v>
          </cell>
          <cell r="C42" t="str">
            <v>TUNDUMA BORDER TZ SIDE</v>
          </cell>
          <cell r="D42" t="str">
            <v>2026-02-23 19:40:18</v>
          </cell>
          <cell r="E42" t="str">
            <v>TUNDUMA BORDER TZ SIDE</v>
          </cell>
          <cell r="F42" t="str">
            <v>0:02:20</v>
          </cell>
          <cell r="G42">
            <v>0.122209</v>
          </cell>
        </row>
        <row r="43">
          <cell r="A43" t="str">
            <v>T335EBX</v>
          </cell>
          <cell r="B43" t="str">
            <v>2026-02-23 19:37:58</v>
          </cell>
          <cell r="C43" t="str">
            <v>TUNDUMA BORDER TZ SIDE</v>
          </cell>
          <cell r="D43" t="str">
            <v>2026-02-23 19:40:18</v>
          </cell>
          <cell r="E43" t="str">
            <v>TUNDUMA BORDER TZ SIDE</v>
          </cell>
          <cell r="F43" t="str">
            <v>0:02:20</v>
          </cell>
          <cell r="G43">
            <v>0.122209</v>
          </cell>
        </row>
        <row r="44">
          <cell r="A44" t="str">
            <v>T338DHG</v>
          </cell>
          <cell r="B44" t="str">
            <v>2026-02-23 19:06:54</v>
          </cell>
          <cell r="C44" t="str">
            <v>MOKAMBO DRC SIDE</v>
          </cell>
          <cell r="D44" t="str">
            <v>2026-02-23 19:40:08</v>
          </cell>
          <cell r="E44" t="str">
            <v>MOKAMBO DRC SIDE</v>
          </cell>
          <cell r="F44" t="str">
            <v>0:33:14</v>
          </cell>
          <cell r="G44">
            <v>2.6072220000000002</v>
          </cell>
        </row>
        <row r="45">
          <cell r="A45" t="str">
            <v>T338DHG</v>
          </cell>
          <cell r="B45" t="str">
            <v>2026-02-23 19:06:54</v>
          </cell>
          <cell r="C45" t="str">
            <v>MOKAMBO DRC SIDE</v>
          </cell>
          <cell r="D45" t="str">
            <v>2026-02-23 19:40:08</v>
          </cell>
          <cell r="E45" t="str">
            <v>MOKAMBO DRC SIDE</v>
          </cell>
          <cell r="F45" t="str">
            <v>0:33:14</v>
          </cell>
          <cell r="G45">
            <v>2.6072220000000002</v>
          </cell>
        </row>
        <row r="46">
          <cell r="A46" t="str">
            <v>T339EBX</v>
          </cell>
          <cell r="B46" t="str">
            <v>2026-02-23 05:18:08</v>
          </cell>
          <cell r="C46" t="str">
            <v>T1, Ruvu Darajani</v>
          </cell>
          <cell r="D46" t="str">
            <v>2026-02-23 05:51:14</v>
          </cell>
          <cell r="E46" t="str">
            <v>Morogoro Main Road, 1.20 km from Karabaka</v>
          </cell>
          <cell r="F46" t="str">
            <v>0:33:06</v>
          </cell>
          <cell r="G46">
            <v>19.071317000000001</v>
          </cell>
        </row>
        <row r="47">
          <cell r="A47" t="str">
            <v>T339EBX</v>
          </cell>
          <cell r="B47" t="str">
            <v>2026-02-23 05:18:08</v>
          </cell>
          <cell r="C47" t="str">
            <v>T1, Ruvu Darajani</v>
          </cell>
          <cell r="D47" t="str">
            <v>2026-02-23 05:51:14</v>
          </cell>
          <cell r="E47" t="str">
            <v>Morogoro Main Road, 1.20 km from Karabaka</v>
          </cell>
          <cell r="F47" t="str">
            <v>0:33:06</v>
          </cell>
          <cell r="G47">
            <v>19.071317000000001</v>
          </cell>
        </row>
        <row r="48">
          <cell r="A48" t="str">
            <v>T360DHG</v>
          </cell>
          <cell r="B48" t="str">
            <v>2026-02-23 19:04:22</v>
          </cell>
          <cell r="C48" t="str">
            <v>MOKAMBO DRC SIDE</v>
          </cell>
          <cell r="D48" t="str">
            <v>2026-02-23 20:39:51</v>
          </cell>
          <cell r="E48" t="str">
            <v>MOKAMBO DRC SIDE</v>
          </cell>
          <cell r="F48" t="str">
            <v>0:08:00</v>
          </cell>
          <cell r="G48">
            <v>0.33350200000000002</v>
          </cell>
        </row>
        <row r="49">
          <cell r="A49" t="str">
            <v>T360DHG</v>
          </cell>
          <cell r="B49" t="str">
            <v>2026-02-23 19:04:22</v>
          </cell>
          <cell r="C49" t="str">
            <v>MOKAMBO DRC SIDE</v>
          </cell>
          <cell r="D49" t="str">
            <v>2026-02-23 19:06:35</v>
          </cell>
          <cell r="E49" t="str">
            <v>MOKAMBO DRC SIDE</v>
          </cell>
          <cell r="F49" t="str">
            <v>0:02:13</v>
          </cell>
          <cell r="G49">
            <v>0.147587</v>
          </cell>
        </row>
        <row r="50">
          <cell r="A50" t="str">
            <v>T360DHG</v>
          </cell>
          <cell r="B50" t="str">
            <v>2026-02-23 20:34:04</v>
          </cell>
          <cell r="C50" t="str">
            <v>MOKAMBO DRC SIDE</v>
          </cell>
          <cell r="D50" t="str">
            <v>2026-02-23 20:39:51</v>
          </cell>
          <cell r="E50" t="str">
            <v>MOKAMBO DRC SIDE</v>
          </cell>
          <cell r="F50" t="str">
            <v>0:05:47</v>
          </cell>
          <cell r="G50">
            <v>0.185916</v>
          </cell>
        </row>
        <row r="51">
          <cell r="A51" t="str">
            <v>T373DHG</v>
          </cell>
          <cell r="B51" t="str">
            <v>2026-02-23 18:52:26</v>
          </cell>
          <cell r="C51" t="str">
            <v>NAKONDE ZM SIDE</v>
          </cell>
          <cell r="D51" t="str">
            <v>2026-02-23 21:36:17</v>
          </cell>
          <cell r="E51" t="str">
            <v>TUNDUMA PARKING</v>
          </cell>
          <cell r="F51" t="str">
            <v>1:22:02</v>
          </cell>
          <cell r="G51">
            <v>10.716919000000001</v>
          </cell>
        </row>
        <row r="52">
          <cell r="A52" t="str">
            <v>T373DHG</v>
          </cell>
          <cell r="B52" t="str">
            <v>2026-02-23 18:52:26</v>
          </cell>
          <cell r="C52" t="str">
            <v>NAKONDE ZM SIDE</v>
          </cell>
          <cell r="D52" t="str">
            <v>2026-02-23 19:01:07</v>
          </cell>
          <cell r="E52" t="str">
            <v>NAKONDE ZM SIDE</v>
          </cell>
          <cell r="F52" t="str">
            <v>0:08:41</v>
          </cell>
          <cell r="G52">
            <v>0.28864600000000001</v>
          </cell>
        </row>
        <row r="53">
          <cell r="A53" t="str">
            <v>T373DHG</v>
          </cell>
          <cell r="B53" t="str">
            <v>2026-02-23 19:06:54</v>
          </cell>
          <cell r="C53" t="str">
            <v>NAKONDE ZM SIDE</v>
          </cell>
          <cell r="D53" t="str">
            <v>2026-02-23 19:12:22</v>
          </cell>
          <cell r="E53" t="str">
            <v>NAKONDE ZM SIDE</v>
          </cell>
          <cell r="F53" t="str">
            <v>0:05:28</v>
          </cell>
          <cell r="G53">
            <v>0.24413299999999999</v>
          </cell>
        </row>
        <row r="54">
          <cell r="A54" t="str">
            <v>T373DHG</v>
          </cell>
          <cell r="B54" t="str">
            <v>2026-02-23 19:23:13</v>
          </cell>
          <cell r="C54" t="str">
            <v>NAKONDE ZM SIDE</v>
          </cell>
          <cell r="D54" t="str">
            <v>2026-02-23 19:31:14</v>
          </cell>
          <cell r="E54" t="str">
            <v>NAKONDE ZM SIDE</v>
          </cell>
          <cell r="F54" t="str">
            <v>0:08:01</v>
          </cell>
          <cell r="G54">
            <v>0.46158399999999999</v>
          </cell>
        </row>
        <row r="55">
          <cell r="A55" t="str">
            <v>T373DHG</v>
          </cell>
          <cell r="B55" t="str">
            <v>2026-02-23 19:43:00</v>
          </cell>
          <cell r="C55" t="str">
            <v>NAKONDE ZM SIDE</v>
          </cell>
          <cell r="D55" t="str">
            <v>2026-02-23 19:45:05</v>
          </cell>
          <cell r="E55" t="str">
            <v>NAKONDE ZM SIDE</v>
          </cell>
          <cell r="F55" t="str">
            <v>0:02:05</v>
          </cell>
          <cell r="G55">
            <v>0.101697</v>
          </cell>
        </row>
        <row r="56">
          <cell r="A56" t="str">
            <v>T373DHG</v>
          </cell>
          <cell r="B56" t="str">
            <v>2026-02-23 19:56:18</v>
          </cell>
          <cell r="C56" t="str">
            <v>NAKONDE ZM SIDE</v>
          </cell>
          <cell r="D56" t="str">
            <v>2026-02-23 19:58:00</v>
          </cell>
          <cell r="E56" t="str">
            <v>NAKONDE ZM SIDE</v>
          </cell>
          <cell r="F56" t="str">
            <v>0:01:42</v>
          </cell>
          <cell r="G56">
            <v>0.27672600000000003</v>
          </cell>
        </row>
        <row r="57">
          <cell r="A57" t="str">
            <v>T373DHG</v>
          </cell>
          <cell r="B57" t="str">
            <v>2026-02-23 20:18:43</v>
          </cell>
          <cell r="C57" t="str">
            <v>NAKONDE ZM SIDE</v>
          </cell>
          <cell r="D57" t="str">
            <v>2026-02-23 20:36:21</v>
          </cell>
          <cell r="E57" t="str">
            <v>T1, Nakonde</v>
          </cell>
          <cell r="F57" t="str">
            <v>0:17:38</v>
          </cell>
          <cell r="G57">
            <v>0.419595</v>
          </cell>
        </row>
        <row r="58">
          <cell r="A58" t="str">
            <v>T373DHG</v>
          </cell>
          <cell r="B58" t="str">
            <v>2026-02-23 20:57:50</v>
          </cell>
          <cell r="C58" t="str">
            <v>TUNDUMA BORDER TZ SIDE</v>
          </cell>
          <cell r="D58" t="str">
            <v>2026-02-23 21:36:17</v>
          </cell>
          <cell r="E58" t="str">
            <v>TUNDUMA PARKING</v>
          </cell>
          <cell r="F58" t="str">
            <v>0:38:27</v>
          </cell>
          <cell r="G58">
            <v>8.9245370000000008</v>
          </cell>
        </row>
        <row r="59">
          <cell r="A59" t="str">
            <v>T375DHG</v>
          </cell>
          <cell r="B59" t="str">
            <v>2026-02-23 20:15:30</v>
          </cell>
          <cell r="C59" t="str">
            <v>M5, Mufulira</v>
          </cell>
          <cell r="D59" t="str">
            <v>2026-02-23 21:31:21</v>
          </cell>
          <cell r="E59" t="str">
            <v>SABINA TRUCK PARK</v>
          </cell>
          <cell r="F59" t="str">
            <v>1:15:51</v>
          </cell>
          <cell r="G59">
            <v>25.920894000000001</v>
          </cell>
        </row>
        <row r="60">
          <cell r="A60" t="str">
            <v>T375DHG</v>
          </cell>
          <cell r="B60" t="str">
            <v>2026-02-23 20:15:30</v>
          </cell>
          <cell r="C60" t="str">
            <v>M5, Mufulira</v>
          </cell>
          <cell r="D60" t="str">
            <v>2026-02-23 21:31:21</v>
          </cell>
          <cell r="E60" t="str">
            <v>SABINA TRUCK PARK</v>
          </cell>
          <cell r="F60" t="str">
            <v>1:15:51</v>
          </cell>
          <cell r="G60">
            <v>25.920894000000001</v>
          </cell>
        </row>
        <row r="61">
          <cell r="A61" t="str">
            <v>T378DHG</v>
          </cell>
          <cell r="B61" t="str">
            <v>2026-02-23 21:38:33</v>
          </cell>
          <cell r="C61" t="str">
            <v>Regional Hospital Road, 2.44 km from Mbeya</v>
          </cell>
          <cell r="D61" t="str">
            <v>2026-02-23 21:43:11</v>
          </cell>
          <cell r="E61" t="str">
            <v>Tanzam Road, 2.25 km from Mbeya</v>
          </cell>
          <cell r="F61" t="str">
            <v>0:04:38</v>
          </cell>
          <cell r="G61">
            <v>0.25416899999999998</v>
          </cell>
        </row>
        <row r="62">
          <cell r="A62" t="str">
            <v>T378DHG</v>
          </cell>
          <cell r="B62" t="str">
            <v>2026-02-23 21:38:33</v>
          </cell>
          <cell r="C62" t="str">
            <v>Regional Hospital Road, 2.44 km from Mbeya</v>
          </cell>
          <cell r="D62" t="str">
            <v>2026-02-23 21:43:11</v>
          </cell>
          <cell r="E62" t="str">
            <v>Tanzam Road, 2.25 km from Mbeya</v>
          </cell>
          <cell r="F62" t="str">
            <v>0:04:38</v>
          </cell>
          <cell r="G62">
            <v>0.25416899999999998</v>
          </cell>
        </row>
        <row r="63">
          <cell r="A63" t="str">
            <v>T380ECN</v>
          </cell>
          <cell r="B63" t="str">
            <v>2026-02-23 19:39:43</v>
          </cell>
          <cell r="C63" t="str">
            <v>GL KURASINI YARD</v>
          </cell>
          <cell r="D63" t="str">
            <v>2026-02-23 21:21:13</v>
          </cell>
          <cell r="E63" t="str">
            <v>R708, Dar Es Salaam</v>
          </cell>
          <cell r="F63" t="str">
            <v>1:33:34</v>
          </cell>
          <cell r="G63">
            <v>38.997329000000001</v>
          </cell>
        </row>
        <row r="64">
          <cell r="A64" t="str">
            <v>T380ECN</v>
          </cell>
          <cell r="B64" t="str">
            <v>2026-02-23 19:39:43</v>
          </cell>
          <cell r="C64" t="str">
            <v>GL KURASINI YARD</v>
          </cell>
          <cell r="D64" t="str">
            <v>2026-02-23 20:29:16</v>
          </cell>
          <cell r="E64" t="str">
            <v>DAR ES SALAAM</v>
          </cell>
          <cell r="F64" t="str">
            <v>0:49:33</v>
          </cell>
          <cell r="G64">
            <v>17.720566000000002</v>
          </cell>
        </row>
        <row r="65">
          <cell r="A65" t="str">
            <v>T380ECN</v>
          </cell>
          <cell r="B65" t="str">
            <v>2026-02-23 20:37:12</v>
          </cell>
          <cell r="C65" t="str">
            <v>DAR ES SALAAM</v>
          </cell>
          <cell r="D65" t="str">
            <v>2026-02-23 21:21:13</v>
          </cell>
          <cell r="E65" t="str">
            <v>R708, Dar Es Salaam</v>
          </cell>
          <cell r="F65" t="str">
            <v>0:44:01</v>
          </cell>
          <cell r="G65">
            <v>21.276762999999999</v>
          </cell>
        </row>
        <row r="66">
          <cell r="A66" t="str">
            <v>T381ECN</v>
          </cell>
          <cell r="B66" t="str">
            <v>2026-02-23 20:09:32</v>
          </cell>
          <cell r="C66" t="str">
            <v>GL KURASINI YARD</v>
          </cell>
          <cell r="D66" t="str">
            <v>2026-02-23 22:48:41</v>
          </cell>
          <cell r="E66" t="str">
            <v>DCG - KISARAWE</v>
          </cell>
          <cell r="F66" t="str">
            <v>2:03:33</v>
          </cell>
          <cell r="G66">
            <v>39.336503</v>
          </cell>
        </row>
        <row r="67">
          <cell r="A67" t="str">
            <v>T381ECN</v>
          </cell>
          <cell r="B67" t="str">
            <v>2026-02-23 20:09:32</v>
          </cell>
          <cell r="C67" t="str">
            <v>GL KURASINI YARD</v>
          </cell>
          <cell r="D67" t="str">
            <v>2026-02-23 21:55:17</v>
          </cell>
          <cell r="E67" t="str">
            <v>R708, Dar Es Salaam</v>
          </cell>
          <cell r="F67" t="str">
            <v>1:45:45</v>
          </cell>
          <cell r="G67">
            <v>35.910325</v>
          </cell>
        </row>
        <row r="68">
          <cell r="A68" t="str">
            <v>T381ECN</v>
          </cell>
          <cell r="B68" t="str">
            <v>2026-02-23 22:15:17</v>
          </cell>
          <cell r="C68" t="str">
            <v>R708, Dar Es Salaam</v>
          </cell>
          <cell r="D68" t="str">
            <v>2026-02-23 22:22:25</v>
          </cell>
          <cell r="E68" t="str">
            <v>R708, Dar Es Salaam</v>
          </cell>
          <cell r="F68" t="str">
            <v>0:07:08</v>
          </cell>
          <cell r="G68">
            <v>3.2787229999999998</v>
          </cell>
        </row>
        <row r="69">
          <cell r="A69" t="str">
            <v>T381ECN</v>
          </cell>
          <cell r="B69" t="str">
            <v>2026-02-23 22:38:01</v>
          </cell>
          <cell r="C69" t="str">
            <v>R708, Dar Es Salaam</v>
          </cell>
          <cell r="D69" t="str">
            <v>2026-02-23 22:48:41</v>
          </cell>
          <cell r="E69" t="str">
            <v>DCG - KISARAWE</v>
          </cell>
          <cell r="F69" t="str">
            <v>0:10:40</v>
          </cell>
          <cell r="G69">
            <v>0.147455</v>
          </cell>
        </row>
        <row r="70">
          <cell r="A70" t="str">
            <v>T384ECN</v>
          </cell>
          <cell r="B70" t="str">
            <v>2026-02-23 19:12:57</v>
          </cell>
          <cell r="C70" t="str">
            <v>GL KURASINI YARD</v>
          </cell>
          <cell r="D70" t="str">
            <v>2026-02-23 21:23:11</v>
          </cell>
          <cell r="E70" t="str">
            <v>DAR ES SALAAM</v>
          </cell>
          <cell r="F70" t="str">
            <v>1:27:13</v>
          </cell>
          <cell r="G70">
            <v>23.485163</v>
          </cell>
        </row>
        <row r="71">
          <cell r="A71" t="str">
            <v>T384ECN</v>
          </cell>
          <cell r="B71" t="str">
            <v>2026-02-23 19:12:57</v>
          </cell>
          <cell r="C71" t="str">
            <v>GL KURASINI YARD</v>
          </cell>
          <cell r="D71" t="str">
            <v>2026-02-23 19:19:27</v>
          </cell>
          <cell r="E71" t="str">
            <v>GL KURASINI YARD</v>
          </cell>
          <cell r="F71" t="str">
            <v>0:06:30</v>
          </cell>
          <cell r="G71">
            <v>0.242565</v>
          </cell>
        </row>
        <row r="72">
          <cell r="A72" t="str">
            <v>T384ECN</v>
          </cell>
          <cell r="B72" t="str">
            <v>2026-02-23 19:55:28</v>
          </cell>
          <cell r="C72" t="str">
            <v>GL KURASINI YARD</v>
          </cell>
          <cell r="D72" t="str">
            <v>2026-02-23 20:47:50</v>
          </cell>
          <cell r="E72" t="str">
            <v>DAR ES SALAAM</v>
          </cell>
          <cell r="F72" t="str">
            <v>0:52:22</v>
          </cell>
          <cell r="G72">
            <v>17.219525000000001</v>
          </cell>
        </row>
        <row r="73">
          <cell r="A73" t="str">
            <v>T384ECN</v>
          </cell>
          <cell r="B73" t="str">
            <v>2026-02-23 20:54:50</v>
          </cell>
          <cell r="C73" t="str">
            <v>DAR ES SALAAM</v>
          </cell>
          <cell r="D73" t="str">
            <v>2026-02-23 21:23:11</v>
          </cell>
          <cell r="E73" t="str">
            <v>DAR ES SALAAM</v>
          </cell>
          <cell r="F73" t="str">
            <v>0:28:21</v>
          </cell>
          <cell r="G73">
            <v>6.0230730000000001</v>
          </cell>
        </row>
        <row r="74">
          <cell r="A74" t="str">
            <v>T386ECN</v>
          </cell>
          <cell r="B74" t="str">
            <v>2026-02-23 18:51:15</v>
          </cell>
          <cell r="C74" t="str">
            <v>GL KURASINI YARD</v>
          </cell>
          <cell r="D74" t="str">
            <v>2026-02-23 20:35:40</v>
          </cell>
          <cell r="E74" t="str">
            <v>R708, Dar Es Salaam</v>
          </cell>
          <cell r="F74" t="str">
            <v>1:39:05</v>
          </cell>
          <cell r="G74">
            <v>38.982567000000003</v>
          </cell>
        </row>
        <row r="75">
          <cell r="A75" t="str">
            <v>T386ECN</v>
          </cell>
          <cell r="B75" t="str">
            <v>2026-02-23 18:51:15</v>
          </cell>
          <cell r="C75" t="str">
            <v>GL KURASINI YARD</v>
          </cell>
          <cell r="D75" t="str">
            <v>2026-02-23 19:44:55</v>
          </cell>
          <cell r="E75" t="str">
            <v>DAR ES SALAAM</v>
          </cell>
          <cell r="F75" t="str">
            <v>0:53:40</v>
          </cell>
          <cell r="G75">
            <v>17.644126</v>
          </cell>
        </row>
        <row r="76">
          <cell r="A76" t="str">
            <v>T386ECN</v>
          </cell>
          <cell r="B76" t="str">
            <v>2026-02-23 19:50:15</v>
          </cell>
          <cell r="C76" t="str">
            <v>DAR ES SALAAM</v>
          </cell>
          <cell r="D76" t="str">
            <v>2026-02-23 20:35:40</v>
          </cell>
          <cell r="E76" t="str">
            <v>R708, Dar Es Salaam</v>
          </cell>
          <cell r="F76" t="str">
            <v>0:45:25</v>
          </cell>
          <cell r="G76">
            <v>21.338439999999999</v>
          </cell>
        </row>
        <row r="77">
          <cell r="A77" t="str">
            <v>T397ECN</v>
          </cell>
          <cell r="B77" t="str">
            <v>2026-02-23 00:00:00</v>
          </cell>
          <cell r="C77" t="str">
            <v>DP WORLD</v>
          </cell>
          <cell r="D77" t="str">
            <v>2026-02-23 20:49:20</v>
          </cell>
          <cell r="E77" t="str">
            <v>DAR ES SALAAM</v>
          </cell>
          <cell r="F77" t="str">
            <v>2:42:18</v>
          </cell>
          <cell r="G77">
            <v>52.192359000000003</v>
          </cell>
        </row>
        <row r="78">
          <cell r="A78" t="str">
            <v>T397ECN</v>
          </cell>
          <cell r="B78" t="str">
            <v>2026-02-23 00:00:00</v>
          </cell>
          <cell r="C78" t="str">
            <v>DP WORLD</v>
          </cell>
          <cell r="D78" t="str">
            <v>2026-02-23 00:02:41</v>
          </cell>
          <cell r="E78" t="str">
            <v>DP WORLD</v>
          </cell>
          <cell r="F78" t="str">
            <v>0:02:41</v>
          </cell>
          <cell r="G78">
            <v>0.27332899999999999</v>
          </cell>
        </row>
        <row r="79">
          <cell r="A79" t="str">
            <v>T397ECN</v>
          </cell>
          <cell r="B79" t="str">
            <v>2026-02-23 00:55:16</v>
          </cell>
          <cell r="C79" t="str">
            <v>DP WORLD</v>
          </cell>
          <cell r="D79" t="str">
            <v>2026-02-23 01:57:43</v>
          </cell>
          <cell r="E79" t="str">
            <v>DAR ES SALAAM</v>
          </cell>
          <cell r="F79" t="str">
            <v>1:02:27</v>
          </cell>
          <cell r="G79">
            <v>23.899675999999999</v>
          </cell>
        </row>
        <row r="80">
          <cell r="A80" t="str">
            <v>T397ECN</v>
          </cell>
          <cell r="B80" t="str">
            <v>2026-02-23 02:25:08</v>
          </cell>
          <cell r="C80" t="str">
            <v>DAR ES SALAAM</v>
          </cell>
          <cell r="D80" t="str">
            <v>2026-02-23 02:34:30</v>
          </cell>
          <cell r="E80" t="str">
            <v>GL KURASINI YARD</v>
          </cell>
          <cell r="F80" t="str">
            <v>0:09:22</v>
          </cell>
          <cell r="G80">
            <v>3.802171</v>
          </cell>
        </row>
        <row r="81">
          <cell r="A81" t="str">
            <v>T397ECN</v>
          </cell>
          <cell r="B81" t="str">
            <v>2026-02-23 19:12:30</v>
          </cell>
          <cell r="C81" t="str">
            <v>GL KURASINI YARD</v>
          </cell>
          <cell r="D81" t="str">
            <v>2026-02-23 20:35:00</v>
          </cell>
          <cell r="E81" t="str">
            <v>DAR ES SALAAM</v>
          </cell>
          <cell r="F81" t="str">
            <v>1:22:30</v>
          </cell>
          <cell r="G81">
            <v>23.488081000000001</v>
          </cell>
        </row>
        <row r="82">
          <cell r="A82" t="str">
            <v>T397ECN</v>
          </cell>
          <cell r="B82" t="str">
            <v>2026-02-23 20:44:02</v>
          </cell>
          <cell r="C82" t="str">
            <v>DAR ES SALAAM</v>
          </cell>
          <cell r="D82" t="str">
            <v>2026-02-23 20:49:20</v>
          </cell>
          <cell r="E82" t="str">
            <v>DAR ES SALAAM</v>
          </cell>
          <cell r="F82" t="str">
            <v>0:05:18</v>
          </cell>
          <cell r="G82">
            <v>0.72910200000000003</v>
          </cell>
        </row>
        <row r="83">
          <cell r="A83" t="str">
            <v>T401ECN</v>
          </cell>
          <cell r="B83" t="str">
            <v>2026-02-23 19:12:32</v>
          </cell>
          <cell r="C83" t="str">
            <v>MOKAMBO ZM SIDE</v>
          </cell>
          <cell r="D83" t="str">
            <v>2026-02-23 19:17:19</v>
          </cell>
          <cell r="E83" t="str">
            <v>MOKAMBO ZM SIDE</v>
          </cell>
          <cell r="F83" t="str">
            <v>0:04:47</v>
          </cell>
          <cell r="G83">
            <v>0.289211</v>
          </cell>
        </row>
        <row r="84">
          <cell r="A84" t="str">
            <v>T401ECN</v>
          </cell>
          <cell r="B84" t="str">
            <v>2026-02-23 19:12:32</v>
          </cell>
          <cell r="C84" t="str">
            <v>MOKAMBO ZM SIDE</v>
          </cell>
          <cell r="D84" t="str">
            <v>2026-02-23 19:17:19</v>
          </cell>
          <cell r="E84" t="str">
            <v>MOKAMBO ZM SIDE</v>
          </cell>
          <cell r="F84" t="str">
            <v>0:04:47</v>
          </cell>
          <cell r="G84">
            <v>0.289211</v>
          </cell>
        </row>
        <row r="85">
          <cell r="A85" t="str">
            <v>T407DHE</v>
          </cell>
          <cell r="B85" t="str">
            <v>2026-02-23 18:35:17</v>
          </cell>
          <cell r="C85" t="str">
            <v>TUNDUMA BORDER TZ SIDE</v>
          </cell>
          <cell r="D85" t="str">
            <v>2026-02-23 21:15:04</v>
          </cell>
          <cell r="E85" t="str">
            <v>NAKONDE ZM SIDE</v>
          </cell>
          <cell r="F85" t="str">
            <v>0:32:50</v>
          </cell>
          <cell r="G85">
            <v>6.9338740000000003</v>
          </cell>
        </row>
        <row r="86">
          <cell r="A86" t="str">
            <v>T407DHE</v>
          </cell>
          <cell r="B86" t="str">
            <v>2026-02-23 18:35:17</v>
          </cell>
          <cell r="C86" t="str">
            <v>TUNDUMA BORDER TZ SIDE</v>
          </cell>
          <cell r="D86" t="str">
            <v>2026-02-23 18:42:29</v>
          </cell>
          <cell r="E86" t="str">
            <v>TUNDUMA BORDER TZ SIDE</v>
          </cell>
          <cell r="F86" t="str">
            <v>0:07:12</v>
          </cell>
          <cell r="G86">
            <v>0.14578099999999999</v>
          </cell>
        </row>
        <row r="87">
          <cell r="A87" t="str">
            <v>T407DHE</v>
          </cell>
          <cell r="B87" t="str">
            <v>2026-02-23 19:39:04</v>
          </cell>
          <cell r="C87" t="str">
            <v>TUNDUMA BORDER TZ SIDE</v>
          </cell>
          <cell r="D87" t="str">
            <v>2026-02-23 19:42:26</v>
          </cell>
          <cell r="E87" t="str">
            <v>TUNDUMA BORDER TZ SIDE</v>
          </cell>
          <cell r="F87" t="str">
            <v>0:03:22</v>
          </cell>
          <cell r="G87">
            <v>0.114397</v>
          </cell>
        </row>
        <row r="88">
          <cell r="A88" t="str">
            <v>T407DHE</v>
          </cell>
          <cell r="B88" t="str">
            <v>2026-02-23 20:52:48</v>
          </cell>
          <cell r="C88" t="str">
            <v>Great North Road, Nakonde</v>
          </cell>
          <cell r="D88" t="str">
            <v>2026-02-23 21:15:04</v>
          </cell>
          <cell r="E88" t="str">
            <v>NAKONDE ZM SIDE</v>
          </cell>
          <cell r="F88" t="str">
            <v>0:22:16</v>
          </cell>
          <cell r="G88">
            <v>6.6736950000000004</v>
          </cell>
        </row>
        <row r="89">
          <cell r="A89" t="str">
            <v>T416DCT</v>
          </cell>
          <cell r="B89" t="str">
            <v>2026-02-23 22:01:57</v>
          </cell>
          <cell r="C89" t="str">
            <v>DAR ES SALAAM</v>
          </cell>
          <cell r="D89" t="str">
            <v>2026-02-23 22:26:30</v>
          </cell>
          <cell r="E89" t="str">
            <v>GL KURASINI YARD</v>
          </cell>
          <cell r="F89" t="str">
            <v>0:24:33</v>
          </cell>
          <cell r="G89">
            <v>2.4475479999999998</v>
          </cell>
        </row>
        <row r="90">
          <cell r="A90" t="str">
            <v>T416DCT</v>
          </cell>
          <cell r="B90" t="str">
            <v>2026-02-23 22:01:57</v>
          </cell>
          <cell r="C90" t="str">
            <v>DAR ES SALAAM</v>
          </cell>
          <cell r="D90" t="str">
            <v>2026-02-23 22:26:30</v>
          </cell>
          <cell r="E90" t="str">
            <v>GL KURASINI YARD</v>
          </cell>
          <cell r="F90" t="str">
            <v>0:24:33</v>
          </cell>
          <cell r="G90">
            <v>2.4475479999999998</v>
          </cell>
        </row>
        <row r="91">
          <cell r="A91" t="str">
            <v>T417DHE</v>
          </cell>
          <cell r="B91" t="str">
            <v>2026-02-23 05:55:14</v>
          </cell>
          <cell r="C91" t="str">
            <v>Iringa Road, 1.35 km from Ruaha Mbuyumi</v>
          </cell>
          <cell r="D91" t="str">
            <v>2026-02-23 09:17:06</v>
          </cell>
          <cell r="E91" t="str">
            <v>IPOGOLO IRINGA</v>
          </cell>
          <cell r="F91" t="str">
            <v>3:21:52</v>
          </cell>
          <cell r="G91">
            <v>108.660151</v>
          </cell>
        </row>
        <row r="92">
          <cell r="A92" t="str">
            <v>T417DHE</v>
          </cell>
          <cell r="B92" t="str">
            <v>2026-02-23 05:55:14</v>
          </cell>
          <cell r="C92" t="str">
            <v>Iringa Road, 1.35 km from Ruaha Mbuyumi</v>
          </cell>
          <cell r="D92" t="str">
            <v>2026-02-23 09:17:06</v>
          </cell>
          <cell r="E92" t="str">
            <v>IPOGOLO IRINGA</v>
          </cell>
          <cell r="F92" t="str">
            <v>3:21:52</v>
          </cell>
          <cell r="G92">
            <v>108.660151</v>
          </cell>
        </row>
        <row r="93">
          <cell r="A93" t="str">
            <v>T424DHG</v>
          </cell>
          <cell r="B93" t="str">
            <v>2026-02-23 20:42:14</v>
          </cell>
          <cell r="C93" t="str">
            <v>Great North Road, Nakonde</v>
          </cell>
          <cell r="D93" t="str">
            <v>2026-02-23 21:18:06</v>
          </cell>
          <cell r="E93" t="str">
            <v>NAKONDE ZM SIDE</v>
          </cell>
          <cell r="F93" t="str">
            <v>0:30:50</v>
          </cell>
          <cell r="G93">
            <v>6.5855379999999997</v>
          </cell>
        </row>
        <row r="94">
          <cell r="A94" t="str">
            <v>T424DHG</v>
          </cell>
          <cell r="B94" t="str">
            <v>2026-02-23 20:42:14</v>
          </cell>
          <cell r="C94" t="str">
            <v>Great North Road, Nakonde</v>
          </cell>
          <cell r="D94" t="str">
            <v>2026-02-23 21:09:37</v>
          </cell>
          <cell r="E94" t="str">
            <v>NAKONDE ZM SIDE</v>
          </cell>
          <cell r="F94" t="str">
            <v>0:27:23</v>
          </cell>
          <cell r="G94">
            <v>6.438644</v>
          </cell>
        </row>
        <row r="95">
          <cell r="A95" t="str">
            <v>T424DHG</v>
          </cell>
          <cell r="B95" t="str">
            <v>2026-02-23 21:14:39</v>
          </cell>
          <cell r="C95" t="str">
            <v>NAKONDE ZM SIDE</v>
          </cell>
          <cell r="D95" t="str">
            <v>2026-02-23 21:18:06</v>
          </cell>
          <cell r="E95" t="str">
            <v>NAKONDE ZM SIDE</v>
          </cell>
          <cell r="F95" t="str">
            <v>0:03:27</v>
          </cell>
          <cell r="G95">
            <v>0.146894</v>
          </cell>
        </row>
        <row r="96">
          <cell r="A96" t="str">
            <v>T428DHG</v>
          </cell>
          <cell r="B96" t="str">
            <v>2026-02-23 20:36:39</v>
          </cell>
          <cell r="C96" t="str">
            <v>MOKAMBO DRC SIDE</v>
          </cell>
          <cell r="D96" t="str">
            <v>2026-02-23 21:30:37</v>
          </cell>
          <cell r="E96" t="str">
            <v>MOKAMBO DRC SIDE</v>
          </cell>
          <cell r="F96" t="str">
            <v>0:19:25</v>
          </cell>
          <cell r="G96">
            <v>1.180669</v>
          </cell>
        </row>
        <row r="97">
          <cell r="A97" t="str">
            <v>T428DHG</v>
          </cell>
          <cell r="B97" t="str">
            <v>2026-02-23 20:36:39</v>
          </cell>
          <cell r="C97" t="str">
            <v>MOKAMBO DRC SIDE</v>
          </cell>
          <cell r="D97" t="str">
            <v>2026-02-23 20:38:30</v>
          </cell>
          <cell r="E97" t="str">
            <v>MOKAMBO DRC SIDE</v>
          </cell>
          <cell r="F97" t="str">
            <v>0:01:51</v>
          </cell>
          <cell r="G97">
            <v>0.14183499999999999</v>
          </cell>
        </row>
        <row r="98">
          <cell r="A98" t="str">
            <v>T428DHG</v>
          </cell>
          <cell r="B98" t="str">
            <v>2026-02-23 21:13:03</v>
          </cell>
          <cell r="C98" t="str">
            <v>MOKAMBO DRC SIDE</v>
          </cell>
          <cell r="D98" t="str">
            <v>2026-02-23 21:30:37</v>
          </cell>
          <cell r="E98" t="str">
            <v>MOKAMBO DRC SIDE</v>
          </cell>
          <cell r="F98" t="str">
            <v>0:17:34</v>
          </cell>
          <cell r="G98">
            <v>1.038834</v>
          </cell>
        </row>
        <row r="99">
          <cell r="A99" t="str">
            <v>T482DYR</v>
          </cell>
          <cell r="B99" t="str">
            <v>2026-02-23 19:19:38</v>
          </cell>
          <cell r="C99" t="str">
            <v>TENKE FUNGURUME MINE DRC</v>
          </cell>
          <cell r="D99" t="str">
            <v>2026-02-23 21:56:25</v>
          </cell>
          <cell r="E99" t="str">
            <v>TENKE FUNGURUME MINE DRC</v>
          </cell>
          <cell r="F99" t="str">
            <v>0:27:41</v>
          </cell>
          <cell r="G99">
            <v>2.4825539999999999</v>
          </cell>
        </row>
        <row r="100">
          <cell r="A100" t="str">
            <v>T482DYR</v>
          </cell>
          <cell r="B100" t="str">
            <v>2026-02-23 19:19:38</v>
          </cell>
          <cell r="C100" t="str">
            <v>TENKE FUNGURUME MINE DRC</v>
          </cell>
          <cell r="D100" t="str">
            <v>2026-02-23 19:30:09</v>
          </cell>
          <cell r="E100" t="str">
            <v>TENKE FUNGURUME MINE DRC</v>
          </cell>
          <cell r="F100" t="str">
            <v>0:10:31</v>
          </cell>
          <cell r="G100">
            <v>0.86033899999999996</v>
          </cell>
        </row>
        <row r="101">
          <cell r="A101" t="str">
            <v>T482DYR</v>
          </cell>
          <cell r="B101" t="str">
            <v>2026-02-23 21:06:22</v>
          </cell>
          <cell r="C101" t="str">
            <v>TENKE FUNGURUME MINE DRC</v>
          </cell>
          <cell r="D101" t="str">
            <v>2026-02-23 21:17:53</v>
          </cell>
          <cell r="E101" t="str">
            <v>TENKE FUNGURUME MINE DRC</v>
          </cell>
          <cell r="F101" t="str">
            <v>0:11:31</v>
          </cell>
          <cell r="G101">
            <v>1.1754249999999999</v>
          </cell>
        </row>
        <row r="102">
          <cell r="A102" t="str">
            <v>T482DYR</v>
          </cell>
          <cell r="B102" t="str">
            <v>2026-02-23 21:50:46</v>
          </cell>
          <cell r="C102" t="str">
            <v>TENKE FUNGURUME MINE DRC</v>
          </cell>
          <cell r="D102" t="str">
            <v>2026-02-23 21:56:25</v>
          </cell>
          <cell r="E102" t="str">
            <v>TENKE FUNGURUME MINE DRC</v>
          </cell>
          <cell r="F102" t="str">
            <v>0:05:39</v>
          </cell>
          <cell r="G102">
            <v>0.44678899999999999</v>
          </cell>
        </row>
        <row r="103">
          <cell r="A103" t="str">
            <v>T494DYR</v>
          </cell>
          <cell r="B103" t="str">
            <v>2026-02-23 19:32:11</v>
          </cell>
          <cell r="C103" t="str">
            <v>Rn39, 6.10 km from Kazembe</v>
          </cell>
          <cell r="D103" t="str">
            <v>2026-02-23 21:56:54</v>
          </cell>
          <cell r="E103" t="str">
            <v>Route De La Mine Deziwa, 5.77 km from Kisenda</v>
          </cell>
          <cell r="F103" t="str">
            <v>0:59:38</v>
          </cell>
          <cell r="G103">
            <v>8.6487839999999991</v>
          </cell>
        </row>
        <row r="104">
          <cell r="A104" t="str">
            <v>T494DYR</v>
          </cell>
          <cell r="B104" t="str">
            <v>2026-02-23 19:32:11</v>
          </cell>
          <cell r="C104" t="str">
            <v>Rn39, 6.10 km from Kazembe</v>
          </cell>
          <cell r="D104" t="str">
            <v>2026-02-23 19:48:29</v>
          </cell>
          <cell r="E104" t="str">
            <v>LUALABA COPPER SMELTERS  MINE- DRC</v>
          </cell>
          <cell r="F104" t="str">
            <v>0:16:18</v>
          </cell>
          <cell r="G104">
            <v>2.2692130000000001</v>
          </cell>
        </row>
        <row r="105">
          <cell r="A105" t="str">
            <v>T494DYR</v>
          </cell>
          <cell r="B105" t="str">
            <v>2026-02-23 20:40:41</v>
          </cell>
          <cell r="C105" t="str">
            <v>LUALABA COPPER SMELTERS  MINE- DRC</v>
          </cell>
          <cell r="D105" t="str">
            <v>2026-02-23 20:54:31</v>
          </cell>
          <cell r="E105" t="str">
            <v>Rn39, 6.23 km from Kisenda</v>
          </cell>
          <cell r="F105" t="str">
            <v>0:13:50</v>
          </cell>
          <cell r="G105">
            <v>2.6564619999999999</v>
          </cell>
        </row>
        <row r="106">
          <cell r="A106" t="str">
            <v>T494DYR</v>
          </cell>
          <cell r="B106" t="str">
            <v>2026-02-23 21:01:38</v>
          </cell>
          <cell r="C106" t="str">
            <v>Rn39, 6.22 km from Kisenda</v>
          </cell>
          <cell r="D106" t="str">
            <v>2026-02-23 21:07:04</v>
          </cell>
          <cell r="E106" t="str">
            <v>Rn39, 6.26 km from Kisenda</v>
          </cell>
          <cell r="F106" t="str">
            <v>0:05:26</v>
          </cell>
          <cell r="G106">
            <v>0.10415199999999999</v>
          </cell>
        </row>
        <row r="107">
          <cell r="A107" t="str">
            <v>T494DYR</v>
          </cell>
          <cell r="B107" t="str">
            <v>2026-02-23 21:20:04</v>
          </cell>
          <cell r="C107" t="str">
            <v>Rn39, 6.27 km from Kisenda</v>
          </cell>
          <cell r="D107" t="str">
            <v>2026-02-23 21:31:08</v>
          </cell>
          <cell r="E107" t="str">
            <v>Route De La Mine Deziwa, 6.62 km from Kisenda</v>
          </cell>
          <cell r="F107" t="str">
            <v>0:11:04</v>
          </cell>
          <cell r="G107">
            <v>2.0547490000000002</v>
          </cell>
        </row>
        <row r="108">
          <cell r="A108" t="str">
            <v>T494DYR</v>
          </cell>
          <cell r="B108" t="str">
            <v>2026-02-23 21:43:54</v>
          </cell>
          <cell r="C108" t="str">
            <v>Route De La Mine Deziwa, 6.62 km from Kisenda</v>
          </cell>
          <cell r="D108" t="str">
            <v>2026-02-23 21:56:54</v>
          </cell>
          <cell r="E108" t="str">
            <v>Route De La Mine Deziwa, 5.77 km from Kisenda</v>
          </cell>
          <cell r="F108" t="str">
            <v>0:13:00</v>
          </cell>
          <cell r="G108">
            <v>1.564209</v>
          </cell>
        </row>
        <row r="109">
          <cell r="A109" t="str">
            <v>T496DYR</v>
          </cell>
          <cell r="B109" t="str">
            <v>2026-02-23 19:51:36</v>
          </cell>
          <cell r="C109" t="str">
            <v>Tanzam Road, 2.28 km from Mbeya</v>
          </cell>
          <cell r="D109" t="str">
            <v>2026-02-23 19:55:52</v>
          </cell>
          <cell r="E109" t="str">
            <v>Regional Hospital Road, 2.43 km from Mbeya</v>
          </cell>
          <cell r="F109" t="str">
            <v>0:04:16</v>
          </cell>
          <cell r="G109">
            <v>0.23028599999999999</v>
          </cell>
        </row>
        <row r="110">
          <cell r="A110" t="str">
            <v>T496DYR</v>
          </cell>
          <cell r="B110" t="str">
            <v>2026-02-23 19:51:36</v>
          </cell>
          <cell r="C110" t="str">
            <v>Tanzam Road, 2.28 km from Mbeya</v>
          </cell>
          <cell r="D110" t="str">
            <v>2026-02-23 19:55:52</v>
          </cell>
          <cell r="E110" t="str">
            <v>Regional Hospital Road, 2.43 km from Mbeya</v>
          </cell>
          <cell r="F110" t="str">
            <v>0:04:16</v>
          </cell>
          <cell r="G110">
            <v>0.23028599999999999</v>
          </cell>
        </row>
        <row r="111">
          <cell r="A111" t="str">
            <v>T499DYR</v>
          </cell>
          <cell r="B111" t="str">
            <v>2026-02-23 19:16:17</v>
          </cell>
          <cell r="C111" t="str">
            <v>MAKAMBAKO</v>
          </cell>
          <cell r="D111" t="str">
            <v>2026-02-23 19:30:32</v>
          </cell>
          <cell r="E111" t="str">
            <v>MAKAMBAKO</v>
          </cell>
          <cell r="F111" t="str">
            <v>0:14:15</v>
          </cell>
          <cell r="G111">
            <v>0.82064400000000004</v>
          </cell>
        </row>
        <row r="112">
          <cell r="A112" t="str">
            <v>T499DYR</v>
          </cell>
          <cell r="B112" t="str">
            <v>2026-02-23 19:16:17</v>
          </cell>
          <cell r="C112" t="str">
            <v>MAKAMBAKO</v>
          </cell>
          <cell r="D112" t="str">
            <v>2026-02-23 19:30:32</v>
          </cell>
          <cell r="E112" t="str">
            <v>MAKAMBAKO</v>
          </cell>
          <cell r="F112" t="str">
            <v>0:14:15</v>
          </cell>
          <cell r="G112">
            <v>0.82064400000000004</v>
          </cell>
        </row>
        <row r="113">
          <cell r="A113" t="str">
            <v>T512DTR</v>
          </cell>
          <cell r="B113" t="str">
            <v>2026-02-23 18:53:03</v>
          </cell>
          <cell r="C113" t="str">
            <v>Rn39, 5.55 km from Kisenda</v>
          </cell>
          <cell r="D113" t="str">
            <v>2026-02-23 22:00:03</v>
          </cell>
          <cell r="E113" t="str">
            <v>Route De La Mine Deziwa, 5.76 km from Kisenda</v>
          </cell>
          <cell r="F113" t="str">
            <v>1:50:54</v>
          </cell>
          <cell r="G113">
            <v>0</v>
          </cell>
        </row>
        <row r="114">
          <cell r="A114" t="str">
            <v>T512DTR</v>
          </cell>
          <cell r="B114" t="str">
            <v>2026-02-23 18:53:03</v>
          </cell>
          <cell r="C114" t="str">
            <v>Rn39, 5.55 km from Kisenda</v>
          </cell>
          <cell r="D114" t="str">
            <v>2026-02-23 19:25:39</v>
          </cell>
          <cell r="E114" t="str">
            <v>Rn39, 6.12 km from Kazembe</v>
          </cell>
          <cell r="F114" t="str">
            <v>0:32:36</v>
          </cell>
          <cell r="G114">
            <v>0</v>
          </cell>
        </row>
        <row r="115">
          <cell r="A115" t="str">
            <v>T512DTR</v>
          </cell>
          <cell r="B115" t="str">
            <v>2026-02-23 19:31:17</v>
          </cell>
          <cell r="C115" t="str">
            <v>Rn39, 6.14 km from Kazembe</v>
          </cell>
          <cell r="D115" t="str">
            <v>2026-02-23 19:50:42</v>
          </cell>
          <cell r="E115" t="str">
            <v>LUALABA COPPER SMELTERS  MINE- DRC</v>
          </cell>
          <cell r="F115" t="str">
            <v>0:19:25</v>
          </cell>
          <cell r="G115">
            <v>0</v>
          </cell>
        </row>
        <row r="116">
          <cell r="A116" t="str">
            <v>T512DTR</v>
          </cell>
          <cell r="B116" t="str">
            <v>2026-02-23 20:04:35</v>
          </cell>
          <cell r="C116" t="str">
            <v>LUALABA COPPER SMELTERS  MINE- DRC</v>
          </cell>
          <cell r="D116" t="str">
            <v>2026-02-23 20:06:41</v>
          </cell>
          <cell r="E116" t="str">
            <v>LUALABA COPPER SMELTERS  MINE- DRC</v>
          </cell>
          <cell r="F116" t="str">
            <v>0:02:06</v>
          </cell>
          <cell r="G116">
            <v>0</v>
          </cell>
        </row>
        <row r="117">
          <cell r="A117" t="str">
            <v>T512DTR</v>
          </cell>
          <cell r="B117" t="str">
            <v>2026-02-23 20:40:12</v>
          </cell>
          <cell r="C117" t="str">
            <v>LUALABA COPPER SMELTERS  MINE- DRC</v>
          </cell>
          <cell r="D117" t="str">
            <v>2026-02-23 20:56:06</v>
          </cell>
          <cell r="E117" t="str">
            <v>Rn39, 6.23 km from Kisenda</v>
          </cell>
          <cell r="F117" t="str">
            <v>0:15:54</v>
          </cell>
          <cell r="G117">
            <v>0</v>
          </cell>
        </row>
        <row r="118">
          <cell r="A118" t="str">
            <v>T512DTR</v>
          </cell>
          <cell r="B118" t="str">
            <v>2026-02-23 21:01:25</v>
          </cell>
          <cell r="C118" t="str">
            <v>Rn39, 6.24 km from Kisenda</v>
          </cell>
          <cell r="D118" t="str">
            <v>2026-02-23 21:10:44</v>
          </cell>
          <cell r="E118" t="str">
            <v>Rn39, 6.28 km from Kisenda</v>
          </cell>
          <cell r="F118" t="str">
            <v>0:09:19</v>
          </cell>
          <cell r="G118">
            <v>0</v>
          </cell>
        </row>
        <row r="119">
          <cell r="A119" t="str">
            <v>T512DTR</v>
          </cell>
          <cell r="B119" t="str">
            <v>2026-02-23 21:20:08</v>
          </cell>
          <cell r="C119" t="str">
            <v>Rn39, 6.28 km from Kisenda</v>
          </cell>
          <cell r="D119" t="str">
            <v>2026-02-23 21:33:19</v>
          </cell>
          <cell r="E119" t="str">
            <v>Route De La Mine Deziwa, 6.62 km from Kisenda</v>
          </cell>
          <cell r="F119" t="str">
            <v>0:13:11</v>
          </cell>
          <cell r="G119">
            <v>0</v>
          </cell>
        </row>
        <row r="120">
          <cell r="A120" t="str">
            <v>T512DTR</v>
          </cell>
          <cell r="B120" t="str">
            <v>2026-02-23 21:41:40</v>
          </cell>
          <cell r="C120" t="str">
            <v>Route De La Mine Deziwa, 6.62 km from Kisenda</v>
          </cell>
          <cell r="D120" t="str">
            <v>2026-02-23 22:00:03</v>
          </cell>
          <cell r="E120" t="str">
            <v>Route De La Mine Deziwa, 5.76 km from Kisenda</v>
          </cell>
          <cell r="F120" t="str">
            <v>0:18:23</v>
          </cell>
          <cell r="G120">
            <v>0</v>
          </cell>
        </row>
        <row r="121">
          <cell r="A121" t="str">
            <v>T513EBY</v>
          </cell>
          <cell r="B121" t="str">
            <v>2026-02-23 19:32:36</v>
          </cell>
          <cell r="C121" t="str">
            <v>IFUNDA, IRINGA</v>
          </cell>
          <cell r="D121" t="str">
            <v>2026-02-23 19:36:31</v>
          </cell>
          <cell r="E121" t="str">
            <v>IFUNDA, IRINGA</v>
          </cell>
          <cell r="F121" t="str">
            <v>0:03:55</v>
          </cell>
          <cell r="G121">
            <v>0.73409000000000002</v>
          </cell>
        </row>
        <row r="122">
          <cell r="A122" t="str">
            <v>T513EBY</v>
          </cell>
          <cell r="B122" t="str">
            <v>2026-02-23 19:32:36</v>
          </cell>
          <cell r="C122" t="str">
            <v>IFUNDA, IRINGA</v>
          </cell>
          <cell r="D122" t="str">
            <v>2026-02-23 19:36:31</v>
          </cell>
          <cell r="E122" t="str">
            <v>IFUNDA, IRINGA</v>
          </cell>
          <cell r="F122" t="str">
            <v>0:03:55</v>
          </cell>
          <cell r="G122">
            <v>0.73409000000000002</v>
          </cell>
        </row>
        <row r="123">
          <cell r="A123" t="str">
            <v>T517EBY</v>
          </cell>
          <cell r="B123" t="str">
            <v>2026-02-23 19:04:36</v>
          </cell>
          <cell r="C123" t="str">
            <v>MOKAMBO DRC SIDE</v>
          </cell>
          <cell r="D123" t="str">
            <v>2026-02-23 19:07:07</v>
          </cell>
          <cell r="E123" t="str">
            <v>MOKAMBO DRC SIDE</v>
          </cell>
          <cell r="F123" t="str">
            <v>0:02:31</v>
          </cell>
          <cell r="G123">
            <v>0.14733299999999999</v>
          </cell>
        </row>
        <row r="124">
          <cell r="A124" t="str">
            <v>T517EBY</v>
          </cell>
          <cell r="B124" t="str">
            <v>2026-02-23 19:04:36</v>
          </cell>
          <cell r="C124" t="str">
            <v>MOKAMBO DRC SIDE</v>
          </cell>
          <cell r="D124" t="str">
            <v>2026-02-23 19:07:07</v>
          </cell>
          <cell r="E124" t="str">
            <v>MOKAMBO DRC SIDE</v>
          </cell>
          <cell r="F124" t="str">
            <v>0:02:31</v>
          </cell>
          <cell r="G124">
            <v>0.14733299999999999</v>
          </cell>
        </row>
        <row r="125">
          <cell r="A125" t="str">
            <v>T523EBY</v>
          </cell>
          <cell r="B125" t="str">
            <v>2026-02-23 22:45:44</v>
          </cell>
          <cell r="C125" t="str">
            <v>Dar Es Salaam, Morogoro Main Road</v>
          </cell>
          <cell r="D125" t="str">
            <v>2026-02-23 23:59:52</v>
          </cell>
          <cell r="E125" t="str">
            <v>DAR ES SALAAM</v>
          </cell>
          <cell r="F125" t="str">
            <v>0:36:46</v>
          </cell>
          <cell r="G125">
            <v>19.487072999999999</v>
          </cell>
        </row>
        <row r="126">
          <cell r="A126" t="str">
            <v>T523EBY</v>
          </cell>
          <cell r="B126" t="str">
            <v>2026-02-23 22:45:44</v>
          </cell>
          <cell r="C126" t="str">
            <v>Dar Es Salaam, Morogoro Main Road</v>
          </cell>
          <cell r="D126" t="str">
            <v>2026-02-23 22:51:12</v>
          </cell>
          <cell r="E126" t="str">
            <v>Dar Es Salaam, Morogoro Main Road</v>
          </cell>
          <cell r="F126" t="str">
            <v>0:05:28</v>
          </cell>
          <cell r="G126">
            <v>0.10727399999999999</v>
          </cell>
        </row>
        <row r="127">
          <cell r="A127" t="str">
            <v>T523EBY</v>
          </cell>
          <cell r="B127" t="str">
            <v>2026-02-23 23:28:34</v>
          </cell>
          <cell r="C127" t="str">
            <v>Dar Es Salaam, Morogoro Main Road</v>
          </cell>
          <cell r="D127" t="str">
            <v>2026-02-23 23:59:52</v>
          </cell>
          <cell r="E127" t="str">
            <v>DAR ES SALAAM</v>
          </cell>
          <cell r="F127" t="str">
            <v>0:31:18</v>
          </cell>
          <cell r="G127">
            <v>19.379798999999998</v>
          </cell>
        </row>
        <row r="128">
          <cell r="A128" t="str">
            <v>T529EBY</v>
          </cell>
          <cell r="B128" t="str">
            <v>2026-02-23 05:57:09</v>
          </cell>
          <cell r="C128" t="str">
            <v>IGAWA T JUNCTION</v>
          </cell>
          <cell r="D128" t="str">
            <v>2026-02-23 21:30:02</v>
          </cell>
          <cell r="E128" t="str">
            <v>Iringa Road, 1.34 km from Mangaye</v>
          </cell>
          <cell r="F128" t="str">
            <v>2:03:01</v>
          </cell>
          <cell r="G128">
            <v>76.518225999999999</v>
          </cell>
        </row>
        <row r="129">
          <cell r="A129" t="str">
            <v>T529EBY</v>
          </cell>
          <cell r="B129" t="str">
            <v>2026-02-23 05:57:09</v>
          </cell>
          <cell r="C129" t="str">
            <v>IGAWA T JUNCTION</v>
          </cell>
          <cell r="D129" t="str">
            <v>2026-02-23 07:28:14</v>
          </cell>
          <cell r="E129" t="str">
            <v>MAKAMBAKO WBG</v>
          </cell>
          <cell r="F129" t="str">
            <v>1:31:05</v>
          </cell>
          <cell r="G129">
            <v>56.817946999999997</v>
          </cell>
        </row>
        <row r="130">
          <cell r="A130" t="str">
            <v>T529EBY</v>
          </cell>
          <cell r="B130" t="str">
            <v>2026-02-23 20:58:06</v>
          </cell>
          <cell r="C130" t="str">
            <v>Iringa Road, Mangae</v>
          </cell>
          <cell r="D130" t="str">
            <v>2026-02-23 21:30:02</v>
          </cell>
          <cell r="E130" t="str">
            <v>Iringa Road, 1.34 km from Mangaye</v>
          </cell>
          <cell r="F130" t="str">
            <v>0:31:56</v>
          </cell>
          <cell r="G130">
            <v>19.700278999999998</v>
          </cell>
        </row>
        <row r="131">
          <cell r="A131" t="str">
            <v>T564DEB</v>
          </cell>
          <cell r="B131" t="str">
            <v>2026-02-23 19:13:39</v>
          </cell>
          <cell r="C131" t="str">
            <v>DAR ES SALAAM</v>
          </cell>
          <cell r="D131" t="str">
            <v>2026-02-23 20:21:34</v>
          </cell>
          <cell r="E131" t="str">
            <v>MBAGALA YARD</v>
          </cell>
          <cell r="F131" t="str">
            <v>1:07:55</v>
          </cell>
          <cell r="G131">
            <v>15.081130999999999</v>
          </cell>
        </row>
        <row r="132">
          <cell r="A132" t="str">
            <v>T564DEB</v>
          </cell>
          <cell r="B132" t="str">
            <v>2026-02-23 19:13:39</v>
          </cell>
          <cell r="C132" t="str">
            <v>DAR ES SALAAM</v>
          </cell>
          <cell r="D132" t="str">
            <v>2026-02-23 20:21:34</v>
          </cell>
          <cell r="E132" t="str">
            <v>MBAGALA YARD</v>
          </cell>
          <cell r="F132" t="str">
            <v>1:07:55</v>
          </cell>
          <cell r="G132">
            <v>15.081130999999999</v>
          </cell>
        </row>
        <row r="133">
          <cell r="A133" t="str">
            <v>T572DEB</v>
          </cell>
          <cell r="B133" t="str">
            <v>2026-02-23 19:07:01</v>
          </cell>
          <cell r="C133" t="str">
            <v>MOKAMBO DRC SIDE</v>
          </cell>
          <cell r="D133" t="str">
            <v>2026-02-23 19:49:13</v>
          </cell>
          <cell r="E133" t="str">
            <v>Rn36, 6.67 km from Mokambo</v>
          </cell>
          <cell r="F133" t="str">
            <v>0:36:02</v>
          </cell>
          <cell r="G133">
            <v>8.0175129999999992</v>
          </cell>
        </row>
        <row r="134">
          <cell r="A134" t="str">
            <v>T572DEB</v>
          </cell>
          <cell r="B134" t="str">
            <v>2026-02-23 19:07:01</v>
          </cell>
          <cell r="C134" t="str">
            <v>MOKAMBO DRC SIDE</v>
          </cell>
          <cell r="D134" t="str">
            <v>2026-02-23 19:26:48</v>
          </cell>
          <cell r="E134" t="str">
            <v>MOKAMBO DRC SIDE</v>
          </cell>
          <cell r="F134" t="str">
            <v>0:19:47</v>
          </cell>
          <cell r="G134">
            <v>0.64999099999999999</v>
          </cell>
        </row>
        <row r="135">
          <cell r="A135" t="str">
            <v>T572DEB</v>
          </cell>
          <cell r="B135" t="str">
            <v>2026-02-23 19:32:58</v>
          </cell>
          <cell r="C135" t="str">
            <v>MOKAMBO DRC SIDE</v>
          </cell>
          <cell r="D135" t="str">
            <v>2026-02-23 19:49:13</v>
          </cell>
          <cell r="E135" t="str">
            <v>Rn36, 6.67 km from Mokambo</v>
          </cell>
          <cell r="F135" t="str">
            <v>0:16:15</v>
          </cell>
          <cell r="G135">
            <v>7.3675230000000003</v>
          </cell>
        </row>
        <row r="136">
          <cell r="A136" t="str">
            <v>T577DTQ</v>
          </cell>
          <cell r="B136" t="str">
            <v>2026-02-23 05:52:06</v>
          </cell>
          <cell r="C136" t="str">
            <v>Iringa Road, 1.26 km from Ruaha Mbuyumi</v>
          </cell>
          <cell r="D136" t="str">
            <v>2026-02-23 07:24:46</v>
          </cell>
          <cell r="E136" t="str">
            <v>Iringa Road, 3.48 km from Ikokoto</v>
          </cell>
          <cell r="F136" t="str">
            <v>1:32:40</v>
          </cell>
          <cell r="G136">
            <v>49.438433000000003</v>
          </cell>
        </row>
        <row r="137">
          <cell r="A137" t="str">
            <v>T577DTQ</v>
          </cell>
          <cell r="B137" t="str">
            <v>2026-02-23 05:52:06</v>
          </cell>
          <cell r="C137" t="str">
            <v>Iringa Road, 1.26 km from Ruaha Mbuyumi</v>
          </cell>
          <cell r="D137" t="str">
            <v>2026-02-23 07:24:46</v>
          </cell>
          <cell r="E137" t="str">
            <v>Iringa Road, 3.48 km from Ikokoto</v>
          </cell>
          <cell r="F137" t="str">
            <v>1:32:40</v>
          </cell>
          <cell r="G137">
            <v>49.438433000000003</v>
          </cell>
        </row>
        <row r="138">
          <cell r="A138" t="str">
            <v>T583DYR</v>
          </cell>
          <cell r="B138" t="str">
            <v>2026-02-23 20:40:22</v>
          </cell>
          <cell r="C138" t="str">
            <v>Great North Road, Nakonde</v>
          </cell>
          <cell r="D138" t="str">
            <v>2026-02-23 20:59:31</v>
          </cell>
          <cell r="E138" t="str">
            <v>NAKONDE ZM SIDE</v>
          </cell>
          <cell r="F138" t="str">
            <v>0:19:09</v>
          </cell>
          <cell r="G138">
            <v>6.7001049999999998</v>
          </cell>
        </row>
        <row r="139">
          <cell r="A139" t="str">
            <v>T583DYR</v>
          </cell>
          <cell r="B139" t="str">
            <v>2026-02-23 20:40:22</v>
          </cell>
          <cell r="C139" t="str">
            <v>Great North Road, Nakonde</v>
          </cell>
          <cell r="D139" t="str">
            <v>2026-02-23 20:59:31</v>
          </cell>
          <cell r="E139" t="str">
            <v>NAKONDE ZM SIDE</v>
          </cell>
          <cell r="F139" t="str">
            <v>0:19:09</v>
          </cell>
          <cell r="G139">
            <v>6.7001049999999998</v>
          </cell>
        </row>
        <row r="140">
          <cell r="A140" t="str">
            <v>T586DTQ</v>
          </cell>
          <cell r="B140" t="str">
            <v>2026-02-23 19:01:15</v>
          </cell>
          <cell r="C140" t="str">
            <v>Rn39, 6.09 km from Kazembe</v>
          </cell>
          <cell r="D140" t="str">
            <v>2026-02-23 19:52:43</v>
          </cell>
          <cell r="E140" t="str">
            <v>Route De La Mine Deziwa, 5.71 km from Kisenda</v>
          </cell>
          <cell r="F140" t="str">
            <v>0:51:28</v>
          </cell>
          <cell r="G140">
            <v>8.6965179999999993</v>
          </cell>
        </row>
        <row r="141">
          <cell r="A141" t="str">
            <v>T586DTQ</v>
          </cell>
          <cell r="B141" t="str">
            <v>2026-02-23 19:01:15</v>
          </cell>
          <cell r="C141" t="str">
            <v>Rn39, 6.09 km from Kazembe</v>
          </cell>
          <cell r="D141" t="str">
            <v>2026-02-23 19:52:43</v>
          </cell>
          <cell r="E141" t="str">
            <v>Route De La Mine Deziwa, 5.71 km from Kisenda</v>
          </cell>
          <cell r="F141" t="str">
            <v>0:51:28</v>
          </cell>
          <cell r="G141">
            <v>8.6965179999999993</v>
          </cell>
        </row>
        <row r="142">
          <cell r="A142" t="str">
            <v>T586DYR</v>
          </cell>
          <cell r="B142" t="str">
            <v>2026-02-23 18:32:26</v>
          </cell>
          <cell r="C142" t="str">
            <v>MOKAMBO ZM SIDE</v>
          </cell>
          <cell r="D142" t="str">
            <v>2026-02-23 20:07:06</v>
          </cell>
          <cell r="E142" t="str">
            <v>MOKAMBO ZM SIDE</v>
          </cell>
          <cell r="F142" t="str">
            <v>0:38:09</v>
          </cell>
          <cell r="G142">
            <v>1.533776</v>
          </cell>
        </row>
        <row r="143">
          <cell r="A143" t="str">
            <v>T586DYR</v>
          </cell>
          <cell r="B143" t="str">
            <v>2026-02-23 18:32:26</v>
          </cell>
          <cell r="C143" t="str">
            <v>MOKAMBO ZM SIDE</v>
          </cell>
          <cell r="D143" t="str">
            <v>2026-02-23 18:43:25</v>
          </cell>
          <cell r="E143" t="str">
            <v>MOKAMBO ZM SIDE</v>
          </cell>
          <cell r="F143" t="str">
            <v>0:10:59</v>
          </cell>
          <cell r="G143">
            <v>0.40421200000000002</v>
          </cell>
        </row>
        <row r="144">
          <cell r="A144" t="str">
            <v>T586DYR</v>
          </cell>
          <cell r="B144" t="str">
            <v>2026-02-23 19:07:19</v>
          </cell>
          <cell r="C144" t="str">
            <v>MOKAMBO ZM SIDE</v>
          </cell>
          <cell r="D144" t="str">
            <v>2026-02-23 19:11:17</v>
          </cell>
          <cell r="E144" t="str">
            <v>MOKAMBO ZM SIDE</v>
          </cell>
          <cell r="F144" t="str">
            <v>0:03:58</v>
          </cell>
          <cell r="G144">
            <v>0.17025199999999999</v>
          </cell>
        </row>
        <row r="145">
          <cell r="A145" t="str">
            <v>T586DYR</v>
          </cell>
          <cell r="B145" t="str">
            <v>2026-02-23 19:17:49</v>
          </cell>
          <cell r="C145" t="str">
            <v>MOKAMBO ZM SIDE</v>
          </cell>
          <cell r="D145" t="str">
            <v>2026-02-23 19:27:45</v>
          </cell>
          <cell r="E145" t="str">
            <v>MOKAMBO ZM SIDE</v>
          </cell>
          <cell r="F145" t="str">
            <v>0:09:56</v>
          </cell>
          <cell r="G145">
            <v>0.240762</v>
          </cell>
        </row>
        <row r="146">
          <cell r="A146" t="str">
            <v>T586DYR</v>
          </cell>
          <cell r="B146" t="str">
            <v>2026-02-23 19:53:50</v>
          </cell>
          <cell r="C146" t="str">
            <v>MOKAMBO ZM SIDE</v>
          </cell>
          <cell r="D146" t="str">
            <v>2026-02-23 20:07:06</v>
          </cell>
          <cell r="E146" t="str">
            <v>MOKAMBO ZM SIDE</v>
          </cell>
          <cell r="F146" t="str">
            <v>0:13:16</v>
          </cell>
          <cell r="G146">
            <v>0.71855100000000005</v>
          </cell>
        </row>
        <row r="147">
          <cell r="A147" t="str">
            <v>T591DTQ</v>
          </cell>
          <cell r="B147" t="str">
            <v>2026-02-23 19:26:43</v>
          </cell>
          <cell r="C147" t="str">
            <v>TUNDUMA BORDER TZ SIDE</v>
          </cell>
          <cell r="D147" t="str">
            <v>2026-02-23 21:26:12</v>
          </cell>
          <cell r="E147" t="str">
            <v>NAKONDE ZM SIDE</v>
          </cell>
          <cell r="F147" t="str">
            <v>0:18:52</v>
          </cell>
          <cell r="G147">
            <v>6.6883739999999996</v>
          </cell>
        </row>
        <row r="148">
          <cell r="A148" t="str">
            <v>T591DTQ</v>
          </cell>
          <cell r="B148" t="str">
            <v>2026-02-23 19:26:43</v>
          </cell>
          <cell r="C148" t="str">
            <v>TUNDUMA BORDER TZ SIDE</v>
          </cell>
          <cell r="D148" t="str">
            <v>2026-02-23 19:29:16</v>
          </cell>
          <cell r="E148" t="str">
            <v>TUNDUMA BORDER TZ SIDE</v>
          </cell>
          <cell r="F148" t="str">
            <v>0:02:33</v>
          </cell>
          <cell r="G148">
            <v>0.12991900000000001</v>
          </cell>
        </row>
        <row r="149">
          <cell r="A149" t="str">
            <v>T591DTQ</v>
          </cell>
          <cell r="B149" t="str">
            <v>2026-02-23 21:09:53</v>
          </cell>
          <cell r="C149" t="str">
            <v>Great North Road, Nakonde</v>
          </cell>
          <cell r="D149" t="str">
            <v>2026-02-23 21:26:12</v>
          </cell>
          <cell r="E149" t="str">
            <v>NAKONDE ZM SIDE</v>
          </cell>
          <cell r="F149" t="str">
            <v>0:16:19</v>
          </cell>
          <cell r="G149">
            <v>6.5584550000000004</v>
          </cell>
        </row>
        <row r="150">
          <cell r="A150" t="str">
            <v>T592DTQ</v>
          </cell>
          <cell r="B150" t="str">
            <v>2026-02-23 18:37:33</v>
          </cell>
          <cell r="C150" t="str">
            <v>INYALA, MBEYA</v>
          </cell>
          <cell r="D150" t="str">
            <v>2026-02-23 20:01:28</v>
          </cell>
          <cell r="E150" t="str">
            <v>IGURUSI</v>
          </cell>
          <cell r="F150" t="str">
            <v>0:45:21</v>
          </cell>
          <cell r="G150">
            <v>28.204087999999999</v>
          </cell>
        </row>
        <row r="151">
          <cell r="A151" t="str">
            <v>T592DTQ</v>
          </cell>
          <cell r="B151" t="str">
            <v>2026-02-23 18:37:33</v>
          </cell>
          <cell r="C151" t="str">
            <v>INYALA, MBEYA</v>
          </cell>
          <cell r="D151" t="str">
            <v>2026-02-23 18:42:52</v>
          </cell>
          <cell r="E151" t="str">
            <v>T1, Makwenje</v>
          </cell>
          <cell r="F151" t="str">
            <v>0:05:19</v>
          </cell>
          <cell r="G151">
            <v>0.77195199999999997</v>
          </cell>
        </row>
        <row r="152">
          <cell r="A152" t="str">
            <v>T592DTQ</v>
          </cell>
          <cell r="B152" t="str">
            <v>2026-02-23 19:21:26</v>
          </cell>
          <cell r="C152" t="str">
            <v>T1, Makwenje</v>
          </cell>
          <cell r="D152" t="str">
            <v>2026-02-23 20:01:28</v>
          </cell>
          <cell r="E152" t="str">
            <v>IGURUSI</v>
          </cell>
          <cell r="F152" t="str">
            <v>0:40:02</v>
          </cell>
          <cell r="G152">
            <v>27.432136</v>
          </cell>
        </row>
        <row r="153">
          <cell r="A153" t="str">
            <v>T593DTQ</v>
          </cell>
          <cell r="B153" t="str">
            <v>2026-02-23 19:24:10</v>
          </cell>
          <cell r="C153" t="str">
            <v>TUNDUMA BORDER TZ SIDE</v>
          </cell>
          <cell r="D153" t="str">
            <v>2026-02-23 21:16:40</v>
          </cell>
          <cell r="E153" t="str">
            <v>NAKONDE ZM SIDE</v>
          </cell>
          <cell r="F153" t="str">
            <v>0:15:26</v>
          </cell>
          <cell r="G153">
            <v>6.507701</v>
          </cell>
        </row>
        <row r="154">
          <cell r="A154" t="str">
            <v>T593DTQ</v>
          </cell>
          <cell r="B154" t="str">
            <v>2026-02-23 19:24:10</v>
          </cell>
          <cell r="C154" t="str">
            <v>TUNDUMA BORDER TZ SIDE</v>
          </cell>
          <cell r="D154" t="str">
            <v>2026-02-23 19:25:45</v>
          </cell>
          <cell r="E154" t="str">
            <v>TUNDUMA BORDER TZ SIDE</v>
          </cell>
          <cell r="F154" t="str">
            <v>0:01:35</v>
          </cell>
          <cell r="G154">
            <v>0.109487</v>
          </cell>
        </row>
        <row r="155">
          <cell r="A155" t="str">
            <v>T593DTQ</v>
          </cell>
          <cell r="B155" t="str">
            <v>2026-02-23 21:02:49</v>
          </cell>
          <cell r="C155" t="str">
            <v>Great North Road, Nakonde</v>
          </cell>
          <cell r="D155" t="str">
            <v>2026-02-23 21:16:40</v>
          </cell>
          <cell r="E155" t="str">
            <v>NAKONDE ZM SIDE</v>
          </cell>
          <cell r="F155" t="str">
            <v>0:13:51</v>
          </cell>
          <cell r="G155">
            <v>6.3982140000000003</v>
          </cell>
        </row>
        <row r="156">
          <cell r="A156" t="str">
            <v>T597DTQ</v>
          </cell>
          <cell r="B156" t="str">
            <v>2026-02-23 19:05:05</v>
          </cell>
          <cell r="C156" t="str">
            <v>MOKAMBO DRC SIDE</v>
          </cell>
          <cell r="D156" t="str">
            <v>2026-02-23 19:42:33</v>
          </cell>
          <cell r="E156" t="str">
            <v>MOKAMBO DRC SIDE</v>
          </cell>
          <cell r="F156" t="str">
            <v>0:29:29</v>
          </cell>
          <cell r="G156">
            <v>2.6709269999999998</v>
          </cell>
        </row>
        <row r="157">
          <cell r="A157" t="str">
            <v>T597DTQ</v>
          </cell>
          <cell r="B157" t="str">
            <v>2026-02-23 19:05:05</v>
          </cell>
          <cell r="C157" t="str">
            <v>MOKAMBO DRC SIDE</v>
          </cell>
          <cell r="D157" t="str">
            <v>2026-02-23 19:16:35</v>
          </cell>
          <cell r="E157" t="str">
            <v>MOKAMBO DRC SIDE</v>
          </cell>
          <cell r="F157" t="str">
            <v>0:11:30</v>
          </cell>
          <cell r="G157">
            <v>0.62952399999999997</v>
          </cell>
        </row>
        <row r="158">
          <cell r="A158" t="str">
            <v>T597DTQ</v>
          </cell>
          <cell r="B158" t="str">
            <v>2026-02-23 19:24:34</v>
          </cell>
          <cell r="C158" t="str">
            <v>MOKAMBO DRC SIDE</v>
          </cell>
          <cell r="D158" t="str">
            <v>2026-02-23 19:42:33</v>
          </cell>
          <cell r="E158" t="str">
            <v>MOKAMBO DRC SIDE</v>
          </cell>
          <cell r="F158" t="str">
            <v>0:17:59</v>
          </cell>
          <cell r="G158">
            <v>2.0414020000000002</v>
          </cell>
        </row>
        <row r="159">
          <cell r="A159" t="str">
            <v>T634DHL</v>
          </cell>
          <cell r="B159" t="str">
            <v>2026-02-23 18:40:28</v>
          </cell>
          <cell r="C159" t="str">
            <v>DAR ES SALAAM</v>
          </cell>
          <cell r="D159" t="str">
            <v>2026-02-23 18:59:14</v>
          </cell>
          <cell r="E159" t="str">
            <v>MBAGALA YARD</v>
          </cell>
          <cell r="F159" t="str">
            <v>0:18:46</v>
          </cell>
          <cell r="G159">
            <v>4.718769</v>
          </cell>
        </row>
        <row r="160">
          <cell r="A160" t="str">
            <v>T634DHL</v>
          </cell>
          <cell r="B160" t="str">
            <v>2026-02-23 18:40:28</v>
          </cell>
          <cell r="C160" t="str">
            <v>DAR ES SALAAM</v>
          </cell>
          <cell r="D160" t="str">
            <v>2026-02-23 18:59:14</v>
          </cell>
          <cell r="E160" t="str">
            <v>MBAGALA YARD</v>
          </cell>
          <cell r="F160" t="str">
            <v>0:18:46</v>
          </cell>
          <cell r="G160">
            <v>4.718769</v>
          </cell>
        </row>
        <row r="161">
          <cell r="A161" t="str">
            <v>T640DEB</v>
          </cell>
          <cell r="B161" t="str">
            <v>2026-02-23 18:36:01</v>
          </cell>
          <cell r="C161" t="str">
            <v>TUNDUMA BORDER TZ SIDE</v>
          </cell>
          <cell r="D161" t="str">
            <v>2026-02-23 21:14:20</v>
          </cell>
          <cell r="E161" t="str">
            <v>NAKONDE ZM SIDE</v>
          </cell>
          <cell r="F161" t="str">
            <v>0:16:16</v>
          </cell>
          <cell r="G161">
            <v>6.4871559999999997</v>
          </cell>
        </row>
        <row r="162">
          <cell r="A162" t="str">
            <v>T640DEB</v>
          </cell>
          <cell r="B162" t="str">
            <v>2026-02-23 18:36:01</v>
          </cell>
          <cell r="C162" t="str">
            <v>TUNDUMA BORDER TZ SIDE</v>
          </cell>
          <cell r="D162" t="str">
            <v>2026-02-23 18:38:37</v>
          </cell>
          <cell r="E162" t="str">
            <v>TUNDUMA BORDER TZ SIDE</v>
          </cell>
          <cell r="F162" t="str">
            <v>0:02:36</v>
          </cell>
          <cell r="G162">
            <v>0.140602</v>
          </cell>
        </row>
        <row r="163">
          <cell r="A163" t="str">
            <v>T640DEB</v>
          </cell>
          <cell r="B163" t="str">
            <v>2026-02-23 21:00:40</v>
          </cell>
          <cell r="C163" t="str">
            <v>Great North Road, Nakonde</v>
          </cell>
          <cell r="D163" t="str">
            <v>2026-02-23 21:14:20</v>
          </cell>
          <cell r="E163" t="str">
            <v>NAKONDE ZM SIDE</v>
          </cell>
          <cell r="F163" t="str">
            <v>0:13:40</v>
          </cell>
          <cell r="G163">
            <v>6.3465540000000003</v>
          </cell>
        </row>
        <row r="164">
          <cell r="A164" t="str">
            <v>T642DHL</v>
          </cell>
          <cell r="B164" t="str">
            <v>2026-02-23 20:37:09</v>
          </cell>
          <cell r="C164" t="str">
            <v>Great North Road, Nakonde</v>
          </cell>
          <cell r="D164" t="str">
            <v>2026-02-23 20:53:05</v>
          </cell>
          <cell r="E164" t="str">
            <v>NAKONDE ZM SIDE</v>
          </cell>
          <cell r="F164" t="str">
            <v>0:15:56</v>
          </cell>
          <cell r="G164">
            <v>6.4582389999999998</v>
          </cell>
        </row>
        <row r="165">
          <cell r="A165" t="str">
            <v>T642DHL</v>
          </cell>
          <cell r="B165" t="str">
            <v>2026-02-23 20:37:09</v>
          </cell>
          <cell r="C165" t="str">
            <v>Great North Road, Nakonde</v>
          </cell>
          <cell r="D165" t="str">
            <v>2026-02-23 20:53:05</v>
          </cell>
          <cell r="E165" t="str">
            <v>NAKONDE ZM SIDE</v>
          </cell>
          <cell r="F165" t="str">
            <v>0:15:56</v>
          </cell>
          <cell r="G165">
            <v>6.4582389999999998</v>
          </cell>
        </row>
        <row r="166">
          <cell r="A166" t="str">
            <v>T645DHL</v>
          </cell>
          <cell r="B166" t="str">
            <v>2026-02-23 19:01:57</v>
          </cell>
          <cell r="C166" t="str">
            <v>KAMOTO MINE</v>
          </cell>
          <cell r="D166" t="str">
            <v>2026-02-23 19:41:28</v>
          </cell>
          <cell r="E166" t="str">
            <v>KAMOTO MINE</v>
          </cell>
          <cell r="F166" t="str">
            <v>0:39:31</v>
          </cell>
          <cell r="G166">
            <v>1.6215599999999999</v>
          </cell>
        </row>
        <row r="167">
          <cell r="A167" t="str">
            <v>T645DHL</v>
          </cell>
          <cell r="B167" t="str">
            <v>2026-02-23 19:01:57</v>
          </cell>
          <cell r="C167" t="str">
            <v>KAMOTO MINE</v>
          </cell>
          <cell r="D167" t="str">
            <v>2026-02-23 19:41:28</v>
          </cell>
          <cell r="E167" t="str">
            <v>KAMOTO MINE</v>
          </cell>
          <cell r="F167" t="str">
            <v>0:39:31</v>
          </cell>
          <cell r="G167">
            <v>1.6215599999999999</v>
          </cell>
        </row>
        <row r="168">
          <cell r="A168" t="str">
            <v>T660DTQ</v>
          </cell>
          <cell r="B168" t="str">
            <v>2026-02-23 18:55:33</v>
          </cell>
          <cell r="C168" t="str">
            <v>T1, Bwawani</v>
          </cell>
          <cell r="D168" t="str">
            <v>2026-02-23 22:57:53</v>
          </cell>
          <cell r="E168" t="str">
            <v>GL KURASINI YARD</v>
          </cell>
          <cell r="F168" t="str">
            <v>4:02:20</v>
          </cell>
          <cell r="G168">
            <v>149.456886</v>
          </cell>
        </row>
        <row r="169">
          <cell r="A169" t="str">
            <v>T660DTQ</v>
          </cell>
          <cell r="B169" t="str">
            <v>2026-02-23 18:55:33</v>
          </cell>
          <cell r="C169" t="str">
            <v>T1, Bwawani</v>
          </cell>
          <cell r="D169" t="str">
            <v>2026-02-23 22:57:53</v>
          </cell>
          <cell r="E169" t="str">
            <v>GL KURASINI YARD</v>
          </cell>
          <cell r="F169" t="str">
            <v>4:02:20</v>
          </cell>
          <cell r="G169">
            <v>149.456886</v>
          </cell>
        </row>
        <row r="170">
          <cell r="A170" t="str">
            <v>T661DTQ</v>
          </cell>
          <cell r="B170" t="str">
            <v>2026-02-23 19:36:05</v>
          </cell>
          <cell r="C170" t="str">
            <v>KAMOTO MINE</v>
          </cell>
          <cell r="D170" t="str">
            <v>2026-02-23 22:29:45</v>
          </cell>
          <cell r="E170" t="str">
            <v>KAMOTO MINE</v>
          </cell>
          <cell r="F170" t="str">
            <v>0:12:22</v>
          </cell>
          <cell r="G170">
            <v>0.70572599999999996</v>
          </cell>
        </row>
        <row r="171">
          <cell r="A171" t="str">
            <v>T661DTQ</v>
          </cell>
          <cell r="B171" t="str">
            <v>2026-02-23 19:36:05</v>
          </cell>
          <cell r="C171" t="str">
            <v>KAMOTO MINE</v>
          </cell>
          <cell r="D171" t="str">
            <v>2026-02-23 19:42:28</v>
          </cell>
          <cell r="E171" t="str">
            <v>KAMOTO MINE</v>
          </cell>
          <cell r="F171" t="str">
            <v>0:06:23</v>
          </cell>
          <cell r="G171">
            <v>0.29251899999999997</v>
          </cell>
        </row>
        <row r="172">
          <cell r="A172" t="str">
            <v>T661DTQ</v>
          </cell>
          <cell r="B172" t="str">
            <v>2026-02-23 22:23:46</v>
          </cell>
          <cell r="C172" t="str">
            <v>KAMOTO MINE</v>
          </cell>
          <cell r="D172" t="str">
            <v>2026-02-23 22:29:45</v>
          </cell>
          <cell r="E172" t="str">
            <v>KAMOTO MINE</v>
          </cell>
          <cell r="F172" t="str">
            <v>0:05:59</v>
          </cell>
          <cell r="G172">
            <v>0.41320699999999999</v>
          </cell>
        </row>
        <row r="173">
          <cell r="A173" t="str">
            <v>T678EBX</v>
          </cell>
          <cell r="B173" t="str">
            <v>2026-02-23 18:31:44</v>
          </cell>
          <cell r="C173" t="str">
            <v>MOKAMBO DRC SIDE</v>
          </cell>
          <cell r="D173" t="str">
            <v>2026-02-23 21:29:42</v>
          </cell>
          <cell r="E173" t="str">
            <v>MOKAMBO DRC SIDE</v>
          </cell>
          <cell r="F173" t="str">
            <v>0:33:01</v>
          </cell>
          <cell r="G173">
            <v>2.6538379999999999</v>
          </cell>
        </row>
        <row r="174">
          <cell r="A174" t="str">
            <v>T678EBX</v>
          </cell>
          <cell r="B174" t="str">
            <v>2026-02-23 18:31:44</v>
          </cell>
          <cell r="C174" t="str">
            <v>MOKAMBO DRC SIDE</v>
          </cell>
          <cell r="D174" t="str">
            <v>2026-02-23 18:41:59</v>
          </cell>
          <cell r="E174" t="str">
            <v>MOKAMBO DRC SIDE</v>
          </cell>
          <cell r="F174" t="str">
            <v>0:10:15</v>
          </cell>
          <cell r="G174">
            <v>0.100747</v>
          </cell>
        </row>
        <row r="175">
          <cell r="A175" t="str">
            <v>T678EBX</v>
          </cell>
          <cell r="B175" t="str">
            <v>2026-02-23 20:37:37</v>
          </cell>
          <cell r="C175" t="str">
            <v>MOKAMBO DRC SIDE</v>
          </cell>
          <cell r="D175" t="str">
            <v>2026-02-23 20:40:17</v>
          </cell>
          <cell r="E175" t="str">
            <v>MOKAMBO DRC SIDE</v>
          </cell>
          <cell r="F175" t="str">
            <v>0:02:40</v>
          </cell>
          <cell r="G175">
            <v>0.20930199999999999</v>
          </cell>
        </row>
        <row r="176">
          <cell r="A176" t="str">
            <v>T678EBX</v>
          </cell>
          <cell r="B176" t="str">
            <v>2026-02-23 21:09:36</v>
          </cell>
          <cell r="C176" t="str">
            <v>MOKAMBO DRC SIDE</v>
          </cell>
          <cell r="D176" t="str">
            <v>2026-02-23 21:29:42</v>
          </cell>
          <cell r="E176" t="str">
            <v>MOKAMBO DRC SIDE</v>
          </cell>
          <cell r="F176" t="str">
            <v>0:20:06</v>
          </cell>
          <cell r="G176">
            <v>2.3437890000000001</v>
          </cell>
        </row>
        <row r="177">
          <cell r="A177" t="str">
            <v>T689DEB</v>
          </cell>
          <cell r="B177" t="str">
            <v>2026-02-23 19:06:04</v>
          </cell>
          <cell r="C177" t="str">
            <v>MOKAMBO DRC SIDE</v>
          </cell>
          <cell r="D177" t="str">
            <v>2026-02-23 19:50:54</v>
          </cell>
          <cell r="E177" t="str">
            <v>Rn36, 6.75 km from Mokambo</v>
          </cell>
          <cell r="F177" t="str">
            <v>0:30:12</v>
          </cell>
          <cell r="G177">
            <v>7.966494</v>
          </cell>
        </row>
        <row r="178">
          <cell r="A178" t="str">
            <v>T689DEB</v>
          </cell>
          <cell r="B178" t="str">
            <v>2026-02-23 19:06:04</v>
          </cell>
          <cell r="C178" t="str">
            <v>MOKAMBO DRC SIDE</v>
          </cell>
          <cell r="D178" t="str">
            <v>2026-02-23 19:18:20</v>
          </cell>
          <cell r="E178" t="str">
            <v>MOKAMBO DRC SIDE</v>
          </cell>
          <cell r="F178" t="str">
            <v>0:12:16</v>
          </cell>
          <cell r="G178">
            <v>0.63338799999999995</v>
          </cell>
        </row>
        <row r="179">
          <cell r="A179" t="str">
            <v>T689DEB</v>
          </cell>
          <cell r="B179" t="str">
            <v>2026-02-23 19:32:58</v>
          </cell>
          <cell r="C179" t="str">
            <v>MOKAMBO DRC SIDE</v>
          </cell>
          <cell r="D179" t="str">
            <v>2026-02-23 19:50:54</v>
          </cell>
          <cell r="E179" t="str">
            <v>Rn36, 6.75 km from Mokambo</v>
          </cell>
          <cell r="F179" t="str">
            <v>0:17:56</v>
          </cell>
          <cell r="G179">
            <v>7.3331059999999999</v>
          </cell>
        </row>
        <row r="180">
          <cell r="A180" t="str">
            <v>T712EBX</v>
          </cell>
          <cell r="B180" t="str">
            <v>2026-02-23 20:25:36</v>
          </cell>
          <cell r="C180" t="str">
            <v>DCG - KISARAWE</v>
          </cell>
          <cell r="D180" t="str">
            <v>2026-02-23 20:29:39</v>
          </cell>
          <cell r="E180" t="str">
            <v>DCG - KISARAWE</v>
          </cell>
          <cell r="F180" t="str">
            <v>0:04:03</v>
          </cell>
          <cell r="G180">
            <v>0</v>
          </cell>
        </row>
        <row r="181">
          <cell r="A181" t="str">
            <v>T712EBX</v>
          </cell>
          <cell r="B181" t="str">
            <v>2026-02-23 20:25:36</v>
          </cell>
          <cell r="C181" t="str">
            <v>DCG - KISARAWE</v>
          </cell>
          <cell r="D181" t="str">
            <v>2026-02-23 20:29:39</v>
          </cell>
          <cell r="E181" t="str">
            <v>DCG - KISARAWE</v>
          </cell>
          <cell r="F181" t="str">
            <v>0:04:03</v>
          </cell>
          <cell r="G181">
            <v>0</v>
          </cell>
        </row>
        <row r="182">
          <cell r="A182" t="str">
            <v>T716EBX</v>
          </cell>
          <cell r="B182" t="str">
            <v>2026-02-23 18:56:31</v>
          </cell>
          <cell r="C182" t="str">
            <v>T1, 4.19 km from Vigwaza</v>
          </cell>
          <cell r="D182" t="str">
            <v>2026-02-23 23:09:27</v>
          </cell>
          <cell r="E182" t="str">
            <v>UBUNGO ACCESS WORLD</v>
          </cell>
          <cell r="F182" t="str">
            <v>2:17:20</v>
          </cell>
          <cell r="G182">
            <v>74.437336000000002</v>
          </cell>
        </row>
        <row r="183">
          <cell r="A183" t="str">
            <v>T716EBX</v>
          </cell>
          <cell r="B183" t="str">
            <v>2026-02-23 18:56:31</v>
          </cell>
          <cell r="C183" t="str">
            <v>T1, 4.19 km from Vigwaza</v>
          </cell>
          <cell r="D183" t="str">
            <v>2026-02-23 19:06:33</v>
          </cell>
          <cell r="E183" t="str">
            <v>T1, 4.01 km from Vigwaza</v>
          </cell>
          <cell r="F183" t="str">
            <v>0:10:02</v>
          </cell>
          <cell r="G183">
            <v>0.18293499999999999</v>
          </cell>
        </row>
        <row r="184">
          <cell r="A184" t="str">
            <v>T716EBX</v>
          </cell>
          <cell r="B184" t="str">
            <v>2026-02-23 19:18:34</v>
          </cell>
          <cell r="C184" t="str">
            <v>T1, 3.85 km from Vigwaza</v>
          </cell>
          <cell r="D184" t="str">
            <v>2026-02-23 19:22:29</v>
          </cell>
          <cell r="E184" t="str">
            <v>T1, 3.73 km from Vigwaza</v>
          </cell>
          <cell r="F184" t="str">
            <v>0:03:55</v>
          </cell>
          <cell r="G184">
            <v>0.12516099999999999</v>
          </cell>
        </row>
        <row r="185">
          <cell r="A185" t="str">
            <v>T716EBX</v>
          </cell>
          <cell r="B185" t="str">
            <v>2026-02-23 20:14:09</v>
          </cell>
          <cell r="C185" t="str">
            <v>T1, 3.73 km from Vigwaza</v>
          </cell>
          <cell r="D185" t="str">
            <v>2026-02-23 21:03:47</v>
          </cell>
          <cell r="E185" t="str">
            <v>Morogoro Main Road, 1.22 km from Karabaka</v>
          </cell>
          <cell r="F185" t="str">
            <v>0:49:38</v>
          </cell>
          <cell r="G185">
            <v>29.870638</v>
          </cell>
        </row>
        <row r="186">
          <cell r="A186" t="str">
            <v>T716EBX</v>
          </cell>
          <cell r="B186" t="str">
            <v>2026-02-23 21:10:09</v>
          </cell>
          <cell r="C186" t="str">
            <v>Morogoro Main Road, 1.22 km from Karabaka</v>
          </cell>
          <cell r="D186" t="str">
            <v>2026-02-23 21:55:45</v>
          </cell>
          <cell r="E186" t="str">
            <v>Dar Es Salaam, Morogoro Road</v>
          </cell>
          <cell r="F186" t="str">
            <v>0:45:36</v>
          </cell>
          <cell r="G186">
            <v>29.944655999999998</v>
          </cell>
        </row>
        <row r="187">
          <cell r="A187" t="str">
            <v>T716EBX</v>
          </cell>
          <cell r="B187" t="str">
            <v>2026-02-23 22:41:18</v>
          </cell>
          <cell r="C187" t="str">
            <v>Dar Es Salaam, Morogoro Road</v>
          </cell>
          <cell r="D187" t="str">
            <v>2026-02-23 23:09:27</v>
          </cell>
          <cell r="E187" t="str">
            <v>UBUNGO ACCESS WORLD</v>
          </cell>
          <cell r="F187" t="str">
            <v>0:28:09</v>
          </cell>
          <cell r="G187">
            <v>14.313945</v>
          </cell>
        </row>
        <row r="188">
          <cell r="A188" t="str">
            <v>T717EBX</v>
          </cell>
          <cell r="B188" t="str">
            <v>2026-02-23 19:44:13</v>
          </cell>
          <cell r="C188" t="str">
            <v>GL KURASINI YARD</v>
          </cell>
          <cell r="D188" t="str">
            <v>2026-02-23 22:34:31</v>
          </cell>
          <cell r="E188" t="str">
            <v>R708, Dar Es Salaam</v>
          </cell>
          <cell r="F188" t="str">
            <v>2:22:50</v>
          </cell>
          <cell r="G188">
            <v>39.428201000000001</v>
          </cell>
        </row>
        <row r="189">
          <cell r="A189" t="str">
            <v>T717EBX</v>
          </cell>
          <cell r="B189" t="str">
            <v>2026-02-23 19:44:13</v>
          </cell>
          <cell r="C189" t="str">
            <v>GL KURASINI YARD</v>
          </cell>
          <cell r="D189" t="str">
            <v>2026-02-23 19:52:55</v>
          </cell>
          <cell r="E189" t="str">
            <v>GL KURASINI YARD</v>
          </cell>
          <cell r="F189" t="str">
            <v>0:08:42</v>
          </cell>
          <cell r="G189">
            <v>0.15093799999999999</v>
          </cell>
        </row>
        <row r="190">
          <cell r="A190" t="str">
            <v>T717EBX</v>
          </cell>
          <cell r="B190" t="str">
            <v>2026-02-23 20:01:10</v>
          </cell>
          <cell r="C190" t="str">
            <v>GL KURASINI YARD</v>
          </cell>
          <cell r="D190" t="str">
            <v>2026-02-23 21:41:00</v>
          </cell>
          <cell r="E190" t="str">
            <v>DAR ES SALAAM</v>
          </cell>
          <cell r="F190" t="str">
            <v>1:39:50</v>
          </cell>
          <cell r="G190">
            <v>29.202780000000001</v>
          </cell>
        </row>
        <row r="191">
          <cell r="A191" t="str">
            <v>T717EBX</v>
          </cell>
          <cell r="B191" t="str">
            <v>2026-02-23 21:48:04</v>
          </cell>
          <cell r="C191" t="str">
            <v>DAR ES SALAAM</v>
          </cell>
          <cell r="D191" t="str">
            <v>2026-02-23 22:19:24</v>
          </cell>
          <cell r="E191" t="str">
            <v>R708, Dar Es Salaam</v>
          </cell>
          <cell r="F191" t="str">
            <v>0:31:20</v>
          </cell>
          <cell r="G191">
            <v>9.9642959999999992</v>
          </cell>
        </row>
        <row r="192">
          <cell r="A192" t="str">
            <v>T717EBX</v>
          </cell>
          <cell r="B192" t="str">
            <v>2026-02-23 22:31:33</v>
          </cell>
          <cell r="C192" t="str">
            <v>R708, Dar Es Salaam</v>
          </cell>
          <cell r="D192" t="str">
            <v>2026-02-23 22:34:31</v>
          </cell>
          <cell r="E192" t="str">
            <v>R708, Dar Es Salaam</v>
          </cell>
          <cell r="F192" t="str">
            <v>0:02:58</v>
          </cell>
          <cell r="G192">
            <v>0.11018600000000001</v>
          </cell>
        </row>
        <row r="193">
          <cell r="A193" t="str">
            <v>T725EBX</v>
          </cell>
          <cell r="B193" t="str">
            <v>2026-02-23 18:35:59</v>
          </cell>
          <cell r="C193" t="str">
            <v>GL KURASINI YARD</v>
          </cell>
          <cell r="D193" t="str">
            <v>2026-02-23 20:33:32</v>
          </cell>
          <cell r="E193" t="str">
            <v>R708, Dar Es Salaam</v>
          </cell>
          <cell r="F193" t="str">
            <v>1:57:33</v>
          </cell>
          <cell r="G193">
            <v>39.288527999999999</v>
          </cell>
        </row>
        <row r="194">
          <cell r="A194" t="str">
            <v>T725EBX</v>
          </cell>
          <cell r="B194" t="str">
            <v>2026-02-23 18:35:59</v>
          </cell>
          <cell r="C194" t="str">
            <v>GL KURASINI YARD</v>
          </cell>
          <cell r="D194" t="str">
            <v>2026-02-23 20:33:32</v>
          </cell>
          <cell r="E194" t="str">
            <v>R708, Dar Es Salaam</v>
          </cell>
          <cell r="F194" t="str">
            <v>1:57:33</v>
          </cell>
          <cell r="G194">
            <v>39.288527999999999</v>
          </cell>
        </row>
        <row r="195">
          <cell r="A195" t="str">
            <v>T727EBX</v>
          </cell>
          <cell r="B195" t="str">
            <v>2026-02-23 19:38:49</v>
          </cell>
          <cell r="C195" t="str">
            <v>DAR ES SALAAM</v>
          </cell>
          <cell r="D195" t="str">
            <v>2026-02-23 20:31:15</v>
          </cell>
          <cell r="E195" t="str">
            <v>DCG - KISARAWE</v>
          </cell>
          <cell r="F195" t="str">
            <v>0:25:23</v>
          </cell>
          <cell r="G195">
            <v>10.449346999999999</v>
          </cell>
        </row>
        <row r="196">
          <cell r="A196" t="str">
            <v>T727EBX</v>
          </cell>
          <cell r="B196" t="str">
            <v>2026-02-23 19:38:49</v>
          </cell>
          <cell r="C196" t="str">
            <v>DAR ES SALAAM</v>
          </cell>
          <cell r="D196" t="str">
            <v>2026-02-23 20:01:34</v>
          </cell>
          <cell r="E196" t="str">
            <v>R708, Dar Es Salaam</v>
          </cell>
          <cell r="F196" t="str">
            <v>0:22:45</v>
          </cell>
          <cell r="G196">
            <v>10.306915</v>
          </cell>
        </row>
        <row r="197">
          <cell r="A197" t="str">
            <v>T727EBX</v>
          </cell>
          <cell r="B197" t="str">
            <v>2026-02-23 20:28:37</v>
          </cell>
          <cell r="C197" t="str">
            <v>DCG - KISARAWE</v>
          </cell>
          <cell r="D197" t="str">
            <v>2026-02-23 20:31:15</v>
          </cell>
          <cell r="E197" t="str">
            <v>DCG - KISARAWE</v>
          </cell>
          <cell r="F197" t="str">
            <v>0:02:38</v>
          </cell>
          <cell r="G197">
            <v>0.142432</v>
          </cell>
        </row>
        <row r="198">
          <cell r="A198" t="str">
            <v>T729DYR</v>
          </cell>
          <cell r="B198" t="str">
            <v>2026-02-23 21:51:29</v>
          </cell>
          <cell r="C198" t="str">
            <v>TUNDUMA BORDER TZ SIDE</v>
          </cell>
          <cell r="D198" t="str">
            <v>2026-02-23 22:10:34</v>
          </cell>
          <cell r="E198" t="str">
            <v>TUNDUMA PARKING</v>
          </cell>
          <cell r="F198" t="str">
            <v>0:19:05</v>
          </cell>
          <cell r="G198">
            <v>2.1715710000000001</v>
          </cell>
        </row>
        <row r="199">
          <cell r="A199" t="str">
            <v>T729DYR</v>
          </cell>
          <cell r="B199" t="str">
            <v>2026-02-23 21:51:29</v>
          </cell>
          <cell r="C199" t="str">
            <v>TUNDUMA BORDER TZ SIDE</v>
          </cell>
          <cell r="D199" t="str">
            <v>2026-02-23 22:10:34</v>
          </cell>
          <cell r="E199" t="str">
            <v>TUNDUMA PARKING</v>
          </cell>
          <cell r="F199" t="str">
            <v>0:19:05</v>
          </cell>
          <cell r="G199">
            <v>2.1715710000000001</v>
          </cell>
        </row>
        <row r="200">
          <cell r="A200" t="str">
            <v>T732EBX</v>
          </cell>
          <cell r="B200" t="str">
            <v>2026-02-23 19:01:03</v>
          </cell>
          <cell r="C200" t="str">
            <v>MAKAMBAKO</v>
          </cell>
          <cell r="D200" t="str">
            <v>2026-02-23 19:13:18</v>
          </cell>
          <cell r="E200" t="str">
            <v>MAKAMBAKO WBG</v>
          </cell>
          <cell r="F200" t="str">
            <v>0:12:15</v>
          </cell>
          <cell r="G200">
            <v>2.265387</v>
          </cell>
        </row>
        <row r="201">
          <cell r="A201" t="str">
            <v>T732EBX</v>
          </cell>
          <cell r="B201" t="str">
            <v>2026-02-23 19:01:03</v>
          </cell>
          <cell r="C201" t="str">
            <v>MAKAMBAKO</v>
          </cell>
          <cell r="D201" t="str">
            <v>2026-02-23 19:13:18</v>
          </cell>
          <cell r="E201" t="str">
            <v>MAKAMBAKO WBG</v>
          </cell>
          <cell r="F201" t="str">
            <v>0:12:15</v>
          </cell>
          <cell r="G201">
            <v>2.265387</v>
          </cell>
        </row>
        <row r="202">
          <cell r="A202" t="str">
            <v>T733EBX</v>
          </cell>
          <cell r="B202" t="str">
            <v>2026-02-23 19:02:53</v>
          </cell>
          <cell r="C202" t="str">
            <v>MOKAMBO DRC SIDE</v>
          </cell>
          <cell r="D202" t="str">
            <v>2026-02-23 19:05:20</v>
          </cell>
          <cell r="E202" t="str">
            <v>MOKAMBO DRC SIDE</v>
          </cell>
          <cell r="F202" t="str">
            <v>0:02:27</v>
          </cell>
          <cell r="G202">
            <v>0.14013300000000001</v>
          </cell>
        </row>
        <row r="203">
          <cell r="A203" t="str">
            <v>T733EBX</v>
          </cell>
          <cell r="B203" t="str">
            <v>2026-02-23 19:02:53</v>
          </cell>
          <cell r="C203" t="str">
            <v>MOKAMBO DRC SIDE</v>
          </cell>
          <cell r="D203" t="str">
            <v>2026-02-23 19:05:20</v>
          </cell>
          <cell r="E203" t="str">
            <v>MOKAMBO DRC SIDE</v>
          </cell>
          <cell r="F203" t="str">
            <v>0:02:27</v>
          </cell>
          <cell r="G203">
            <v>0.14013300000000001</v>
          </cell>
        </row>
        <row r="204">
          <cell r="A204" t="str">
            <v>T737DEB</v>
          </cell>
          <cell r="B204" t="str">
            <v>2026-02-23 19:00:26</v>
          </cell>
          <cell r="C204" t="str">
            <v>Rn39, 6.08 km from Kazembe</v>
          </cell>
          <cell r="D204" t="str">
            <v>2026-02-23 19:57:00</v>
          </cell>
          <cell r="E204" t="str">
            <v>Route De La Mine Deziwa, 5.77 km from Kisenda</v>
          </cell>
          <cell r="F204" t="str">
            <v>0:56:34</v>
          </cell>
          <cell r="G204">
            <v>8.7956040000000009</v>
          </cell>
        </row>
        <row r="205">
          <cell r="A205" t="str">
            <v>T737DEB</v>
          </cell>
          <cell r="B205" t="str">
            <v>2026-02-23 19:00:26</v>
          </cell>
          <cell r="C205" t="str">
            <v>Rn39, 6.08 km from Kazembe</v>
          </cell>
          <cell r="D205" t="str">
            <v>2026-02-23 19:57:00</v>
          </cell>
          <cell r="E205" t="str">
            <v>Route De La Mine Deziwa, 5.77 km from Kisenda</v>
          </cell>
          <cell r="F205" t="str">
            <v>0:56:34</v>
          </cell>
          <cell r="G205">
            <v>8.7956040000000009</v>
          </cell>
        </row>
        <row r="206">
          <cell r="A206" t="str">
            <v>T741EBX</v>
          </cell>
          <cell r="B206" t="str">
            <v>2026-02-23 19:34:50</v>
          </cell>
          <cell r="C206" t="str">
            <v>DAR ES SALAAM</v>
          </cell>
          <cell r="D206" t="str">
            <v>2026-02-23 20:34:06</v>
          </cell>
          <cell r="E206" t="str">
            <v>DCG - KISARAWE</v>
          </cell>
          <cell r="F206" t="str">
            <v>0:26:06</v>
          </cell>
          <cell r="G206">
            <v>10.428233000000001</v>
          </cell>
        </row>
        <row r="207">
          <cell r="A207" t="str">
            <v>T741EBX</v>
          </cell>
          <cell r="B207" t="str">
            <v>2026-02-23 19:34:50</v>
          </cell>
          <cell r="C207" t="str">
            <v>DAR ES SALAAM</v>
          </cell>
          <cell r="D207" t="str">
            <v>2026-02-23 19:53:53</v>
          </cell>
          <cell r="E207" t="str">
            <v>R708, Dar Es Salaam</v>
          </cell>
          <cell r="F207" t="str">
            <v>0:19:03</v>
          </cell>
          <cell r="G207">
            <v>10.173845</v>
          </cell>
        </row>
        <row r="208">
          <cell r="A208" t="str">
            <v>T741EBX</v>
          </cell>
          <cell r="B208" t="str">
            <v>2026-02-23 20:27:03</v>
          </cell>
          <cell r="C208" t="str">
            <v>R708, Dar Es Salaam</v>
          </cell>
          <cell r="D208" t="str">
            <v>2026-02-23 20:34:06</v>
          </cell>
          <cell r="E208" t="str">
            <v>DCG - KISARAWE</v>
          </cell>
          <cell r="F208" t="str">
            <v>0:07:03</v>
          </cell>
          <cell r="G208">
            <v>0.25438699999999997</v>
          </cell>
        </row>
        <row r="209">
          <cell r="A209" t="str">
            <v>T768DYR</v>
          </cell>
          <cell r="B209" t="str">
            <v>2026-02-23 18:42:06</v>
          </cell>
          <cell r="C209" t="str">
            <v>Iringa Road, 2.19 km from Mangae</v>
          </cell>
          <cell r="D209" t="str">
            <v>2026-02-23 21:37:17</v>
          </cell>
          <cell r="E209" t="str">
            <v>T1, Bwawani</v>
          </cell>
          <cell r="F209" t="str">
            <v>2:23:00</v>
          </cell>
          <cell r="G209">
            <v>107.44031</v>
          </cell>
        </row>
        <row r="210">
          <cell r="A210" t="str">
            <v>T768DYR</v>
          </cell>
          <cell r="B210" t="str">
            <v>2026-02-23 18:42:06</v>
          </cell>
          <cell r="C210" t="str">
            <v>Iringa Road, 2.19 km from Mangae</v>
          </cell>
          <cell r="D210" t="str">
            <v>2026-02-23 19:57:04</v>
          </cell>
          <cell r="E210" t="str">
            <v>Morogoro, T1</v>
          </cell>
          <cell r="F210" t="str">
            <v>1:14:58</v>
          </cell>
          <cell r="G210">
            <v>57.779696999999999</v>
          </cell>
        </row>
        <row r="211">
          <cell r="A211" t="str">
            <v>T768DYR</v>
          </cell>
          <cell r="B211" t="str">
            <v>2026-02-23 20:29:15</v>
          </cell>
          <cell r="C211" t="str">
            <v>Morogoro, T1</v>
          </cell>
          <cell r="D211" t="str">
            <v>2026-02-23 21:37:17</v>
          </cell>
          <cell r="E211" t="str">
            <v>T1, Bwawani</v>
          </cell>
          <cell r="F211" t="str">
            <v>1:08:02</v>
          </cell>
          <cell r="G211">
            <v>49.660612999999998</v>
          </cell>
        </row>
        <row r="212">
          <cell r="A212" t="str">
            <v>T772DYR</v>
          </cell>
          <cell r="B212" t="str">
            <v>2026-02-23 20:56:02</v>
          </cell>
          <cell r="C212" t="str">
            <v>Great North Road, Nakonde</v>
          </cell>
          <cell r="D212" t="str">
            <v>2026-02-23 21:16:01</v>
          </cell>
          <cell r="E212" t="str">
            <v>NAKONDE ZM SIDE</v>
          </cell>
          <cell r="F212" t="str">
            <v>0:19:59</v>
          </cell>
          <cell r="G212">
            <v>6.8377359999999996</v>
          </cell>
        </row>
        <row r="213">
          <cell r="A213" t="str">
            <v>T772DYR</v>
          </cell>
          <cell r="B213" t="str">
            <v>2026-02-23 20:56:02</v>
          </cell>
          <cell r="C213" t="str">
            <v>Great North Road, Nakonde</v>
          </cell>
          <cell r="D213" t="str">
            <v>2026-02-23 21:16:01</v>
          </cell>
          <cell r="E213" t="str">
            <v>NAKONDE ZM SIDE</v>
          </cell>
          <cell r="F213" t="str">
            <v>0:19:59</v>
          </cell>
          <cell r="G213">
            <v>6.8377359999999996</v>
          </cell>
        </row>
        <row r="214">
          <cell r="A214" t="str">
            <v>T776EBW</v>
          </cell>
          <cell r="B214" t="str">
            <v>2026-02-23 00:03:12</v>
          </cell>
          <cell r="C214" t="str">
            <v>DP WORLD</v>
          </cell>
          <cell r="D214" t="str">
            <v>2026-02-23 23:25:56</v>
          </cell>
          <cell r="E214" t="str">
            <v>DP WORLD</v>
          </cell>
          <cell r="F214" t="str">
            <v>1:42:44</v>
          </cell>
          <cell r="G214">
            <v>4.1184289999999999</v>
          </cell>
        </row>
        <row r="215">
          <cell r="A215" t="str">
            <v>T776EBW</v>
          </cell>
          <cell r="B215" t="str">
            <v>2026-02-23 00:03:12</v>
          </cell>
          <cell r="C215" t="str">
            <v>DP WORLD</v>
          </cell>
          <cell r="D215" t="str">
            <v>2026-02-23 00:05:30</v>
          </cell>
          <cell r="E215" t="str">
            <v>DP WORLD</v>
          </cell>
          <cell r="F215" t="str">
            <v>0:02:18</v>
          </cell>
          <cell r="G215">
            <v>0.102229</v>
          </cell>
        </row>
        <row r="216">
          <cell r="A216" t="str">
            <v>T776EBW</v>
          </cell>
          <cell r="B216" t="str">
            <v>2026-02-23 00:22:13</v>
          </cell>
          <cell r="C216" t="str">
            <v>DP WORLD</v>
          </cell>
          <cell r="D216" t="str">
            <v>2026-02-23 00:55:52</v>
          </cell>
          <cell r="E216" t="str">
            <v>DP WORLD</v>
          </cell>
          <cell r="F216" t="str">
            <v>0:33:39</v>
          </cell>
          <cell r="G216">
            <v>0.54927999999999999</v>
          </cell>
        </row>
        <row r="217">
          <cell r="A217" t="str">
            <v>T776EBW</v>
          </cell>
          <cell r="B217" t="str">
            <v>2026-02-23 01:05:06</v>
          </cell>
          <cell r="C217" t="str">
            <v>DP WORLD</v>
          </cell>
          <cell r="D217" t="str">
            <v>2026-02-23 01:14:30</v>
          </cell>
          <cell r="E217" t="str">
            <v>DP WORLD</v>
          </cell>
          <cell r="F217" t="str">
            <v>0:09:24</v>
          </cell>
          <cell r="G217">
            <v>0.28142800000000001</v>
          </cell>
        </row>
        <row r="218">
          <cell r="A218" t="str">
            <v>T776EBW</v>
          </cell>
          <cell r="B218" t="str">
            <v>2026-02-23 01:29:49</v>
          </cell>
          <cell r="C218" t="str">
            <v>DP WORLD</v>
          </cell>
          <cell r="D218" t="str">
            <v>2026-02-23 01:33:41</v>
          </cell>
          <cell r="E218" t="str">
            <v>DP WORLD</v>
          </cell>
          <cell r="F218" t="str">
            <v>0:03:52</v>
          </cell>
          <cell r="G218">
            <v>0.151891</v>
          </cell>
        </row>
        <row r="219">
          <cell r="A219" t="str">
            <v>T776EBW</v>
          </cell>
          <cell r="B219" t="str">
            <v>2026-02-23 02:21:29</v>
          </cell>
          <cell r="C219" t="str">
            <v>DP WORLD</v>
          </cell>
          <cell r="D219" t="str">
            <v>2026-02-23 02:26:35</v>
          </cell>
          <cell r="E219" t="str">
            <v>DP WORLD</v>
          </cell>
          <cell r="F219" t="str">
            <v>0:05:06</v>
          </cell>
          <cell r="G219">
            <v>0.15946099999999999</v>
          </cell>
        </row>
        <row r="220">
          <cell r="A220" t="str">
            <v>T776EBW</v>
          </cell>
          <cell r="B220" t="str">
            <v>2026-02-23 18:31:37</v>
          </cell>
          <cell r="C220" t="str">
            <v>DP WORLD</v>
          </cell>
          <cell r="D220" t="str">
            <v>2026-02-23 18:38:15</v>
          </cell>
          <cell r="E220" t="str">
            <v>DP WORLD</v>
          </cell>
          <cell r="F220" t="str">
            <v>0:06:38</v>
          </cell>
          <cell r="G220">
            <v>7.2672E-2</v>
          </cell>
        </row>
        <row r="221">
          <cell r="A221" t="str">
            <v>T776EBW</v>
          </cell>
          <cell r="B221" t="str">
            <v>2026-02-23 21:13:16</v>
          </cell>
          <cell r="C221" t="str">
            <v>DP WORLD</v>
          </cell>
          <cell r="D221" t="str">
            <v>2026-02-23 21:16:06</v>
          </cell>
          <cell r="E221" t="str">
            <v>DP WORLD</v>
          </cell>
          <cell r="F221" t="str">
            <v>0:02:50</v>
          </cell>
          <cell r="G221">
            <v>0.52473499999999995</v>
          </cell>
        </row>
        <row r="222">
          <cell r="A222" t="str">
            <v>T776EBW</v>
          </cell>
          <cell r="B222" t="str">
            <v>2026-02-23 21:29:32</v>
          </cell>
          <cell r="C222" t="str">
            <v>DP WORLD</v>
          </cell>
          <cell r="D222" t="str">
            <v>2026-02-23 21:33:45</v>
          </cell>
          <cell r="E222" t="str">
            <v>DP WORLD</v>
          </cell>
          <cell r="F222" t="str">
            <v>0:04:13</v>
          </cell>
          <cell r="G222">
            <v>0.31117600000000001</v>
          </cell>
        </row>
        <row r="223">
          <cell r="A223" t="str">
            <v>T776EBW</v>
          </cell>
          <cell r="B223" t="str">
            <v>2026-02-23 21:39:46</v>
          </cell>
          <cell r="C223" t="str">
            <v>DP WORLD</v>
          </cell>
          <cell r="D223" t="str">
            <v>2026-02-23 21:44:07</v>
          </cell>
          <cell r="E223" t="str">
            <v>DP WORLD</v>
          </cell>
          <cell r="F223" t="str">
            <v>0:04:21</v>
          </cell>
          <cell r="G223">
            <v>0.32650499999999999</v>
          </cell>
        </row>
        <row r="224">
          <cell r="A224" t="str">
            <v>T776EBW</v>
          </cell>
          <cell r="B224" t="str">
            <v>2026-02-23 21:57:17</v>
          </cell>
          <cell r="C224" t="str">
            <v>DP WORLD</v>
          </cell>
          <cell r="D224" t="str">
            <v>2026-02-23 22:03:10</v>
          </cell>
          <cell r="E224" t="str">
            <v>DP WORLD</v>
          </cell>
          <cell r="F224" t="str">
            <v>0:05:53</v>
          </cell>
          <cell r="G224">
            <v>0.38777200000000001</v>
          </cell>
        </row>
        <row r="225">
          <cell r="A225" t="str">
            <v>T776EBW</v>
          </cell>
          <cell r="B225" t="str">
            <v>2026-02-23 22:08:12</v>
          </cell>
          <cell r="C225" t="str">
            <v>DP WORLD</v>
          </cell>
          <cell r="D225" t="str">
            <v>2026-02-23 22:18:32</v>
          </cell>
          <cell r="E225" t="str">
            <v>DP WORLD</v>
          </cell>
          <cell r="F225" t="str">
            <v>0:10:20</v>
          </cell>
          <cell r="G225">
            <v>0.36010700000000001</v>
          </cell>
        </row>
        <row r="226">
          <cell r="A226" t="str">
            <v>T776EBW</v>
          </cell>
          <cell r="B226" t="str">
            <v>2026-02-23 22:33:37</v>
          </cell>
          <cell r="C226" t="str">
            <v>DP WORLD</v>
          </cell>
          <cell r="D226" t="str">
            <v>2026-02-23 22:37:15</v>
          </cell>
          <cell r="E226" t="str">
            <v>DP WORLD</v>
          </cell>
          <cell r="F226" t="str">
            <v>0:03:38</v>
          </cell>
          <cell r="G226">
            <v>0.105147</v>
          </cell>
        </row>
        <row r="227">
          <cell r="A227" t="str">
            <v>T776EBW</v>
          </cell>
          <cell r="B227" t="str">
            <v>2026-02-23 22:57:05</v>
          </cell>
          <cell r="C227" t="str">
            <v>DP WORLD</v>
          </cell>
          <cell r="D227" t="str">
            <v>2026-02-23 23:04:42</v>
          </cell>
          <cell r="E227" t="str">
            <v>DP WORLD</v>
          </cell>
          <cell r="F227" t="str">
            <v>0:07:37</v>
          </cell>
          <cell r="G227">
            <v>0.53692600000000001</v>
          </cell>
        </row>
        <row r="228">
          <cell r="A228" t="str">
            <v>T776EBW</v>
          </cell>
          <cell r="B228" t="str">
            <v>2026-02-23 23:23:01</v>
          </cell>
          <cell r="C228" t="str">
            <v>DP WORLD</v>
          </cell>
          <cell r="D228" t="str">
            <v>2026-02-23 23:25:56</v>
          </cell>
          <cell r="E228" t="str">
            <v>DP WORLD</v>
          </cell>
          <cell r="F228" t="str">
            <v>0:02:55</v>
          </cell>
          <cell r="G228">
            <v>0.24909999999999999</v>
          </cell>
        </row>
        <row r="229">
          <cell r="A229" t="str">
            <v>T781EBW</v>
          </cell>
          <cell r="B229" t="str">
            <v>2026-02-23 19:17:49</v>
          </cell>
          <cell r="C229" t="str">
            <v>Tanzam Road, 2.58 km from Mbeya</v>
          </cell>
          <cell r="D229" t="str">
            <v>2026-02-23 19:22:16</v>
          </cell>
          <cell r="E229" t="str">
            <v>Tanzam Road, 2.40 km from Mbeya</v>
          </cell>
          <cell r="F229" t="str">
            <v>0:04:27</v>
          </cell>
          <cell r="G229">
            <v>0.17813799999999999</v>
          </cell>
        </row>
        <row r="230">
          <cell r="A230" t="str">
            <v>T781EBW</v>
          </cell>
          <cell r="B230" t="str">
            <v>2026-02-23 19:17:49</v>
          </cell>
          <cell r="C230" t="str">
            <v>Tanzam Road, 2.58 km from Mbeya</v>
          </cell>
          <cell r="D230" t="str">
            <v>2026-02-23 19:22:16</v>
          </cell>
          <cell r="E230" t="str">
            <v>Tanzam Road, 2.40 km from Mbeya</v>
          </cell>
          <cell r="F230" t="str">
            <v>0:04:27</v>
          </cell>
          <cell r="G230">
            <v>0.17813799999999999</v>
          </cell>
        </row>
        <row r="231">
          <cell r="A231" t="str">
            <v>T797EBW</v>
          </cell>
          <cell r="B231" t="str">
            <v>2026-02-23 21:12:23</v>
          </cell>
          <cell r="C231" t="str">
            <v>UBUNGO ACCESS WORLD</v>
          </cell>
          <cell r="D231" t="str">
            <v>2026-02-23 23:31:56</v>
          </cell>
          <cell r="E231" t="str">
            <v>MBAGALA YARD</v>
          </cell>
          <cell r="F231" t="str">
            <v>0:45:57</v>
          </cell>
          <cell r="G231">
            <v>17.744555999999999</v>
          </cell>
        </row>
        <row r="232">
          <cell r="A232" t="str">
            <v>T797EBW</v>
          </cell>
          <cell r="B232" t="str">
            <v>2026-02-23 21:12:23</v>
          </cell>
          <cell r="C232" t="str">
            <v>UBUNGO ACCESS WORLD</v>
          </cell>
          <cell r="D232" t="str">
            <v>2026-02-23 21:14:05</v>
          </cell>
          <cell r="E232" t="str">
            <v>UBUNGO ACCESS WORLD</v>
          </cell>
          <cell r="F232" t="str">
            <v>0:01:42</v>
          </cell>
          <cell r="G232">
            <v>0.127105</v>
          </cell>
        </row>
        <row r="233">
          <cell r="A233" t="str">
            <v>T797EBW</v>
          </cell>
          <cell r="B233" t="str">
            <v>2026-02-23 21:56:53</v>
          </cell>
          <cell r="C233" t="str">
            <v>UBUNGO ACCESS WORLD</v>
          </cell>
          <cell r="D233" t="str">
            <v>2026-02-23 22:00:12</v>
          </cell>
          <cell r="E233" t="str">
            <v>UBUNGO ACCESS WORLD</v>
          </cell>
          <cell r="F233" t="str">
            <v>0:03:19</v>
          </cell>
          <cell r="G233">
            <v>0.23175000000000001</v>
          </cell>
        </row>
        <row r="234">
          <cell r="A234" t="str">
            <v>T797EBW</v>
          </cell>
          <cell r="B234" t="str">
            <v>2026-02-23 22:28:17</v>
          </cell>
          <cell r="C234" t="str">
            <v>UBUNGO ACCESS WORLD</v>
          </cell>
          <cell r="D234" t="str">
            <v>2026-02-23 22:31:51</v>
          </cell>
          <cell r="E234" t="str">
            <v>UBUNGO ACCESS WORLD</v>
          </cell>
          <cell r="F234" t="str">
            <v>0:03:34</v>
          </cell>
          <cell r="G234">
            <v>0.13669200000000001</v>
          </cell>
        </row>
        <row r="235">
          <cell r="A235" t="str">
            <v>T797EBW</v>
          </cell>
          <cell r="B235" t="str">
            <v>2026-02-23 22:54:34</v>
          </cell>
          <cell r="C235" t="str">
            <v>UBUNGO ACCESS WORLD</v>
          </cell>
          <cell r="D235" t="str">
            <v>2026-02-23 23:31:56</v>
          </cell>
          <cell r="E235" t="str">
            <v>MBAGALA YARD</v>
          </cell>
          <cell r="F235" t="str">
            <v>0:37:22</v>
          </cell>
          <cell r="G235">
            <v>17.249009000000001</v>
          </cell>
        </row>
        <row r="236">
          <cell r="A236" t="str">
            <v>T798DYR</v>
          </cell>
          <cell r="B236" t="str">
            <v>2026-02-23 18:45:45</v>
          </cell>
          <cell r="C236" t="str">
            <v>GL KURASINI YARD</v>
          </cell>
          <cell r="D236" t="str">
            <v>2026-02-23 20:14:29</v>
          </cell>
          <cell r="E236" t="str">
            <v>GL KURASINI YARD</v>
          </cell>
          <cell r="F236" t="str">
            <v>0:09:05</v>
          </cell>
          <cell r="G236">
            <v>0.47607100000000002</v>
          </cell>
        </row>
        <row r="237">
          <cell r="A237" t="str">
            <v>T798DYR</v>
          </cell>
          <cell r="B237" t="str">
            <v>2026-02-23 18:45:45</v>
          </cell>
          <cell r="C237" t="str">
            <v>GL KURASINI YARD</v>
          </cell>
          <cell r="D237" t="str">
            <v>2026-02-23 18:50:56</v>
          </cell>
          <cell r="E237" t="str">
            <v>GL KURASINI YARD</v>
          </cell>
          <cell r="F237" t="str">
            <v>0:05:11</v>
          </cell>
          <cell r="G237">
            <v>0.21887000000000001</v>
          </cell>
        </row>
        <row r="238">
          <cell r="A238" t="str">
            <v>T798DYR</v>
          </cell>
          <cell r="B238" t="str">
            <v>2026-02-23 20:10:35</v>
          </cell>
          <cell r="C238" t="str">
            <v>GL KURASINI YARD</v>
          </cell>
          <cell r="D238" t="str">
            <v>2026-02-23 20:14:29</v>
          </cell>
          <cell r="E238" t="str">
            <v>GL KURASINI YARD</v>
          </cell>
          <cell r="F238" t="str">
            <v>0:03:54</v>
          </cell>
          <cell r="G238">
            <v>0.25720100000000001</v>
          </cell>
        </row>
        <row r="239">
          <cell r="A239" t="str">
            <v>T804EBW</v>
          </cell>
          <cell r="B239" t="str">
            <v>2026-02-23 21:04:40</v>
          </cell>
          <cell r="C239" t="str">
            <v>SALISLA</v>
          </cell>
          <cell r="D239" t="str">
            <v>2026-02-23 21:24:29</v>
          </cell>
          <cell r="E239" t="str">
            <v>DAR ES SALAAM</v>
          </cell>
          <cell r="F239" t="str">
            <v>0:14:08</v>
          </cell>
          <cell r="G239">
            <v>1.3965920000000001</v>
          </cell>
        </row>
        <row r="240">
          <cell r="A240" t="str">
            <v>T804EBW</v>
          </cell>
          <cell r="B240" t="str">
            <v>2026-02-23 21:04:40</v>
          </cell>
          <cell r="C240" t="str">
            <v>SALISLA</v>
          </cell>
          <cell r="D240" t="str">
            <v>2026-02-23 21:10:45</v>
          </cell>
          <cell r="E240" t="str">
            <v>SALISLA</v>
          </cell>
          <cell r="F240" t="str">
            <v>0:06:05</v>
          </cell>
          <cell r="G240">
            <v>0.17460200000000001</v>
          </cell>
        </row>
        <row r="241">
          <cell r="A241" t="str">
            <v>T804EBW</v>
          </cell>
          <cell r="B241" t="str">
            <v>2026-02-23 21:16:26</v>
          </cell>
          <cell r="C241" t="str">
            <v>DAR ES SALAAM</v>
          </cell>
          <cell r="D241" t="str">
            <v>2026-02-23 21:24:29</v>
          </cell>
          <cell r="E241" t="str">
            <v>DAR ES SALAAM</v>
          </cell>
          <cell r="F241" t="str">
            <v>0:08:03</v>
          </cell>
          <cell r="G241">
            <v>1.2219899999999999</v>
          </cell>
        </row>
        <row r="242">
          <cell r="A242" t="str">
            <v>T805DYR</v>
          </cell>
          <cell r="B242" t="str">
            <v>2026-02-23 19:00:07</v>
          </cell>
          <cell r="C242" t="str">
            <v>T1, Bwawani</v>
          </cell>
          <cell r="D242" t="str">
            <v>2026-02-23 21:14:11</v>
          </cell>
          <cell r="E242" t="str">
            <v>Old Morogoro Road, Visiga Ward</v>
          </cell>
          <cell r="F242" t="str">
            <v>2:08:57</v>
          </cell>
          <cell r="G242">
            <v>87.693296000000004</v>
          </cell>
        </row>
        <row r="243">
          <cell r="A243" t="str">
            <v>T805DYR</v>
          </cell>
          <cell r="B243" t="str">
            <v>2026-02-23 19:00:07</v>
          </cell>
          <cell r="C243" t="str">
            <v>T1, Bwawani</v>
          </cell>
          <cell r="D243" t="str">
            <v>2026-02-23 20:46:36</v>
          </cell>
          <cell r="E243" t="str">
            <v>T1, Ruvu Darajani</v>
          </cell>
          <cell r="F243" t="str">
            <v>1:46:29</v>
          </cell>
          <cell r="G243">
            <v>74.552970999999999</v>
          </cell>
        </row>
        <row r="244">
          <cell r="A244" t="str">
            <v>T805DYR</v>
          </cell>
          <cell r="B244" t="str">
            <v>2026-02-23 20:51:43</v>
          </cell>
          <cell r="C244" t="str">
            <v>T1, Ruvu Darajani</v>
          </cell>
          <cell r="D244" t="str">
            <v>2026-02-23 21:14:11</v>
          </cell>
          <cell r="E244" t="str">
            <v>Old Morogoro Road, Visiga Ward</v>
          </cell>
          <cell r="F244" t="str">
            <v>0:22:28</v>
          </cell>
          <cell r="G244">
            <v>13.140325000000001</v>
          </cell>
        </row>
        <row r="245">
          <cell r="A245" t="str">
            <v>T837EBY</v>
          </cell>
          <cell r="B245" t="str">
            <v>2026-02-23 19:52:45</v>
          </cell>
          <cell r="C245" t="str">
            <v>Tanzam Road, 2.27 km from Mbeya</v>
          </cell>
          <cell r="D245" t="str">
            <v>2026-02-23 19:56:28</v>
          </cell>
          <cell r="E245" t="str">
            <v>Regional Hospital Road, 2.41 km from Mbeya</v>
          </cell>
          <cell r="F245" t="str">
            <v>0:03:43</v>
          </cell>
          <cell r="G245">
            <v>0.20749300000000001</v>
          </cell>
        </row>
        <row r="246">
          <cell r="A246" t="str">
            <v>T837EBY</v>
          </cell>
          <cell r="B246" t="str">
            <v>2026-02-23 19:52:45</v>
          </cell>
          <cell r="C246" t="str">
            <v>Tanzam Road, 2.27 km from Mbeya</v>
          </cell>
          <cell r="D246" t="str">
            <v>2026-02-23 19:56:28</v>
          </cell>
          <cell r="E246" t="str">
            <v>Regional Hospital Road, 2.41 km from Mbeya</v>
          </cell>
          <cell r="F246" t="str">
            <v>0:03:43</v>
          </cell>
          <cell r="G246">
            <v>0.20749300000000001</v>
          </cell>
        </row>
        <row r="247">
          <cell r="A247" t="str">
            <v>T842EBY</v>
          </cell>
          <cell r="B247" t="str">
            <v>2026-02-23 00:53:56</v>
          </cell>
          <cell r="C247" t="str">
            <v>DP WORLD</v>
          </cell>
          <cell r="D247" t="str">
            <v>2026-02-23 22:09:02</v>
          </cell>
          <cell r="E247" t="str">
            <v>DP WORLD</v>
          </cell>
          <cell r="F247" t="str">
            <v>1:51:44</v>
          </cell>
          <cell r="G247">
            <v>22.620232000000001</v>
          </cell>
        </row>
        <row r="248">
          <cell r="A248" t="str">
            <v>T842EBY</v>
          </cell>
          <cell r="B248" t="str">
            <v>2026-02-23 00:53:56</v>
          </cell>
          <cell r="C248" t="str">
            <v>DP WORLD</v>
          </cell>
          <cell r="D248" t="str">
            <v>2026-02-23 01:02:09</v>
          </cell>
          <cell r="E248" t="str">
            <v>DP WORLD</v>
          </cell>
          <cell r="F248" t="str">
            <v>0:08:13</v>
          </cell>
          <cell r="G248">
            <v>0.34829100000000002</v>
          </cell>
        </row>
        <row r="249">
          <cell r="A249" t="str">
            <v>T842EBY</v>
          </cell>
          <cell r="B249" t="str">
            <v>2026-02-23 01:45:23</v>
          </cell>
          <cell r="C249" t="str">
            <v>DP WORLD</v>
          </cell>
          <cell r="D249" t="str">
            <v>2026-02-23 01:51:10</v>
          </cell>
          <cell r="E249" t="str">
            <v>DP WORLD</v>
          </cell>
          <cell r="F249" t="str">
            <v>0:05:47</v>
          </cell>
          <cell r="G249">
            <v>0.22287399999999999</v>
          </cell>
        </row>
        <row r="250">
          <cell r="A250" t="str">
            <v>T842EBY</v>
          </cell>
          <cell r="B250" t="str">
            <v>2026-02-23 01:56:53</v>
          </cell>
          <cell r="C250" t="str">
            <v>DP WORLD</v>
          </cell>
          <cell r="D250" t="str">
            <v>2026-02-23 02:33:50</v>
          </cell>
          <cell r="E250" t="str">
            <v>MBAGALA YARD</v>
          </cell>
          <cell r="F250" t="str">
            <v>0:36:57</v>
          </cell>
          <cell r="G250">
            <v>11.459311</v>
          </cell>
        </row>
        <row r="251">
          <cell r="A251" t="str">
            <v>T842EBY</v>
          </cell>
          <cell r="B251" t="str">
            <v>2026-02-23 02:40:52</v>
          </cell>
          <cell r="C251" t="str">
            <v>MBAGALA YARD</v>
          </cell>
          <cell r="D251" t="str">
            <v>2026-02-23 03:05:14</v>
          </cell>
          <cell r="E251" t="str">
            <v>GL KURASINI YARD</v>
          </cell>
          <cell r="F251" t="str">
            <v>0:24:22</v>
          </cell>
          <cell r="G251">
            <v>9.3213010000000001</v>
          </cell>
        </row>
        <row r="252">
          <cell r="A252" t="str">
            <v>T842EBY</v>
          </cell>
          <cell r="B252" t="str">
            <v>2026-02-23 03:10:44</v>
          </cell>
          <cell r="C252" t="str">
            <v>GL KURASINI YARD</v>
          </cell>
          <cell r="D252" t="str">
            <v>2026-02-23 03:16:02</v>
          </cell>
          <cell r="E252" t="str">
            <v>GL KURASINI YARD</v>
          </cell>
          <cell r="F252" t="str">
            <v>0:05:18</v>
          </cell>
          <cell r="G252">
            <v>0.28542000000000001</v>
          </cell>
        </row>
        <row r="253">
          <cell r="A253" t="str">
            <v>T842EBY</v>
          </cell>
          <cell r="B253" t="str">
            <v>2026-02-23 20:44:43</v>
          </cell>
          <cell r="C253" t="str">
            <v>DP WORLD</v>
          </cell>
          <cell r="D253" t="str">
            <v>2026-02-23 21:07:06</v>
          </cell>
          <cell r="E253" t="str">
            <v>DP WORLD</v>
          </cell>
          <cell r="F253" t="str">
            <v>0:22:23</v>
          </cell>
          <cell r="G253">
            <v>0.65459400000000001</v>
          </cell>
        </row>
        <row r="254">
          <cell r="A254" t="str">
            <v>T842EBY</v>
          </cell>
          <cell r="B254" t="str">
            <v>2026-02-23 22:00:18</v>
          </cell>
          <cell r="C254" t="str">
            <v>DP WORLD</v>
          </cell>
          <cell r="D254" t="str">
            <v>2026-02-23 22:09:02</v>
          </cell>
          <cell r="E254" t="str">
            <v>DP WORLD</v>
          </cell>
          <cell r="F254" t="str">
            <v>0:08:44</v>
          </cell>
          <cell r="G254">
            <v>0.32844000000000001</v>
          </cell>
        </row>
        <row r="255">
          <cell r="A255" t="str">
            <v>T867EBY</v>
          </cell>
          <cell r="B255" t="str">
            <v>2026-02-23 00:29:59</v>
          </cell>
          <cell r="C255" t="str">
            <v>DAR ES SALAAM</v>
          </cell>
          <cell r="D255" t="str">
            <v>2026-02-23 21:22:13</v>
          </cell>
          <cell r="E255" t="str">
            <v>R708, Dar Es Salaam</v>
          </cell>
          <cell r="F255" t="str">
            <v>1:45:19</v>
          </cell>
          <cell r="G255">
            <v>40.470716000000003</v>
          </cell>
        </row>
        <row r="256">
          <cell r="A256" t="str">
            <v>T867EBY</v>
          </cell>
          <cell r="B256" t="str">
            <v>2026-02-23 00:29:59</v>
          </cell>
          <cell r="C256" t="str">
            <v>DAR ES SALAAM</v>
          </cell>
          <cell r="D256" t="str">
            <v>2026-02-23 00:38:35</v>
          </cell>
          <cell r="E256" t="str">
            <v>GL KURASINI YARD</v>
          </cell>
          <cell r="F256" t="str">
            <v>0:08:36</v>
          </cell>
          <cell r="G256">
            <v>1.430072</v>
          </cell>
        </row>
        <row r="257">
          <cell r="A257" t="str">
            <v>T867EBY</v>
          </cell>
          <cell r="B257" t="str">
            <v>2026-02-23 01:04:45</v>
          </cell>
          <cell r="C257" t="str">
            <v>GL KURASINI YARD</v>
          </cell>
          <cell r="D257" t="str">
            <v>2026-02-23 01:07:19</v>
          </cell>
          <cell r="E257" t="str">
            <v>GL KURASINI YARD</v>
          </cell>
          <cell r="F257" t="str">
            <v>0:02:34</v>
          </cell>
          <cell r="G257">
            <v>0.13030800000000001</v>
          </cell>
        </row>
        <row r="258">
          <cell r="A258" t="str">
            <v>T867EBY</v>
          </cell>
          <cell r="B258" t="str">
            <v>2026-02-23 19:39:08</v>
          </cell>
          <cell r="C258" t="str">
            <v>GL KURASINI YARD</v>
          </cell>
          <cell r="D258" t="str">
            <v>2026-02-23 20:29:14</v>
          </cell>
          <cell r="E258" t="str">
            <v>DAR ES SALAAM</v>
          </cell>
          <cell r="F258" t="str">
            <v>0:50:06</v>
          </cell>
          <cell r="G258">
            <v>17.660177999999998</v>
          </cell>
        </row>
        <row r="259">
          <cell r="A259" t="str">
            <v>T867EBY</v>
          </cell>
          <cell r="B259" t="str">
            <v>2026-02-23 20:38:10</v>
          </cell>
          <cell r="C259" t="str">
            <v>DAR ES SALAAM</v>
          </cell>
          <cell r="D259" t="str">
            <v>2026-02-23 21:22:13</v>
          </cell>
          <cell r="E259" t="str">
            <v>R708, Dar Es Salaam</v>
          </cell>
          <cell r="F259" t="str">
            <v>0:44:03</v>
          </cell>
          <cell r="G259">
            <v>21.250157000000002</v>
          </cell>
        </row>
        <row r="260">
          <cell r="A260" t="str">
            <v>T871EBW</v>
          </cell>
          <cell r="B260" t="str">
            <v>2026-02-23 18:58:27</v>
          </cell>
          <cell r="C260" t="str">
            <v>KAPIRI DANGER ZONE</v>
          </cell>
          <cell r="D260" t="str">
            <v>2026-02-23 20:21:28</v>
          </cell>
          <cell r="E260" t="str">
            <v>ZRA KAPIRI</v>
          </cell>
          <cell r="F260" t="str">
            <v>1:23:01</v>
          </cell>
          <cell r="G260">
            <v>27.660993000000001</v>
          </cell>
        </row>
        <row r="261">
          <cell r="A261" t="str">
            <v>T871EBW</v>
          </cell>
          <cell r="B261" t="str">
            <v>2026-02-23 18:58:27</v>
          </cell>
          <cell r="C261" t="str">
            <v>KAPIRI DANGER ZONE</v>
          </cell>
          <cell r="D261" t="str">
            <v>2026-02-23 20:21:28</v>
          </cell>
          <cell r="E261" t="str">
            <v>ZRA KAPIRI</v>
          </cell>
          <cell r="F261" t="str">
            <v>1:23:01</v>
          </cell>
          <cell r="G261">
            <v>27.660993000000001</v>
          </cell>
        </row>
        <row r="262">
          <cell r="A262" t="str">
            <v>T871EBY</v>
          </cell>
          <cell r="B262" t="str">
            <v>2026-02-23 05:19:22</v>
          </cell>
          <cell r="C262" t="str">
            <v>T1, Ruvu Darajani</v>
          </cell>
          <cell r="D262" t="str">
            <v>2026-02-23 06:45:38</v>
          </cell>
          <cell r="E262" t="str">
            <v>Dar Es Salaam, Morogoro Main Road</v>
          </cell>
          <cell r="F262" t="str">
            <v>1:18:03</v>
          </cell>
          <cell r="G262">
            <v>42.759227000000003</v>
          </cell>
        </row>
        <row r="263">
          <cell r="A263" t="str">
            <v>T871EBY</v>
          </cell>
          <cell r="B263" t="str">
            <v>2026-02-23 05:19:22</v>
          </cell>
          <cell r="C263" t="str">
            <v>T1, Ruvu Darajani</v>
          </cell>
          <cell r="D263" t="str">
            <v>2026-02-23 05:51:40</v>
          </cell>
          <cell r="E263" t="str">
            <v>Morogoro Main Road, 1.25 km from Karabaka</v>
          </cell>
          <cell r="F263" t="str">
            <v>0:32:18</v>
          </cell>
          <cell r="G263">
            <v>18.986602000000001</v>
          </cell>
        </row>
        <row r="264">
          <cell r="A264" t="str">
            <v>T871EBY</v>
          </cell>
          <cell r="B264" t="str">
            <v>2026-02-23 05:59:53</v>
          </cell>
          <cell r="C264" t="str">
            <v>Morogoro Main Road, 1.25 km from Karabaka</v>
          </cell>
          <cell r="D264" t="str">
            <v>2026-02-23 06:45:38</v>
          </cell>
          <cell r="E264" t="str">
            <v>Dar Es Salaam, Morogoro Main Road</v>
          </cell>
          <cell r="F264" t="str">
            <v>0:45:45</v>
          </cell>
          <cell r="G264">
            <v>23.772625000000001</v>
          </cell>
        </row>
        <row r="265">
          <cell r="A265" t="str">
            <v>T875EBY</v>
          </cell>
          <cell r="B265" t="str">
            <v>2026-02-23 18:30:47</v>
          </cell>
          <cell r="C265" t="str">
            <v>MOKAMBO ZM SIDE</v>
          </cell>
          <cell r="D265" t="str">
            <v>2026-02-23 19:17:54</v>
          </cell>
          <cell r="E265" t="str">
            <v>MOKAMBO ZM SIDE</v>
          </cell>
          <cell r="F265" t="str">
            <v>0:19:50</v>
          </cell>
          <cell r="G265">
            <v>1.0108729999999999</v>
          </cell>
        </row>
        <row r="266">
          <cell r="A266" t="str">
            <v>T875EBY</v>
          </cell>
          <cell r="B266" t="str">
            <v>2026-02-23 18:30:47</v>
          </cell>
          <cell r="C266" t="str">
            <v>MOKAMBO ZM SIDE</v>
          </cell>
          <cell r="D266" t="str">
            <v>2026-02-23 18:41:47</v>
          </cell>
          <cell r="E266" t="str">
            <v>MOKAMBO ZM SIDE</v>
          </cell>
          <cell r="F266" t="str">
            <v>0:11:00</v>
          </cell>
          <cell r="G266">
            <v>0.45334400000000002</v>
          </cell>
        </row>
        <row r="267">
          <cell r="A267" t="str">
            <v>T875EBY</v>
          </cell>
          <cell r="B267" t="str">
            <v>2026-02-23 18:58:50</v>
          </cell>
          <cell r="C267" t="str">
            <v>MOKAMBO ZM SIDE</v>
          </cell>
          <cell r="D267" t="str">
            <v>2026-02-23 19:04:25</v>
          </cell>
          <cell r="E267" t="str">
            <v>MOKAMBO ZM SIDE</v>
          </cell>
          <cell r="F267" t="str">
            <v>0:05:35</v>
          </cell>
          <cell r="G267">
            <v>0.35685600000000001</v>
          </cell>
        </row>
        <row r="268">
          <cell r="A268" t="str">
            <v>T875EBY</v>
          </cell>
          <cell r="B268" t="str">
            <v>2026-02-23 19:14:39</v>
          </cell>
          <cell r="C268" t="str">
            <v>MOKAMBO ZM SIDE</v>
          </cell>
          <cell r="D268" t="str">
            <v>2026-02-23 19:17:54</v>
          </cell>
          <cell r="E268" t="str">
            <v>MOKAMBO ZM SIDE</v>
          </cell>
          <cell r="F268" t="str">
            <v>0:03:15</v>
          </cell>
          <cell r="G268">
            <v>0.20067299999999999</v>
          </cell>
        </row>
        <row r="269">
          <cell r="A269" t="str">
            <v>T878EBW</v>
          </cell>
          <cell r="B269" t="str">
            <v>2026-02-23 18:32:43</v>
          </cell>
          <cell r="C269" t="str">
            <v>Morogoro, T1</v>
          </cell>
          <cell r="D269" t="str">
            <v>2026-02-23 19:47:16</v>
          </cell>
          <cell r="E269" t="str">
            <v>T1, Bwawani</v>
          </cell>
          <cell r="F269" t="str">
            <v>1:14:33</v>
          </cell>
          <cell r="G269">
            <v>48.980452999999997</v>
          </cell>
        </row>
        <row r="270">
          <cell r="A270" t="str">
            <v>T878EBW</v>
          </cell>
          <cell r="B270" t="str">
            <v>2026-02-23 18:32:43</v>
          </cell>
          <cell r="C270" t="str">
            <v>Morogoro, T1</v>
          </cell>
          <cell r="D270" t="str">
            <v>2026-02-23 19:47:16</v>
          </cell>
          <cell r="E270" t="str">
            <v>T1, Bwawani</v>
          </cell>
          <cell r="F270" t="str">
            <v>1:14:33</v>
          </cell>
          <cell r="G270">
            <v>48.980452999999997</v>
          </cell>
        </row>
        <row r="271">
          <cell r="A271" t="str">
            <v>T887EBW</v>
          </cell>
          <cell r="B271" t="str">
            <v>2026-02-23 19:02:54</v>
          </cell>
          <cell r="C271" t="str">
            <v>COMMUS SAS - KOLWEZI MINE</v>
          </cell>
          <cell r="D271" t="str">
            <v>2026-02-23 19:09:07</v>
          </cell>
          <cell r="E271" t="str">
            <v>COMMUS SAS - KOLWEZI MINE</v>
          </cell>
          <cell r="F271" t="str">
            <v>0:06:13</v>
          </cell>
          <cell r="G271">
            <v>0.21359900000000001</v>
          </cell>
        </row>
        <row r="272">
          <cell r="A272" t="str">
            <v>T887EBW</v>
          </cell>
          <cell r="B272" t="str">
            <v>2026-02-23 19:02:54</v>
          </cell>
          <cell r="C272" t="str">
            <v>COMMUS SAS - KOLWEZI MINE</v>
          </cell>
          <cell r="D272" t="str">
            <v>2026-02-23 19:09:07</v>
          </cell>
          <cell r="E272" t="str">
            <v>COMMUS SAS - KOLWEZI MINE</v>
          </cell>
          <cell r="F272" t="str">
            <v>0:06:13</v>
          </cell>
          <cell r="G272">
            <v>0.21359900000000001</v>
          </cell>
        </row>
        <row r="273">
          <cell r="A273" t="str">
            <v>T904EBW</v>
          </cell>
          <cell r="B273" t="str">
            <v>2026-02-23 18:53:06</v>
          </cell>
          <cell r="C273" t="str">
            <v>Morogoro Main Road, 1.46 km from Karabaka</v>
          </cell>
          <cell r="D273" t="str">
            <v>2026-02-23 18:56:40</v>
          </cell>
          <cell r="E273" t="str">
            <v>Morogoro Main Road, 1.31 km from Karabaka</v>
          </cell>
          <cell r="F273" t="str">
            <v>0:03:34</v>
          </cell>
          <cell r="G273">
            <v>0.162523</v>
          </cell>
        </row>
        <row r="274">
          <cell r="A274" t="str">
            <v>T904EBW</v>
          </cell>
          <cell r="B274" t="str">
            <v>2026-02-23 18:53:06</v>
          </cell>
          <cell r="C274" t="str">
            <v>Morogoro Main Road, 1.46 km from Karabaka</v>
          </cell>
          <cell r="D274" t="str">
            <v>2026-02-23 18:56:40</v>
          </cell>
          <cell r="E274" t="str">
            <v>Morogoro Main Road, 1.31 km from Karabaka</v>
          </cell>
          <cell r="F274" t="str">
            <v>0:03:34</v>
          </cell>
          <cell r="G274">
            <v>0.162523</v>
          </cell>
        </row>
        <row r="275">
          <cell r="A275" t="str">
            <v>T905EBW</v>
          </cell>
          <cell r="B275" t="str">
            <v>2026-02-23 19:15:22</v>
          </cell>
          <cell r="C275" t="str">
            <v>KAPIRI DANGER ZONE</v>
          </cell>
          <cell r="D275" t="str">
            <v>2026-02-23 20:02:23</v>
          </cell>
          <cell r="E275" t="str">
            <v>ZRA KAPIRI</v>
          </cell>
          <cell r="F275" t="str">
            <v>0:41:16</v>
          </cell>
          <cell r="G275">
            <v>2.9046240000000001</v>
          </cell>
        </row>
        <row r="276">
          <cell r="A276" t="str">
            <v>T905EBW</v>
          </cell>
          <cell r="B276" t="str">
            <v>2026-02-23 19:15:22</v>
          </cell>
          <cell r="C276" t="str">
            <v>KAPIRI DANGER ZONE</v>
          </cell>
          <cell r="D276" t="str">
            <v>2026-02-23 19:31:29</v>
          </cell>
          <cell r="E276" t="str">
            <v>ZRA KAPIRI</v>
          </cell>
          <cell r="F276" t="str">
            <v>0:16:07</v>
          </cell>
          <cell r="G276">
            <v>0.71375299999999997</v>
          </cell>
        </row>
        <row r="277">
          <cell r="A277" t="str">
            <v>T905EBW</v>
          </cell>
          <cell r="B277" t="str">
            <v>2026-02-23 19:37:14</v>
          </cell>
          <cell r="C277" t="str">
            <v>ZRA KAPIRI</v>
          </cell>
          <cell r="D277" t="str">
            <v>2026-02-23 20:02:23</v>
          </cell>
          <cell r="E277" t="str">
            <v>ZRA KAPIRI</v>
          </cell>
          <cell r="F277" t="str">
            <v>0:25:09</v>
          </cell>
          <cell r="G277">
            <v>2.190871</v>
          </cell>
        </row>
        <row r="278">
          <cell r="A278" t="str">
            <v>T929EBW</v>
          </cell>
          <cell r="B278" t="str">
            <v>2026-02-23 05:46:39</v>
          </cell>
          <cell r="C278" t="str">
            <v>MAKAMBAKO</v>
          </cell>
          <cell r="D278" t="str">
            <v>2026-02-23 09:24:31</v>
          </cell>
          <cell r="E278" t="str">
            <v>Tanzania To Zambia Road, 2.88 km from Ugwachanya</v>
          </cell>
          <cell r="F278" t="str">
            <v>3:37:52</v>
          </cell>
          <cell r="G278">
            <v>141.812994</v>
          </cell>
        </row>
        <row r="279">
          <cell r="A279" t="str">
            <v>T929EBW</v>
          </cell>
          <cell r="B279" t="str">
            <v>2026-02-23 05:46:39</v>
          </cell>
          <cell r="C279" t="str">
            <v>MAKAMBAKO</v>
          </cell>
          <cell r="D279" t="str">
            <v>2026-02-23 09:24:31</v>
          </cell>
          <cell r="E279" t="str">
            <v>Tanzania To Zambia Road, 2.88 km from Ugwachanya</v>
          </cell>
          <cell r="F279" t="str">
            <v>3:37:52</v>
          </cell>
          <cell r="G279">
            <v>141.812994</v>
          </cell>
        </row>
        <row r="280">
          <cell r="A280" t="str">
            <v>T933EBW</v>
          </cell>
          <cell r="B280" t="str">
            <v>2026-02-23 19:29:41</v>
          </cell>
          <cell r="C280" t="str">
            <v>DIOMU SPEED AREA, ZAMBIA</v>
          </cell>
          <cell r="D280" t="str">
            <v>2026-02-23 19:34:08</v>
          </cell>
          <cell r="E280" t="str">
            <v>DIOMU SPEED AREA, ZAMBIA</v>
          </cell>
          <cell r="F280" t="str">
            <v>0:04:27</v>
          </cell>
          <cell r="G280">
            <v>0.47045199999999998</v>
          </cell>
        </row>
        <row r="281">
          <cell r="A281" t="str">
            <v>T933EBW</v>
          </cell>
          <cell r="B281" t="str">
            <v>2026-02-23 19:29:41</v>
          </cell>
          <cell r="C281" t="str">
            <v>DIOMU SPEED AREA, ZAMBIA</v>
          </cell>
          <cell r="D281" t="str">
            <v>2026-02-23 19:34:08</v>
          </cell>
          <cell r="E281" t="str">
            <v>DIOMU SPEED AREA, ZAMBIA</v>
          </cell>
          <cell r="F281" t="str">
            <v>0:04:27</v>
          </cell>
          <cell r="G281">
            <v>0.47045199999999998</v>
          </cell>
        </row>
        <row r="282">
          <cell r="A282" t="str">
            <v>T943DSX</v>
          </cell>
          <cell r="B282" t="str">
            <v>2026-02-23 19:04:43</v>
          </cell>
          <cell r="C282" t="str">
            <v>MOKAMBO DRC SIDE</v>
          </cell>
          <cell r="D282" t="str">
            <v>2026-02-23 21:26:47</v>
          </cell>
          <cell r="E282" t="str">
            <v>MOKAMBO DRC SIDE</v>
          </cell>
          <cell r="F282" t="str">
            <v>0:22:29</v>
          </cell>
          <cell r="G282">
            <v>1.33029</v>
          </cell>
        </row>
        <row r="283">
          <cell r="A283" t="str">
            <v>T943DSX</v>
          </cell>
          <cell r="B283" t="str">
            <v>2026-02-23 19:04:43</v>
          </cell>
          <cell r="C283" t="str">
            <v>MOKAMBO DRC SIDE</v>
          </cell>
          <cell r="D283" t="str">
            <v>2026-02-23 19:07:28</v>
          </cell>
          <cell r="E283" t="str">
            <v>MOKAMBO DRC SIDE</v>
          </cell>
          <cell r="F283" t="str">
            <v>0:02:45</v>
          </cell>
          <cell r="G283">
            <v>0.14095199999999999</v>
          </cell>
        </row>
        <row r="284">
          <cell r="A284" t="str">
            <v>T943DSX</v>
          </cell>
          <cell r="B284" t="str">
            <v>2026-02-23 20:35:39</v>
          </cell>
          <cell r="C284" t="str">
            <v>MOKAMBO DRC SIDE</v>
          </cell>
          <cell r="D284" t="str">
            <v>2026-02-23 20:40:55</v>
          </cell>
          <cell r="E284" t="str">
            <v>MOKAMBO DRC SIDE</v>
          </cell>
          <cell r="F284" t="str">
            <v>0:05:16</v>
          </cell>
          <cell r="G284">
            <v>0.21160100000000001</v>
          </cell>
        </row>
        <row r="285">
          <cell r="A285" t="str">
            <v>T943DSX</v>
          </cell>
          <cell r="B285" t="str">
            <v>2026-02-23 21:12:19</v>
          </cell>
          <cell r="C285" t="str">
            <v>MOKAMBO DRC SIDE</v>
          </cell>
          <cell r="D285" t="str">
            <v>2026-02-23 21:26:47</v>
          </cell>
          <cell r="E285" t="str">
            <v>MOKAMBO DRC SIDE</v>
          </cell>
          <cell r="F285" t="str">
            <v>0:14:28</v>
          </cell>
          <cell r="G285">
            <v>0.97773600000000005</v>
          </cell>
        </row>
        <row r="286">
          <cell r="A286" t="str">
            <v>T952DSX</v>
          </cell>
          <cell r="B286" t="str">
            <v>2026-02-23 18:33:51</v>
          </cell>
          <cell r="C286" t="str">
            <v>TUNDUMA BORDER TZ SIDE</v>
          </cell>
          <cell r="D286" t="str">
            <v>2026-02-23 18:41:29</v>
          </cell>
          <cell r="E286" t="str">
            <v>TUNDUMA BORDER TZ SIDE</v>
          </cell>
          <cell r="F286" t="str">
            <v>0:07:38</v>
          </cell>
          <cell r="G286">
            <v>0.143566</v>
          </cell>
        </row>
        <row r="287">
          <cell r="A287" t="str">
            <v>T952DSX</v>
          </cell>
          <cell r="B287" t="str">
            <v>2026-02-23 18:33:51</v>
          </cell>
          <cell r="C287" t="str">
            <v>TUNDUMA BORDER TZ SIDE</v>
          </cell>
          <cell r="D287" t="str">
            <v>2026-02-23 18:41:29</v>
          </cell>
          <cell r="E287" t="str">
            <v>TUNDUMA BORDER TZ SIDE</v>
          </cell>
          <cell r="F287" t="str">
            <v>0:07:38</v>
          </cell>
          <cell r="G287">
            <v>0.143566</v>
          </cell>
        </row>
        <row r="288">
          <cell r="A288" t="str">
            <v>T954EBW</v>
          </cell>
          <cell r="B288" t="str">
            <v>2026-02-23 22:04:29</v>
          </cell>
          <cell r="C288" t="str">
            <v>Regional Hospital Road, 2.40 km from Mbeya</v>
          </cell>
          <cell r="D288" t="str">
            <v>2026-02-23 22:20:20</v>
          </cell>
          <cell r="E288" t="str">
            <v>Tanzam Road, 2.71 km from Mbeya</v>
          </cell>
          <cell r="F288" t="str">
            <v>0:15:51</v>
          </cell>
          <cell r="G288">
            <v>0.48014299999999999</v>
          </cell>
        </row>
        <row r="289">
          <cell r="A289" t="str">
            <v>T954EBW</v>
          </cell>
          <cell r="B289" t="str">
            <v>2026-02-23 22:04:29</v>
          </cell>
          <cell r="C289" t="str">
            <v>Regional Hospital Road, 2.40 km from Mbeya</v>
          </cell>
          <cell r="D289" t="str">
            <v>2026-02-23 22:20:20</v>
          </cell>
          <cell r="E289" t="str">
            <v>Tanzam Road, 2.71 km from Mbeya</v>
          </cell>
          <cell r="F289" t="str">
            <v>0:15:51</v>
          </cell>
          <cell r="G289">
            <v>0.48014299999999999</v>
          </cell>
        </row>
        <row r="290">
          <cell r="A290" t="str">
            <v>T960DSX</v>
          </cell>
          <cell r="B290" t="str">
            <v>2026-02-23 18:41:35</v>
          </cell>
          <cell r="C290" t="str">
            <v>TENKE FUNGURUME MINE DRC</v>
          </cell>
          <cell r="D290" t="str">
            <v>2026-02-23 18:56:41</v>
          </cell>
          <cell r="E290" t="str">
            <v>TENKE FUNGURUME MINE DRC</v>
          </cell>
          <cell r="F290" t="str">
            <v>0:15:06</v>
          </cell>
          <cell r="G290">
            <v>0.46438200000000002</v>
          </cell>
        </row>
        <row r="291">
          <cell r="A291" t="str">
            <v>T960DSX</v>
          </cell>
          <cell r="B291" t="str">
            <v>2026-02-23 18:41:35</v>
          </cell>
          <cell r="C291" t="str">
            <v>TENKE FUNGURUME MINE DRC</v>
          </cell>
          <cell r="D291" t="str">
            <v>2026-02-23 18:56:41</v>
          </cell>
          <cell r="E291" t="str">
            <v>TENKE FUNGURUME MINE DRC</v>
          </cell>
          <cell r="F291" t="str">
            <v>0:15:06</v>
          </cell>
          <cell r="G291">
            <v>0.46438200000000002</v>
          </cell>
        </row>
        <row r="292">
          <cell r="A292" t="str">
            <v>T977EBW</v>
          </cell>
          <cell r="B292" t="str">
            <v>2026-02-23 20:32:38</v>
          </cell>
          <cell r="C292" t="str">
            <v>DCG - KISARAWE</v>
          </cell>
          <cell r="D292" t="str">
            <v>2026-02-23 20:33:40</v>
          </cell>
          <cell r="E292" t="str">
            <v>DCG - KISARAWE</v>
          </cell>
          <cell r="F292" t="str">
            <v>0:01:02</v>
          </cell>
          <cell r="G292">
            <v>0.118494</v>
          </cell>
        </row>
        <row r="293">
          <cell r="A293" t="str">
            <v>T977EBW</v>
          </cell>
          <cell r="B293" t="str">
            <v>2026-02-23 20:32:38</v>
          </cell>
          <cell r="C293" t="str">
            <v>DCG - KISARAWE</v>
          </cell>
          <cell r="D293" t="str">
            <v>2026-02-23 20:33:40</v>
          </cell>
          <cell r="E293" t="str">
            <v>DCG - KISARAWE</v>
          </cell>
          <cell r="F293" t="str">
            <v>0:01:02</v>
          </cell>
          <cell r="G293">
            <v>0.118494</v>
          </cell>
        </row>
        <row r="294">
          <cell r="A294" t="str">
            <v>T993EBW</v>
          </cell>
          <cell r="B294" t="str">
            <v>2026-02-23 20:45:42</v>
          </cell>
          <cell r="C294" t="str">
            <v>WENDA WBG</v>
          </cell>
          <cell r="D294" t="str">
            <v>2026-02-23 21:45:29</v>
          </cell>
          <cell r="E294" t="str">
            <v>Dar - Mbeya Highway, Ndiuka</v>
          </cell>
          <cell r="F294" t="str">
            <v>0:32:45</v>
          </cell>
          <cell r="G294">
            <v>20.174108</v>
          </cell>
        </row>
        <row r="295">
          <cell r="A295" t="str">
            <v>T993EBW</v>
          </cell>
          <cell r="B295" t="str">
            <v>2026-02-23 20:45:42</v>
          </cell>
          <cell r="C295" t="str">
            <v>WENDA WBG</v>
          </cell>
          <cell r="D295" t="str">
            <v>2026-02-23 20:51:58</v>
          </cell>
          <cell r="E295" t="str">
            <v>Tanzania To Zambia Road, Wenda</v>
          </cell>
          <cell r="F295" t="str">
            <v>0:06:16</v>
          </cell>
          <cell r="G295">
            <v>1.221671</v>
          </cell>
        </row>
        <row r="296">
          <cell r="A296" t="str">
            <v>T993EBW</v>
          </cell>
          <cell r="B296" t="str">
            <v>2026-02-23 21:19:00</v>
          </cell>
          <cell r="C296" t="str">
            <v>Tanzania To Zambia Road, Wenda</v>
          </cell>
          <cell r="D296" t="str">
            <v>2026-02-23 21:45:29</v>
          </cell>
          <cell r="E296" t="str">
            <v>Dar - Mbeya Highway, Ndiuka</v>
          </cell>
          <cell r="F296" t="str">
            <v>0:26:29</v>
          </cell>
          <cell r="G296">
            <v>18.952437</v>
          </cell>
        </row>
        <row r="297">
          <cell r="A297" t="str">
            <v>Total</v>
          </cell>
          <cell r="B297" t="str">
            <v>-----</v>
          </cell>
          <cell r="C297" t="str">
            <v>-----</v>
          </cell>
          <cell r="D297" t="str">
            <v>-----</v>
          </cell>
          <cell r="E297" t="str">
            <v>-----</v>
          </cell>
          <cell r="F297" t="str">
            <v>78:42:14</v>
          </cell>
          <cell r="G297">
            <v>1711.058366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ksecurity" refreshedDate="46083.273889004631" createdVersion="8" refreshedVersion="8" minRefreshableVersion="3" recordCount="1160" xr:uid="{00000000-000A-0000-FFFF-FFFF03000000}">
  <cacheSource type="worksheet">
    <worksheetSource name="Table3"/>
  </cacheSource>
  <cacheFields count="8">
    <cacheField name="SN" numFmtId="0">
      <sharedItems containsSemiMixedTypes="0" containsString="0" containsNumber="1" containsInteger="1" minValue="1" maxValue="1160"/>
    </cacheField>
    <cacheField name="TRUCK NO " numFmtId="0">
      <sharedItems count="539">
        <s v="T129EBX"/>
        <s v="T150EBX"/>
        <s v="T166EBX"/>
        <s v="T172EBX"/>
        <s v="T220EBX"/>
        <s v="T227EBX"/>
        <s v="T250EBX"/>
        <s v="T263DDJ"/>
        <s v="T267DDJ"/>
        <s v="T301EBX"/>
        <s v="T314DDJ"/>
        <s v="T325ECN"/>
        <s v="T327EBX"/>
        <s v="T331EBX"/>
        <s v="T334EBX"/>
        <s v="T349DHG"/>
        <s v="T405DHG"/>
        <s v="T407DHE"/>
        <s v="T410DHE"/>
        <s v="T413DHG"/>
        <s v="T417DHE"/>
        <s v="T420DHE"/>
        <s v="T425DHG"/>
        <s v="T427DHG"/>
        <s v="T435DHG"/>
        <s v="T439DHG"/>
        <s v="T491DYR"/>
        <s v="T494DYR"/>
        <s v="T499DYR"/>
        <s v="T512DTR"/>
        <s v="T512EBY"/>
        <s v="T514DTR"/>
        <s v="T515EBY"/>
        <s v="T516EBY"/>
        <s v="T527EBY"/>
        <s v="T566DYR"/>
        <s v="T571DYR"/>
        <s v="T572DEB"/>
        <s v="T572DYR"/>
        <s v="T575DYR"/>
        <s v="T579DTQ"/>
        <s v="T581DYR"/>
        <s v="T585DTQ"/>
        <s v="T595DTQ"/>
        <s v="T596DTQ"/>
        <s v="T645DHL"/>
        <s v="T660DTQ"/>
        <s v="T719DYR"/>
        <s v="T724DYR"/>
        <s v="T732DEB"/>
        <s v="T749DEB"/>
        <s v="T763EBW"/>
        <s v="T764EBW"/>
        <s v="T766DYR"/>
        <s v="T767DYR"/>
        <s v="T773EBW"/>
        <s v="T774DYR"/>
        <s v="T788DYR"/>
        <s v="T793EBW"/>
        <s v="T795DDS"/>
        <s v="T796DYR"/>
        <s v="T797DYR"/>
        <s v="T806DYR"/>
        <s v="T815DDS"/>
        <s v="T816EBW"/>
        <s v="T817DDS"/>
        <s v="T821EBW"/>
        <s v="T903EBW"/>
        <s v="T921EBW"/>
        <s v="T933EBW"/>
        <s v="T956DSX"/>
        <s v="T959DSX"/>
        <s v="T986EBW"/>
        <s v="T995EBW"/>
        <s v="T127EBX"/>
        <s v="T170EBX"/>
        <s v="T183EBX"/>
        <s v="T232EBX"/>
        <s v="T336EBX"/>
        <s v="T424DHG"/>
        <s v="T493DYR"/>
        <s v="T511EBY"/>
        <s v="T522EBY"/>
        <s v="T576DYR"/>
        <s v="T577DTQ"/>
        <s v="T584DYR"/>
        <s v="T589DTQ"/>
        <s v="T597DTQ"/>
        <s v="T661DTQ"/>
        <s v="T663DTQ"/>
        <s v="T684EBX"/>
        <s v="T704DYR"/>
        <s v="T711DEB"/>
        <s v="T728DYR"/>
        <s v="T747DEB"/>
        <s v="T792EBW"/>
        <s v="T869EBY"/>
        <s v="T907EBW"/>
        <s v="T261DDJ"/>
        <s v="T412DHG"/>
        <s v="T416DHG"/>
        <s v="T518EBY"/>
        <s v="T580DTQ"/>
        <s v="T586DYR"/>
        <s v="T588DYR"/>
        <s v="T600DTQ"/>
        <s v="T634DHL"/>
        <s v="T778DYR"/>
        <s v="T791DYR"/>
        <s v="T804DYR"/>
        <s v="T812EBW"/>
        <s v="T861EBY"/>
        <s v="T892EBW"/>
        <s v="T909EBW"/>
        <s v="T954DSX"/>
        <s v="T107EBX"/>
        <s v="T261EBX"/>
        <s v="T263EBX"/>
        <s v="T271EBY"/>
        <s v="T341DHG"/>
        <s v="T365DHG"/>
        <s v="T373DHG"/>
        <s v="T381ECN"/>
        <s v="T404ECN"/>
        <s v="T519EBY"/>
        <s v="T526EBY"/>
        <s v="T581DTQ"/>
        <s v="T603DTQ"/>
        <s v="T651DTQ"/>
        <s v="T652DTQ"/>
        <s v="T697DEB"/>
        <s v="T699EBX"/>
        <s v="T716EBX"/>
        <s v="T719EBX"/>
        <s v="T779EBW"/>
        <s v="T803EBW"/>
        <s v="T820DDS"/>
        <s v="T835EBY"/>
        <s v="T838EBY"/>
        <s v="T842EBY"/>
        <s v="T850EBY"/>
        <s v="T867EBY"/>
        <s v="T875EBY"/>
        <s v="T914EBW"/>
        <s v="T930EBW"/>
        <s v="T957DSX"/>
        <s v="T149EBX"/>
        <s v="T319EBY"/>
        <s v="T379ECN"/>
        <s v="T392ECN"/>
        <s v="T513EBY"/>
        <s v="T579DYR"/>
        <s v="T599DTQ"/>
        <s v="T728EBX"/>
        <s v="T793DYR"/>
        <s v="T795DYR"/>
        <s v="T858EBY"/>
        <s v="T868EBW"/>
        <s v="T947DSX"/>
        <s v="T952DSX"/>
        <s v="T964EBW"/>
        <s v="T104EBX"/>
        <s v="T105EBX"/>
        <s v="T153EBX"/>
        <s v="T165EBX"/>
        <s v="T256EBX"/>
        <s v="T272EBX"/>
        <s v="T318EBX"/>
        <s v="T318EBY"/>
        <s v="T335EBX"/>
        <s v="T335ECN"/>
        <s v="T337ECN"/>
        <s v="T338DHG"/>
        <s v="T388ECN"/>
        <s v="T402ECN"/>
        <s v="T403ECN"/>
        <s v="T411ECN"/>
        <s v="T431DHG"/>
        <s v="T508EBY"/>
        <s v="T510EBY"/>
        <s v="T569DYR"/>
        <s v="T583DYR"/>
        <s v="T598DTQ"/>
        <s v="T679ECP"/>
        <s v="T689DEB"/>
        <s v="T703EBX"/>
        <s v="T712DYR"/>
        <s v="T732DEC"/>
        <s v="T737DEB"/>
        <s v="T738EBX"/>
        <s v="T756EBX"/>
        <s v="T772DYR"/>
        <s v="T810EBW"/>
        <s v="T839EBY"/>
        <s v="T871EBW"/>
        <s v="T913EBW"/>
        <s v="T915EBW"/>
        <s v="T946EBW"/>
        <s v="T951DSX"/>
        <s v="T953DSX"/>
        <s v="T967EBW"/>
        <s v="T977EBW"/>
        <s v="T988EBW"/>
        <s v="T994EBW"/>
        <s v="T126EBX"/>
        <s v="T269EBX"/>
        <s v="T376ECN"/>
        <s v="T406DHG"/>
        <s v="T436DHG"/>
        <s v="T496DYR"/>
        <s v="T561DYR"/>
        <s v="T588DTQ"/>
        <s v="T638DHL"/>
        <s v="T643DHL"/>
        <s v="T677EBX"/>
        <s v="T688DEB"/>
        <s v="T714EBX"/>
        <s v="T727DYR"/>
        <s v="T764DYR"/>
        <s v="T767EBW"/>
        <s v="T941EBW"/>
        <s v="T190EBX"/>
        <s v="T278EBY"/>
        <s v="T315EBX"/>
        <s v="T343EBX"/>
        <s v="T521EBY"/>
        <s v="T744EBX"/>
        <s v="T758EBX"/>
        <s v="T762EBW"/>
        <s v="T768DYR"/>
        <s v="T798EBW"/>
        <s v="T849EBY"/>
        <s v="T873EBW"/>
        <s v="T876EBW"/>
        <s v="T899DYR"/>
        <s v="T905EBW"/>
        <s v="T939EBW"/>
        <s v="T955EBW"/>
        <s v="T989EBW"/>
        <s v="T168EBX"/>
        <s v="T241EBX"/>
        <s v="T259EBY"/>
        <s v="T342DHG"/>
        <s v="T396ECN"/>
        <s v="T441DHG"/>
        <s v="T497DYR"/>
        <s v="T498DYR"/>
        <s v="T509EBY"/>
        <s v="T638DEB"/>
        <s v="T704EBX"/>
        <s v="T708EBX"/>
        <s v="T717DEB"/>
        <s v="T742EBX"/>
        <s v="T791EBW"/>
        <s v="T798DYR"/>
        <s v="T876EBY"/>
        <s v="T887EBW"/>
        <s v="T975EBW"/>
        <s v="T144EBX"/>
        <s v="T186EBX"/>
        <s v="T341EBX"/>
        <s v="T403DHT"/>
        <s v="T419DHE"/>
        <s v="T568DYR"/>
        <s v="T591DTQ"/>
        <s v="T633DTQ"/>
        <s v="T650DTQ"/>
        <s v="T748EBX"/>
        <s v="T768EBW"/>
        <s v="T781EBW"/>
        <s v="T817EBW"/>
        <s v="T844EBY"/>
        <s v="T864EBY"/>
        <s v="T891EBW"/>
        <s v="T953EBW"/>
        <s v="T996EBW"/>
        <s v="T109EBX"/>
        <s v="T154EBX"/>
        <s v="T175EBX"/>
        <s v="T224EBX"/>
        <s v="T275EBY"/>
        <s v="T492DYR"/>
        <s v="T495DYR"/>
        <s v="T601DTQ"/>
        <s v="T711EBX"/>
        <s v="T727EBX"/>
        <s v="T745EBX"/>
        <s v="T870EBW"/>
        <s v="T148EBX"/>
        <s v="T273EBY"/>
        <s v="T276DDJ"/>
        <s v="T331DHG"/>
        <s v="T333DHG"/>
        <s v="T403DHG"/>
        <s v="T413DHE"/>
        <s v="T416DCT"/>
        <s v="T438DHG"/>
        <s v="T593DTQ"/>
        <s v="T640DEB"/>
        <s v="T696DEB"/>
        <s v="T746DEB"/>
        <s v="T770DYR"/>
        <s v="T816DDS"/>
        <s v="T147EBX"/>
        <s v="T397ECN"/>
        <s v="T444DHG"/>
        <s v="T604DTQ"/>
        <s v="T710EBX"/>
        <s v="T717EBX"/>
        <s v="T737EBX"/>
        <s v="T785EBW"/>
        <s v="T803DYR"/>
        <s v="T804EBW"/>
        <s v="T840EBY"/>
        <s v="T233EBX"/>
        <s v="T235EBX"/>
        <s v="T311EBX"/>
        <s v="T328EBY"/>
        <s v="T350DHG"/>
        <s v="T524EBY"/>
        <s v="T578DYR"/>
        <s v="T587DTQ"/>
        <s v="T589DYR"/>
        <s v="T676EBX"/>
        <s v="T680EBX"/>
        <s v="T722EBX"/>
        <s v="T723DYR"/>
        <s v="T774EBW"/>
        <s v="T797DDS"/>
        <s v="T942DSX"/>
        <s v="T219EBX"/>
        <s v="T266EBX"/>
        <s v="T267EBX"/>
        <s v="T357DHG"/>
        <s v="T401DHT"/>
        <s v="T518DEB"/>
        <s v="T578DTQ"/>
        <s v="T702EBX"/>
        <s v="T731DYR"/>
        <s v="T734EBX"/>
        <s v="T754DEB"/>
        <s v="T819EBW"/>
        <s v="T899EBW"/>
        <s v="T180EBX"/>
        <s v="T182EBX"/>
        <s v="T299DCT"/>
        <s v="T308EBX"/>
        <s v="T325EBX"/>
        <s v="T329ECN"/>
        <s v="T332EBX"/>
        <s v="T339EBX"/>
        <s v="T414DHG"/>
        <s v="T415DHE"/>
        <s v="T520EBY"/>
        <s v="T564DEB"/>
        <s v="T583DTQ"/>
        <s v="T709EBX"/>
        <s v="T754EBX"/>
        <s v="T797EBW"/>
        <s v="T802DYR"/>
        <s v="T878EBY"/>
        <s v="T882EBW"/>
        <s v="T965EBW"/>
        <s v="T990EBW"/>
        <s v="T326ECN"/>
        <s v="T336DHG"/>
        <s v="T337EBX"/>
        <s v="T340EBX"/>
        <s v="T360DHG"/>
        <s v="T389ECN"/>
        <s v="T434DHG"/>
        <s v="T525EBY"/>
        <s v="T713DYR"/>
        <s v="T776EBW"/>
        <s v="T799EBW"/>
        <s v="T818EBW"/>
        <s v="T856EBY"/>
        <s v="T877EBY"/>
        <s v="T380ECN"/>
        <s v="T385ECN"/>
        <s v="T386ECN"/>
        <s v="T387ECN"/>
        <s v="T586DTQ"/>
        <s v="T590DTQ"/>
        <s v="T741EBX"/>
        <s v="T750EBX"/>
        <s v="T805DYR"/>
        <s v="T862EBY"/>
        <s v="T873EBY"/>
        <s v="T927EBW"/>
        <s v="T932EBW"/>
        <s v="T945DSX"/>
        <s v="T191EBX"/>
        <s v="T221EBX"/>
        <s v="T305EBX"/>
        <s v="T332ECN"/>
        <s v="T378ECN"/>
        <s v="T443DHG"/>
        <s v="T592DTQ"/>
        <s v="T793DDS"/>
        <s v="T874EBY"/>
        <s v="T934EBW"/>
        <s v="T955DSX"/>
        <s v="T960DSX"/>
        <s v="T151EBX"/>
        <s v="T218EBX"/>
        <s v="T404DHG"/>
        <s v="T529EBY"/>
        <s v="T702DEB"/>
        <s v="T702DYR"/>
        <s v="T716DYR"/>
        <s v="T732DYR"/>
        <s v="T732EBX"/>
        <s v="T910EBW"/>
        <s v="T945EBW"/>
        <s v="T528EBY"/>
        <s v="T582DTQ"/>
        <s v="T635DTQ"/>
        <s v="T950EBW"/>
        <s v="T302EBX"/>
        <s v="T312EBX"/>
        <s v="T378DHG"/>
        <s v="T523EBY"/>
        <s v="T712EBX"/>
        <s v="T837EBY"/>
        <s v="T954EBW"/>
        <s v="T146EBX"/>
        <s v="T184EBX"/>
        <s v="T375DHG"/>
        <s v="T382ECN"/>
        <s v="T725EBX"/>
        <s v="T746EBX"/>
        <s v="T866EBY"/>
        <s v="T890EBW"/>
        <s v="T993EBW"/>
        <s v="T178EBX"/>
        <s v="T683EBX"/>
        <s v="T721DEB"/>
        <s v="T794EBW"/>
        <s v="T790EBW"/>
        <s v="T817EBY"/>
        <s v="T244EBX"/>
        <s v="T514EBY"/>
        <s v="T401ECN"/>
        <s v="T799DYR"/>
        <s v="T517EBY" u="1"/>
        <s v="T584DTQ" u="1"/>
        <s v="T720DYR" u="1"/>
        <s v="T585DYR" u="1"/>
        <s v="T332DHG" u="1"/>
        <s v="T794DDS" u="1"/>
        <s v="T980EBW" u="1"/>
        <s v="T735DYR" u="1"/>
        <s v="T733EBX" u="1"/>
        <s v="T188EBX" u="1"/>
        <s v="T282EBY" u="1"/>
        <s v="T594DTQ" u="1"/>
        <s v="T336ECN" u="1"/>
        <s v="T384ECN" u="1"/>
        <s v="T878EBW" u="1"/>
        <s v="T678EBX" u="1"/>
        <s v="T576DTQ" u="1"/>
        <s v="T735EBX" u="1"/>
        <s v="T259EBX" u="1"/>
        <s v="T482DYR" u="1"/>
        <s v="T821DDS" u="1"/>
        <s v="T329EBX" u="1"/>
        <s v="T929EBW" u="1"/>
        <s v="T703DYR" u="1"/>
        <s v="T904EBW" u="1"/>
        <s v="T762DYR" u="1"/>
        <s v="T822DDS" u="1"/>
        <s v="T912EBW" u="1"/>
        <s v="T328EBX" u="1"/>
        <s v="T574DEB" u="1"/>
        <s v="T766EBW" u="1"/>
        <s v="T348EBX" u="1"/>
        <s v="T810EBY" u="1"/>
        <s v="T854EBY" u="1"/>
        <s v="T928EBW" u="1"/>
        <s v="T239EBX" u="1"/>
        <s v="T958DSX" u="1"/>
        <s v="T348DHG" u="1"/>
        <s v="T428DHG" u="1"/>
        <s v="T602DTQ" u="1"/>
        <s v="T264EBX" u="1"/>
        <s v="T415DHG" u="1"/>
        <s v="T270DDJ" u="1"/>
        <s v="T383ECN" u="1"/>
        <s v="T757EBX" u="1"/>
        <s v="T950DSX" u="1"/>
        <s v="T246EBX" u="1"/>
        <s v="T346EBX" u="1"/>
        <s v="T642DHL" u="1"/>
        <s v="T423DHE" u="1"/>
        <s v="T690DHL" u="1"/>
        <s v="T390ECN" u="1"/>
        <s v="T395ECN" u="1"/>
        <s v="T312DDJ" u="1"/>
        <s v="T683DEB" u="1"/>
        <s v="T662DTQ" u="1"/>
        <s v="T879EBY" u="1"/>
        <s v="T256DDJ" u="1"/>
        <s v="T852EBY" u="1"/>
        <s v="T740EBX" u="1"/>
        <s v="T342EBX" u="1"/>
        <s v="T943DSX" u="1"/>
        <s v="T422DHE" u="1"/>
        <s v="T446DYR" u="1"/>
        <s v="T871EBY" u="1"/>
        <s v="T286EBY" u="1"/>
        <s v="T437DHG" u="1"/>
        <s v="T998EBW" u="1"/>
        <s v="T102EBX" u="1"/>
        <s v="T564DYR" u="1"/>
        <s v="T377DCT" u="1"/>
        <s v="T802EBW" u="1"/>
        <s v="T729DYR" u="1"/>
        <s v="T755EBX" u="1"/>
        <s v="T573DYR" u="1"/>
        <s v="T327DDJ" u="1"/>
        <s v="T419DHG" u="1"/>
        <s v="T641DHL" u="1"/>
        <s v="T274DDJ" u="1"/>
        <s v="T115DEC" u="1"/>
        <s v="T252DDJ" u="1"/>
        <s v="T410DHG" u="1"/>
        <s v="T124EBX" u="1"/>
        <s v="T752DEB" u="1"/>
        <s v="T367DHG" u="1"/>
        <s v="T352DHG" u="1"/>
        <s v="T440DHG" u="1"/>
        <s v="T796DDS" u="1"/>
        <s v="T420DHG" u="1"/>
        <s v="T266DDJ" u="1"/>
        <s v="T718DEB" u="1"/>
        <s v="T715DEB" u="1"/>
        <s v="T557DEB" u="1"/>
        <s v="T735DEB" u="1"/>
      </sharedItems>
    </cacheField>
    <cacheField name="Event time" numFmtId="169">
      <sharedItems containsSemiMixedTypes="0" containsNonDate="0" containsDate="1" containsString="0" minDate="2026-02-01T04:16:36" maxDate="2026-02-28T14:37:08"/>
    </cacheField>
    <cacheField name="RPT_DT" numFmtId="49">
      <sharedItems count="116">
        <s v="2026-02-01"/>
        <s v="2026-02-02"/>
        <s v="2026-02-03"/>
        <s v="2026-02-04"/>
        <s v="2026-02-05"/>
        <s v="2026-02-06"/>
        <s v="2026-02-07"/>
        <s v="2026-02-08"/>
        <s v="2026-02-09"/>
        <s v="2026-02-10"/>
        <s v="2026-02-11"/>
        <s v="2026-02-12"/>
        <s v="2026-02-13"/>
        <s v="2026-02-14"/>
        <s v="2026-02-15"/>
        <s v="2026-02-16"/>
        <s v="2026-02-17"/>
        <s v="2026-02-18"/>
        <s v="2026-02-19"/>
        <s v="2026-02-20"/>
        <s v="2026-02-22"/>
        <s v="2026-02-23"/>
        <s v="2026-02-24"/>
        <s v="2026-02-25"/>
        <s v="2026-02-26"/>
        <s v="2026-02-27"/>
        <s v="2026-02-28"/>
        <s v="2026-01-31" u="1"/>
        <s v="2026-01-01" u="1"/>
        <s v="2026-01-02" u="1"/>
        <s v="2026-01-03" u="1"/>
        <s v="2026-01-04" u="1"/>
        <s v="2026-01-05" u="1"/>
        <s v="2026-01-06" u="1"/>
        <s v="2026-01-07" u="1"/>
        <s v="2026-01-08" u="1"/>
        <s v="2026-01-09" u="1"/>
        <s v="2026-01-10" u="1"/>
        <s v="2026-01-11" u="1"/>
        <s v="2026-01-12" u="1"/>
        <s v="2026-01-13" u="1"/>
        <s v="2026-01-14" u="1"/>
        <s v="2026-01-15" u="1"/>
        <s v="2026-01-16" u="1"/>
        <s v="2026-01-17" u="1"/>
        <s v="2026-01-18" u="1"/>
        <s v="2026-01-19" u="1"/>
        <s v="2026-01-20" u="1"/>
        <s v="2026-01-21" u="1"/>
        <s v="2026-01-22" u="1"/>
        <s v="2026-01-23" u="1"/>
        <s v="2026-01-24" u="1"/>
        <s v="2026-01-25" u="1"/>
        <s v="2026-01-26" u="1"/>
        <s v="2026-01-27" u="1"/>
        <s v="2026-01-28" u="1"/>
        <s v="2026-01-29" u="1"/>
        <s v="2026-01-30" u="1"/>
        <s v="2025-12-01" u="1"/>
        <s v="2025-12-02" u="1"/>
        <s v="2025-12-03" u="1"/>
        <s v="2025-12-04" u="1"/>
        <s v="2025-12-05" u="1"/>
        <s v="2025-12-06" u="1"/>
        <s v="2025-12-07" u="1"/>
        <s v="2025-12-08" u="1"/>
        <s v="2025-12-09" u="1"/>
        <s v="2025-12-10" u="1"/>
        <s v="2025-12-11" u="1"/>
        <s v="2025-12-12" u="1"/>
        <s v="2025-12-13" u="1"/>
        <s v="2025-12-14" u="1"/>
        <s v="2025-12-15" u="1"/>
        <s v="2025-12-16" u="1"/>
        <s v="2025-12-17" u="1"/>
        <s v="2025-12-18" u="1"/>
        <s v="2025-12-19" u="1"/>
        <s v="2025-12-20" u="1"/>
        <s v="2025-12-21" u="1"/>
        <s v="2025-12-22" u="1"/>
        <s v="2025-12-23" u="1"/>
        <s v="2025-12-24" u="1"/>
        <s v="2025-12-25" u="1"/>
        <s v="2025-12-26" u="1"/>
        <s v="2025-12-27" u="1"/>
        <s v="2025-12-28" u="1"/>
        <s v="2025-12-29" u="1"/>
        <s v="2025-12-30" u="1"/>
        <s v="2025-12-31" u="1"/>
        <s v="2025-11-01" u="1"/>
        <s v="2025-11-02" u="1"/>
        <s v="2025-11-03" u="1"/>
        <s v="2025-11-04" u="1"/>
        <s v="2025-11-05" u="1"/>
        <s v="2025-11-06" u="1"/>
        <s v="2025-11-07" u="1"/>
        <s v="2025-11-08" u="1"/>
        <s v="2025-11-09" u="1"/>
        <s v="2025-11-10" u="1"/>
        <s v="2025-11-11" u="1"/>
        <s v="2025-11-12" u="1"/>
        <s v="2025-11-13" u="1"/>
        <s v="2025-11-14" u="1"/>
        <s v="2025-11-15" u="1"/>
        <s v="2025-11-16" u="1"/>
        <s v="2025-11-17" u="1"/>
        <s v="2025-11-18" u="1"/>
        <s v="2025-11-19" u="1"/>
        <s v="2025-11-20" u="1"/>
        <s v="2025-11-21" u="1"/>
        <s v="2025-11-22" u="1"/>
        <s v="2025-10-01" u="1"/>
        <s v="2025-10-02" u="1"/>
        <s v="2025-08-01" u="1"/>
        <s v="2025-08-02" u="1"/>
        <s v="2025-08-03" u="1"/>
      </sharedItems>
    </cacheField>
    <cacheField name="Time received" numFmtId="169">
      <sharedItems containsSemiMixedTypes="0" containsNonDate="0" containsDate="1" containsString="0" minDate="2026-02-01T04:46:37" maxDate="2026-02-28T15:07:12"/>
    </cacheField>
    <cacheField name="Event text" numFmtId="0">
      <sharedItems/>
    </cacheField>
    <cacheField name="Location" numFmtId="0">
      <sharedItems/>
    </cacheField>
    <cacheField name="NO OF EVENTS" numFmtId="0">
      <sharedItems containsSemiMixedTypes="0" containsString="0" containsNumber="1" containsInteger="1" minValue="3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ksecurity" refreshedDate="46083.273889467593" createdVersion="8" refreshedVersion="8" minRefreshableVersion="3" recordCount="310" xr:uid="{00000000-000A-0000-FFFF-FFFF02000000}">
  <cacheSource type="worksheet">
    <worksheetSource name="Table2"/>
  </cacheSource>
  <cacheFields count="8">
    <cacheField name="SN" numFmtId="0">
      <sharedItems containsSemiMixedTypes="0" containsString="0" containsNumber="1" containsInteger="1" minValue="1" maxValue="310"/>
    </cacheField>
    <cacheField name="Row Labels" numFmtId="0">
      <sharedItems count="370">
        <s v="T127EBX"/>
        <s v="T271EBY"/>
        <s v="T282EBY"/>
        <s v="T331EBX"/>
        <s v="T341EBX"/>
        <s v="T407DHE"/>
        <s v="T413DHG"/>
        <s v="T482DYR"/>
        <s v="T494DYR"/>
        <s v="T634DHL"/>
        <s v="T712DYR"/>
        <s v="T250EBX"/>
        <s v="T329ECN"/>
        <s v="T385ECN"/>
        <s v="T512DTR"/>
        <s v="T724DYR"/>
        <s v="T728DYR"/>
        <s v="T774EBW"/>
        <s v="T107EBX"/>
        <s v="T191EBX"/>
        <s v="T232EBX"/>
        <s v="T572DYR"/>
        <s v="T861EBY"/>
        <s v="T862EBY"/>
        <s v="T905EBW"/>
        <s v="T914EBW"/>
        <s v="T153EBX"/>
        <s v="T263EBX"/>
        <s v="T392ECN"/>
        <s v="T734EBX"/>
        <s v="T741EBX"/>
        <s v="T798EBW"/>
        <s v="T820DDS"/>
        <s v="T821EBW"/>
        <s v="T875EBY"/>
        <s v="T907EBW"/>
        <s v="T915EBW"/>
        <s v="T967EBW"/>
        <s v="T312EBX"/>
        <s v="T339EBX"/>
        <s v="T402ECN"/>
        <s v="T417DHE"/>
        <s v="T513EBY"/>
        <s v="T703EBX"/>
        <s v="T868EBW"/>
        <s v="T878EBY"/>
        <s v="T950EBW"/>
        <s v="T975EBW"/>
        <s v="T748EBX"/>
        <s v="T772DYR"/>
        <s v="T873EBW"/>
        <s v="T269EBX"/>
        <s v="T327EBX"/>
        <s v="T438DHG"/>
        <s v="T496DYR"/>
        <s v="T568DYR"/>
        <s v="T583DYR"/>
        <s v="T793EBW"/>
        <s v="T954DSX"/>
        <s v="T315EBX"/>
        <s v="T713DYR"/>
        <s v="T840EBY"/>
        <s v="T842EBY"/>
        <s v="T146EBX"/>
        <s v="T235EBX"/>
        <s v="T497DYR"/>
        <s v="T521EBY"/>
        <s v="T589DYR"/>
        <s v="T899EBW"/>
        <s v="T930EBW"/>
        <s v="T955EBW"/>
        <s v="T379ECN"/>
        <s v="T591DTQ"/>
        <s v="T817EBW"/>
        <s v="T892EBW"/>
        <s v="T318EBX"/>
        <s v="T378ECN"/>
        <s v="T492DYR"/>
        <s v="T528EBY"/>
        <s v="T755EBX"/>
        <s v="T803EBW"/>
        <s v="T871EBY"/>
        <s v="T261EBX"/>
        <s v="T318EBY"/>
        <s v="T526EBY"/>
        <s v="T677EBX"/>
        <s v="T725EBX"/>
        <s v="T754DEB"/>
        <s v="T873EBY"/>
        <s v="T904EBW"/>
        <s v="T102EBX"/>
        <s v="T147EBX"/>
        <s v="T178EBX"/>
        <s v="T308EBX"/>
        <s v="T386ECN"/>
        <s v="T390ECN"/>
        <s v="T590DTQ"/>
        <s v="T680EBX"/>
        <s v="T710EBX"/>
        <s v="T770DYR"/>
        <s v="T839EBY"/>
        <s v="T849EBY"/>
        <s v="T858EBY"/>
        <s v="T891EBW"/>
        <s v="T932EBW"/>
        <s v="T259EBY"/>
        <s v="T512EBY"/>
        <s v="T561DYR"/>
        <s v="T588DTQ"/>
        <s v="T728EBX"/>
        <s v="T946EBW"/>
        <s v="T286EBY"/>
        <s v="T396ECN"/>
        <s v="T578DYR"/>
        <s v="T340EBX"/>
        <s v="T523EBY"/>
        <s v="T524EBY"/>
        <s v="T581DTQ"/>
        <s v="T887EBW"/>
        <s v="T144EBX"/>
        <s v="T278EBY"/>
        <s v="T498DYR"/>
        <s v="T520EBY"/>
        <s v="T661DTQ"/>
        <s v="T723DYR"/>
        <s v="T927EBW"/>
        <s v="T980EBW"/>
        <s v="T154EBX"/>
        <s v="T175EBX"/>
        <s v="T499DYR"/>
        <s v="T587DTQ"/>
        <s v="T727DYR"/>
        <s v="T793DYR"/>
        <s v="T742EBX"/>
        <s v="T942DSX"/>
        <s v="T993EBW"/>
        <s v="T702EBX"/>
        <s v="T732EBX"/>
        <s v="T746DEB"/>
        <s v="T998EBW"/>
        <s v="T689DEB"/>
        <s v="T493DYR"/>
        <s v="T696DEB"/>
        <s v="T933EBW"/>
        <s v="T934EBW"/>
        <s v="T233EBX"/>
        <s v="T375DHG"/>
        <s v="T220EBX"/>
        <s v="T600DTQ"/>
        <s v="T604DTQ"/>
        <s v="T890EBW"/>
        <s v="T945EBW"/>
        <s v="T259EBX"/>
        <s v="T514EBY"/>
        <s v="T517EBY"/>
        <s v="T912EBW"/>
        <s v="T586DYR"/>
        <s v="T638DHL"/>
        <s v="T768EBW"/>
        <s v="T425DHG"/>
        <s v="T435DHG"/>
        <s v="T511EBY"/>
        <s v="T952DSX"/>
        <s v="T334EBX" u="1"/>
        <s v="T335EBX" u="1"/>
        <s v="T869EBY" u="1"/>
        <s v="T510EBY" u="1"/>
        <s v="T792EBW" u="1"/>
        <s v="T585DYR" u="1"/>
        <s v="T314DDJ" u="1"/>
        <s v="T756EBX" u="1"/>
        <s v="T411ECN" u="1"/>
        <s v="T645DHL" u="1"/>
        <s v="T603DTQ" u="1"/>
        <s v="T224EBX" u="1"/>
        <s v="T957DSX" u="1"/>
        <s v="T104EBX" u="1"/>
        <s v="T578DTQ" u="1"/>
        <s v="T652DTQ" u="1"/>
        <s v="T797DYR" u="1"/>
        <s v="T812EBW" u="1"/>
        <s v="T909EBW" u="1"/>
        <s v="T939EBW" u="1"/>
        <s v="T360DHG" u="1"/>
        <s v="T518EBY" u="1"/>
        <s v="T720DYR" u="1"/>
        <s v="T796DYR" u="1"/>
        <s v="T954EBW" u="1"/>
        <s v="T319EBY" u="1"/>
        <s v="T508EBY" u="1"/>
        <s v="T663DTQ" u="1"/>
        <s v="T871EBW" u="1"/>
        <s v="T332EBX" u="1"/>
        <s v="T589DTQ" u="1"/>
        <s v="T744EBX" u="1"/>
        <s v="T768DYR" u="1"/>
        <s v="T311EBX" u="1"/>
        <s v="T522EBY" u="1"/>
        <s v="T750EBX" u="1"/>
        <s v="T342EBX" u="1"/>
        <s v="T357DHG" u="1"/>
        <s v="T737DEB" u="1"/>
        <s v="T799EBW" u="1"/>
        <s v="T388ECN" u="1"/>
        <s v="T745EBX" u="1"/>
        <s v="T876EBY" u="1"/>
        <s v="T186EBX" u="1"/>
        <s v="T397ECN" u="1"/>
        <s v="T703DYR" u="1"/>
        <s v="T150EBX" u="1"/>
        <s v="T219EBX" u="1"/>
        <s v="T810EBY" u="1"/>
        <s v="T864EBY" u="1"/>
        <s v="T337EBX" u="1"/>
        <s v="T348EBX" u="1"/>
        <s v="T529EBY" u="1"/>
        <s v="T764DYR" u="1"/>
        <s v="T635DTQ" u="1"/>
        <s v="T683EBX" u="1"/>
        <s v="T795DYR" u="1"/>
        <s v="T921EBW" u="1"/>
        <s v="T928EBW" u="1"/>
        <s v="T376ECN" u="1"/>
        <s v="T575DYR" u="1"/>
        <s v="T819EBW" u="1"/>
        <s v="T903EBW" u="1"/>
        <s v="T124EBX" u="1"/>
        <s v="T738EBX" u="1"/>
        <s v="T779EBW" u="1"/>
        <s v="T491DYR" u="1"/>
        <s v="T329EBX" u="1"/>
        <s v="T346EBX" u="1"/>
        <s v="T516EBY" u="1"/>
        <s v="T576DYR" u="1"/>
        <s v="T766DYR" u="1"/>
        <s v="T876EBW" u="1"/>
        <s v="T709EBX" u="1"/>
        <s v="T218EBX" u="1"/>
        <s v="T763EBW" u="1"/>
        <s v="T810EBW" u="1"/>
        <s v="T328EBX" u="1"/>
        <s v="T244EBX" u="1"/>
        <s v="T592DTQ" u="1"/>
        <s v="T662DTQ" u="1"/>
        <s v="T977EBW" u="1"/>
        <s v="T509EBY" u="1"/>
        <s v="T633DTQ" u="1"/>
        <s v="T835EBY" u="1"/>
        <s v="T877EBY" u="1"/>
        <s v="T431DHG" u="1"/>
        <s v="T514DTR" u="1"/>
        <s v="T643DHL" u="1"/>
        <s v="T704DYR" u="1"/>
        <s v="T870EBW" u="1"/>
        <s v="T326ECN" u="1"/>
        <s v="T332ECN" u="1"/>
        <s v="T246EBX" u="1"/>
        <s v="T365DHG" u="1"/>
        <s v="T714EBX" u="1"/>
        <s v="T797EBW" u="1"/>
        <s v="T874EBY" u="1"/>
        <s v="T266EBX" u="1"/>
        <s v="T794EBW" u="1"/>
        <s v="T711DEB" u="1"/>
        <s v="T373DHG" u="1"/>
        <s v="T383ECN" u="1"/>
        <s v="T947DSX" u="1"/>
        <s v="T381ECN" u="1"/>
        <s v="T580DTQ" u="1"/>
        <s v="T929EBW" u="1"/>
        <s v="T602DTQ" u="1"/>
        <s v="T766EBW" u="1"/>
        <s v="T773EBW" u="1"/>
        <s v="T109EBX" u="1"/>
        <s v="T579DTQ" u="1"/>
        <s v="T699EBX" u="1"/>
        <s v="T767DYR" u="1"/>
        <s v="T446DYR" u="1"/>
        <s v="T380ECN" u="1"/>
        <s v="T239EBX" u="1"/>
        <s v="T953DSX" u="1"/>
        <s v="T956DSX" u="1"/>
        <s v="T958DSX" u="1"/>
        <s v="T764EBW" u="1"/>
        <s v="T986EBW" u="1"/>
        <s v="T336EBX" u="1"/>
        <s v="T384ECN" u="1"/>
        <s v="T757EBX" u="1"/>
        <s v="T854EBY" u="1"/>
        <s v="T267EBX" u="1"/>
        <s v="T184EBX" u="1"/>
        <s v="T735DYR" u="1"/>
        <s v="T601DTQ" u="1"/>
        <s v="T856EBY" u="1"/>
        <s v="T439DHG" u="1"/>
        <s v="T126EBX" u="1"/>
        <s v="T405DHG" u="1"/>
        <s v="T401DHT" u="1"/>
        <s v="T180EBX" u="1"/>
        <s v="T650DTQ" u="1"/>
        <s v="T802EBW" u="1"/>
        <s v="T332DHG" u="1"/>
        <s v="T586DTQ" u="1"/>
        <s v="T527EBY" u="1"/>
        <s v="T990EBW" u="1"/>
        <s v="T596DTQ" u="1"/>
        <s v="T733EBX" u="1"/>
        <s v="T256EBX" u="1"/>
        <s v="T349DHG" u="1"/>
        <s v="T519EBY" u="1"/>
        <s v="T581DYR" u="1"/>
        <s v="T182EBX" u="1"/>
        <s v="T717EBX" u="1"/>
        <s v="T781EBW" u="1"/>
        <s v="T416DCT" u="1"/>
        <s v="T595DTQ" u="1"/>
        <s v="T241EBX" u="1"/>
        <s v="T790EBW" u="1"/>
        <s v="T423DHE" u="1"/>
        <s v="T424DHG" u="1"/>
        <s v="T679ECP" u="1"/>
        <s v="T945DSX" u="1"/>
        <s v="T806DYR" u="1"/>
        <s v="T910EBW" u="1"/>
        <s v="T866EBY" u="1"/>
        <s v="T437DHG" u="1"/>
        <s v="T722EBX" u="1"/>
        <s v="T716EBX" u="1"/>
        <s v="T584DTQ" u="1"/>
        <s v="T525EBY" u="1"/>
        <s v="T794DDS" u="1"/>
        <s v="T305EBX" u="1"/>
        <s v="T754EBX" u="1"/>
        <s v="T401ECN" u="1"/>
        <s v="T272EBX" u="1"/>
        <s v="T573DYR" u="1"/>
        <s v="T495DYR" u="1"/>
        <s v="T822DDS" u="1"/>
        <s v="T758EBX" u="1"/>
        <s v="T183EBX" u="1"/>
        <s v="T791EBW" u="1"/>
        <s v="T412DHG" u="1"/>
        <s v="T684EBX" u="1"/>
        <s v="T737EBX" u="1"/>
        <s v="T953EBW" u="1"/>
        <s v="T343EBX" u="1"/>
        <s v="T651DTQ" u="1"/>
        <s v="T678EBX" u="1"/>
        <s v="T327DDJ" u="1"/>
        <s v="T420DHG" u="1"/>
        <s v="T564DYR" u="1"/>
        <s v="T712EBX" u="1"/>
        <s v="T803DYR" u="1"/>
        <s v="T350DHG" u="1"/>
        <s v="T387ECN" u="1"/>
        <s v="T804EBW" u="1"/>
        <s v="T994EBW" u="1"/>
        <s v="T149EBX" u="1"/>
        <s v="T988EBW" u="1"/>
        <s v="T190EBX" u="1"/>
        <s v="T264EBX" u="1"/>
        <s v="T312DDJ" u="1"/>
        <s v="T798DYR" u="1"/>
        <s v="T959DSX" u="1"/>
        <s v="T965EBW" u="1"/>
        <s v="T165EBX" u="1"/>
        <s v="T273EBY" u="1"/>
        <s v="T566DYR" u="1"/>
        <s v="T719DYR" u="1"/>
        <s v="T879EBY" u="1"/>
      </sharedItems>
    </cacheField>
    <cacheField name="Event time" numFmtId="169">
      <sharedItems containsSemiMixedTypes="0" containsNonDate="0" containsDate="1" containsString="0" minDate="2026-02-01T06:36:58" maxDate="2026-02-28T13:48:58"/>
    </cacheField>
    <cacheField name="RPT_DT" numFmtId="49">
      <sharedItems count="118">
        <s v="2026-02-01"/>
        <s v="2026-02-02"/>
        <s v="2026-02-03"/>
        <s v="2026-02-04"/>
        <s v="2026-02-05"/>
        <s v="2026-02-06"/>
        <s v="2026-02-07"/>
        <s v="2026-02-08"/>
        <s v="2026-02-09"/>
        <s v="2026-02-10"/>
        <s v="2026-02-11"/>
        <s v="2026-02-12"/>
        <s v="2026-02-13"/>
        <s v="2026-02-14"/>
        <s v="2026-02-15"/>
        <s v="2026-02-16"/>
        <s v="2026-02-17"/>
        <s v="2026-02-18"/>
        <s v="2026-02-19"/>
        <s v="2026-02-20"/>
        <s v="2026-02-22"/>
        <s v="2026-02-23"/>
        <s v="2026-02-24"/>
        <s v="2026-02-25"/>
        <s v="2026-02-26"/>
        <s v="2026-02-27"/>
        <s v="2026-02-28"/>
        <s v="2026-01-31" u="1"/>
        <s v="2026-01-01" u="1"/>
        <s v="2026-01-02" u="1"/>
        <s v="2026-01-03" u="1"/>
        <s v="2026-01-04" u="1"/>
        <s v="2026-01-05" u="1"/>
        <s v="2026-01-06" u="1"/>
        <s v="2026-01-07" u="1"/>
        <s v="2026-01-08" u="1"/>
        <s v="2026-01-09" u="1"/>
        <s v="2026-01-10" u="1"/>
        <s v="2026-01-11" u="1"/>
        <s v="2026-01-12" u="1"/>
        <s v="2026-01-13" u="1"/>
        <s v="2026-01-14" u="1"/>
        <s v="2026-01-15" u="1"/>
        <s v="2026-01-16" u="1"/>
        <s v="2026-01-17" u="1"/>
        <s v="2026-01-18" u="1"/>
        <s v="2026-01-19" u="1"/>
        <s v="2026-01-20" u="1"/>
        <s v="2026-01-21" u="1"/>
        <s v="2026-01-22" u="1"/>
        <s v="2026-01-23" u="1"/>
        <s v="2026-01-24" u="1"/>
        <s v="2026-01-25" u="1"/>
        <s v="2026-01-26" u="1"/>
        <s v="2026-01-27" u="1"/>
        <s v="2026-01-28" u="1"/>
        <s v="2026-01-29" u="1"/>
        <s v="2026-01-30" u="1"/>
        <s v="2025-12-01" u="1"/>
        <s v="2025-12-02" u="1"/>
        <s v="2025-12-03" u="1"/>
        <s v="2025-12-04" u="1"/>
        <s v="2025-12-05" u="1"/>
        <s v="2025-12-06" u="1"/>
        <s v="2025-12-07" u="1"/>
        <s v="2025-12-08" u="1"/>
        <s v="2025-12-09" u="1"/>
        <s v="2025-12-10" u="1"/>
        <s v="2025-12-11" u="1"/>
        <s v="2025-12-12" u="1"/>
        <s v="2025-12-13" u="1"/>
        <s v="2025-12-14" u="1"/>
        <s v="2025-12-15" u="1"/>
        <s v="2025-12-16" u="1"/>
        <s v="2025-12-17" u="1"/>
        <s v="2025-12-18" u="1"/>
        <s v="2025-12-19" u="1"/>
        <s v="2025-12-20" u="1"/>
        <s v="2025-12-21" u="1"/>
        <s v="2025-12-22" u="1"/>
        <s v="2025-12-23" u="1"/>
        <s v="2025-12-24" u="1"/>
        <s v="2025-12-25" u="1"/>
        <s v="2025-12-26" u="1"/>
        <s v="2025-12-27" u="1"/>
        <s v="2025-12-28" u="1"/>
        <s v="2025-12-29" u="1"/>
        <s v="2025-12-30" u="1"/>
        <s v="2025-12-31" u="1"/>
        <s v="2025-11-01" u="1"/>
        <s v="2025-11-02" u="1"/>
        <s v="2025-11-03" u="1"/>
        <s v="2025-11-04" u="1"/>
        <s v="2025-11-05" u="1"/>
        <s v="2025-11-06" u="1"/>
        <s v="2025-11-07" u="1"/>
        <s v="2025-11-08" u="1"/>
        <s v="2025-11-09" u="1"/>
        <s v="2025-11-10" u="1"/>
        <s v="2025-11-11" u="1"/>
        <s v="2025-11-12" u="1"/>
        <s v="2025-11-13" u="1"/>
        <s v="2025-11-14" u="1"/>
        <s v="2025-11-15" u="1"/>
        <s v="2025-11-16" u="1"/>
        <s v="2025-11-17" u="1"/>
        <s v="2025-11-18" u="1"/>
        <s v="2025-11-19" u="1"/>
        <s v="2025-11-20" u="1"/>
        <s v="2025-11-21" u="1"/>
        <s v="2025-11-22" u="1"/>
        <s v="2025-10-01" u="1"/>
        <s v="2025-10-02" u="1"/>
        <s v="2025-08-01" u="1"/>
        <s v="2025-08-02" u="1"/>
        <s v="2025-08-03" u="1"/>
        <s v="2025-07-01" u="1"/>
        <s v="2025-07-02" u="1"/>
      </sharedItems>
    </cacheField>
    <cacheField name="DRIVER NAME " numFmtId="0">
      <sharedItems containsMixedTypes="1" containsNumber="1" containsInteger="1" minValue="0" maxValue="0"/>
    </cacheField>
    <cacheField name="Event text" numFmtId="0">
      <sharedItems containsBlank="1"/>
    </cacheField>
    <cacheField name="Location" numFmtId="0">
      <sharedItems/>
    </cacheField>
    <cacheField name="Count of Time received" numFmtId="0">
      <sharedItems containsSemiMixedTypes="0" containsString="0" containsNumber="1" containsInteger="1" minValue="3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ksecurity" refreshedDate="46083.273888310177" createdVersion="8" refreshedVersion="8" minRefreshableVersion="3" recordCount="90" xr:uid="{00000000-000A-0000-FFFF-FFFF01000000}">
  <cacheSource type="worksheet">
    <worksheetSource name="Table4"/>
  </cacheSource>
  <cacheFields count="12">
    <cacheField name="Vehicle no" numFmtId="164">
      <sharedItems count="235">
        <s v="T415DHE"/>
        <s v="T439DHG"/>
        <s v="T518DEB"/>
        <s v="T795DDS"/>
        <s v="T514DTR"/>
        <s v="T645DHL"/>
        <s v="T346EBX"/>
        <s v="T263EBX"/>
        <s v="T586DYR"/>
        <s v="T779EBW"/>
        <s v="T148EBX"/>
        <s v="T573DYR"/>
        <s v="T737DEB"/>
        <s v="T774EBW"/>
        <s v="T803DYR"/>
        <s v="T329ECN"/>
        <s v="T758EBX"/>
        <s v="T939EBW"/>
        <s v="T335EBX"/>
        <s v="T849EBY"/>
        <s v="T945DSX"/>
        <s v="T947DSX"/>
        <s v="T219EBX"/>
        <s v="T259EBY"/>
        <s v="T350DHG"/>
        <s v="T357DHG"/>
        <s v="T395ECN"/>
        <s v="T401DHT"/>
        <s v="T729DYR"/>
        <s v="T891EBW"/>
        <s v="T930EBW"/>
        <s v="T960DSX"/>
        <s v="T276DDJ"/>
        <s v="T397ECN"/>
        <s v="T840EBY"/>
        <s v="T652DTQ"/>
        <s v="T735DYR"/>
        <s v="T702EBX"/>
        <s v="T734EBX"/>
        <s v="T749DEB"/>
        <s v="T435DHG"/>
        <s v="T582DTQ"/>
        <s v="T660DTQ"/>
        <s v="T727DYR"/>
        <s v="T764DYR"/>
        <s v="T378DHG"/>
        <s v="T793DYR"/>
        <s v="T311EBX"/>
        <s v="T498DYR"/>
        <s v="T588DTQ"/>
        <s v="T716DYR"/>
        <s v="T952DSX"/>
        <s v="T417DHE"/>
        <s v="T662DTQ"/>
        <s v="T899DYR"/>
        <s v="T956DSX"/>
        <s v="T339EBX"/>
        <s v="T871EBY"/>
        <s v="T263DDJ"/>
        <s v="T993EBW"/>
        <s v="T267DDJ"/>
        <s v="T406DHG"/>
        <s v="T986EBW"/>
        <s v="T269EBX"/>
        <s v="T404DHG"/>
        <s v="T146EBX"/>
        <s v="T651DTQ"/>
        <s v="T178EBX"/>
        <s v="T220EBX"/>
        <s v="T259EBX"/>
        <s v="T561DYR"/>
        <s v="T725EBX"/>
        <s v="T264EBX"/>
        <s v="T579DTQ"/>
        <s v="T945EBW"/>
        <s v="T175EBX" u="1"/>
        <s v="T745EBX" u="1"/>
        <s v="T109EBX" u="1"/>
        <s v="T797EBW" u="1"/>
        <s v="T328EBY" u="1"/>
        <s v="T717EBX" u="1"/>
        <s v="T727EBX" u="1"/>
        <s v="T842EBY" u="1"/>
        <s v="T820DDS" u="1"/>
        <s v="T495DYR" u="1"/>
        <s v="T909EBW" u="1"/>
        <s v="T232EBX" u="1"/>
        <s v="T180EBX" u="1"/>
        <s v="T256DDJ" u="1"/>
        <s v="T683DEB" u="1"/>
        <s v="T690DHL" u="1"/>
        <s v="T934EBW" u="1"/>
        <s v="T104EBX" u="1"/>
        <s v="T170EBX" u="1"/>
        <s v="T572DYR" u="1"/>
        <s v="T861EBY" u="1"/>
        <s v="T315EBX" u="1"/>
        <s v="T336ECN" u="1"/>
        <s v="T341EBX" u="1"/>
        <s v="T575DYR" u="1"/>
        <s v="T688DEB" u="1"/>
        <s v="T709EBX" u="1"/>
        <s v="T142EBX" u="1"/>
        <s v="T184EBX" u="1"/>
        <s v="T191EBX" u="1"/>
        <s v="T271EBY" u="1"/>
        <s v="T272EBX" u="1"/>
        <s v="T326ECN" u="1"/>
        <s v="T376ECN" u="1"/>
        <s v="T444DHG" u="1"/>
        <s v="T838EBY" u="1"/>
        <s v="T299DCT" u="1"/>
        <s v="T266EBX" u="1"/>
        <s v="T302EBX" u="1"/>
        <s v="T337EBX" u="1"/>
        <s v="T379ECN" u="1"/>
        <s v="T392ECN" u="1"/>
        <s v="T437DHG" u="1"/>
        <s v="T583DYR" u="1"/>
        <s v="T750EBX" u="1"/>
        <s v="T776EBW" u="1"/>
        <s v="T868EBW" u="1"/>
        <s v="T955EBW" u="1"/>
        <s v="T580DTQ" u="1"/>
        <s v="T731DYR" u="1"/>
        <s v="T377DCT" u="1"/>
        <s v="T375DHG" u="1"/>
        <s v="T953DSX" u="1"/>
        <s v="T754EBX" u="1"/>
        <s v="T803EBW" u="1"/>
        <s v="T182EBX" u="1"/>
        <s v="T337ECN" u="1"/>
        <s v="T388ECN" u="1"/>
        <s v="T589DYR" u="1"/>
        <s v="T723DYR" u="1"/>
        <s v="T735EBX" u="1"/>
        <s v="T821EBW" u="1"/>
        <s v="T876EBY" u="1"/>
        <s v="T250EBX" u="1"/>
        <s v="T261EBX" u="1"/>
        <s v="T401ECN" u="1"/>
        <s v="T679ECP" u="1"/>
        <s v="T716EBX" u="1"/>
        <s v="T770DYR" u="1"/>
        <s v="T921EBW" u="1"/>
        <s v="T988EBW" u="1"/>
        <s v="T757EBX" u="1"/>
        <s v="T854EBY" u="1"/>
        <s v="T564DEB" u="1"/>
        <s v="T634DHL" u="1"/>
        <s v="T904EBW" u="1"/>
        <s v="T932EBW" u="1"/>
        <s v="T256EBX" u="1"/>
        <s v="T438DHG" u="1"/>
        <s v="T733EBX" u="1"/>
        <s v="T348DHG" u="1"/>
        <s v="T744EBX" u="1"/>
        <s v="T798EBW" u="1"/>
        <s v="T905EBW" u="1"/>
        <s v="T977EBW" u="1"/>
        <s v="T772DYR" u="1"/>
        <s v="T794DDS" u="1"/>
        <s v="T746DEB" u="1"/>
        <s v="T416DCT" u="1"/>
        <s v="T373DHG" u="1"/>
        <s v="T856EBY" u="1"/>
        <s v="T867EBY" u="1"/>
        <s v="T224EBX" u="1"/>
        <s v="T756EBX" u="1"/>
        <s v="T794EBW" u="1"/>
        <s v="T774DYR" u="1"/>
        <s v="T797DYR" u="1"/>
        <s v="T835EBY" u="1"/>
        <s v="T287DDJ" u="1"/>
        <s v="T427DHG" u="1"/>
        <s v="T711EBX" u="1"/>
        <s v="T796DYR" u="1"/>
        <s v="T954EBW" u="1"/>
        <s v="T340EBX" u="1"/>
        <s v="T576DTQ" u="1"/>
        <s v="T578DTQ" u="1"/>
        <s v="T703EBX" u="1"/>
        <s v="T812EBW" u="1"/>
        <s v="T955DSX" u="1"/>
        <s v="T950DSX" u="1"/>
        <s v="T425DHG" u="1"/>
        <s v="T732DYR" u="1"/>
        <s v="T858EBY" u="1"/>
        <s v="T951DSX" u="1"/>
        <s v="T301EBX" u="1"/>
        <s v="T434DHG" u="1"/>
        <s v="T436DHG" u="1"/>
        <s v="T586DTQ" u="1"/>
        <s v="T768DYR" u="1"/>
        <s v="T129EBX" u="1"/>
        <s v="T336EBX" u="1"/>
        <s v="T590DTQ" u="1"/>
        <s v="T869EBY" u="1"/>
        <s v="T127EBX" u="1"/>
        <s v="T516EBY" u="1"/>
        <s v="T941EBW" u="1"/>
        <s v="T319EBY" u="1"/>
        <s v="T975EBW" u="1"/>
        <s v="T342EBX" u="1"/>
        <s v="T403ECN" u="1"/>
        <s v="T494DYR" u="1"/>
        <s v="T677EBX" u="1"/>
        <s v="T914EBW" u="1"/>
        <s v="T959DSX" u="1"/>
        <s v="T802DYR" u="1"/>
        <s v="T318EBY" u="1"/>
        <s v="T592DTQ" u="1"/>
        <s v="T873EBW" u="1"/>
        <s v="T403DHG" u="1"/>
        <s v="T799DYR" u="1"/>
        <s v="T912EBW" u="1"/>
        <s v="T929EBW" u="1"/>
        <s v="T431DHG" u="1"/>
        <s v="T915EBW" u="1"/>
        <s v="T411ECN" u="1"/>
        <s v="T510EBY" u="1"/>
        <s v="T591DTQ" u="1"/>
        <s v="T577DTQ" u="1"/>
        <s v="T578DYR" u="1"/>
        <s v="T650DTQ" u="1"/>
        <s v="T680EBX" u="1"/>
        <s v="T791EBW" u="1"/>
        <s v="T153EBX" u="1"/>
        <s v="T318EBX" u="1"/>
        <s v="T524EBY" u="1"/>
        <s v="T994EBW" u="1"/>
        <s v="T443DHG" u="1"/>
        <s v="T600DTQ" u="1"/>
        <s v="T778DYR" u="1"/>
        <s v="T165EBX" u="1"/>
      </sharedItems>
    </cacheField>
    <cacheField name="Driver name " numFmtId="164">
      <sharedItems/>
    </cacheField>
    <cacheField name="TM NAME " numFmtId="164">
      <sharedItems/>
    </cacheField>
    <cacheField name="TC NAME" numFmtId="164">
      <sharedItems containsMixedTypes="1" containsNumber="1" containsInteger="1" minValue="0" maxValue="136382101"/>
    </cacheField>
    <cacheField name="Beginning" numFmtId="169">
      <sharedItems containsDate="1" containsMixedTypes="1" minDate="2026-02-01T05:12:02" maxDate="2026-02-28T05:39:00"/>
    </cacheField>
    <cacheField name="RPT_DT" numFmtId="49">
      <sharedItems containsBlank="1" count="78">
        <s v="2026-02-01"/>
        <s v="2026-02-02"/>
        <s v="2026-02-03"/>
        <s v="2026-02-04"/>
        <s v="2026-02-05"/>
        <s v="2026-02-06"/>
        <s v="2026-02-07"/>
        <s v="2026-02-09"/>
        <s v="2026-02-10"/>
        <s v="2026-02-11"/>
        <s v="2026-02-12"/>
        <s v="2026-02-13"/>
        <s v="2026-02-14"/>
        <s v="2026-02-15"/>
        <s v="2026-02-16"/>
        <s v="2026-02-18"/>
        <s v="2026-02-19"/>
        <s v="2026-02-20"/>
        <s v="2026-02-22"/>
        <s v="2026-02-23"/>
        <s v="2026-02-24"/>
        <s v="2026-02-25"/>
        <s v="2026-02-26"/>
        <s v="2026-02-27"/>
        <s v="2026-02-28"/>
        <s v="2026-01-30" u="1"/>
        <s v="2025-11-05" u="1"/>
        <s v="2025-12-08" u="1"/>
        <s v="2025-12-11" u="1"/>
        <s v="2025-12-12" u="1"/>
        <s v="2025-12-13" u="1"/>
        <s v="2025-12-14" u="1"/>
        <s v="2025-12-15" u="1"/>
        <s v="2025-12-16" u="1"/>
        <s v="2025-12-17" u="1"/>
        <s v="2025-12-18" u="1"/>
        <s v="2025-12-19" u="1"/>
        <s v="2025-12-21" u="1"/>
        <s v="2025-12-22" u="1"/>
        <s v="2025-12-23" u="1"/>
        <s v="2025-12-24" u="1"/>
        <s v="2025-12-25" u="1"/>
        <s v="2025-12-26" u="1"/>
        <s v="2025-12-27" u="1"/>
        <s v="2025-12-28" u="1"/>
        <s v="2025-12-29" u="1"/>
        <s v="2025-12-30" u="1"/>
        <s v="2025-12-31" u="1"/>
        <s v="2026-01-01" u="1"/>
        <s v="2026-01-02" u="1"/>
        <s v="2026-01-03" u="1"/>
        <s v="2026-01-04" u="1"/>
        <s v="2026-01-05" u="1"/>
        <s v="2026-01-06" u="1"/>
        <s v="2026-01-07" u="1"/>
        <s v="2026-01-08" u="1"/>
        <s v="2026-01-10" u="1"/>
        <s v="2026-01-11" u="1"/>
        <s v="2026-01-12" u="1"/>
        <s v="2026-01-13" u="1"/>
        <s v="2026-01-14" u="1"/>
        <s v="2026-01-15" u="1"/>
        <s v="2026-01-16" u="1"/>
        <s v="2026-01-17" u="1"/>
        <s v="2026-01-18" u="1"/>
        <s v="2026-01-19" u="1"/>
        <s v="2026-01-20" u="1"/>
        <s v="2026-01-21" u="1"/>
        <s v="2026-01-22" u="1"/>
        <s v="2026-01-23" u="1"/>
        <s v="2026-01-24" u="1"/>
        <s v="2026-01-25" u="1"/>
        <s v="2026-01-26" u="1"/>
        <s v="2026-01-27" u="1"/>
        <s v="2026-01-28" u="1"/>
        <s v="2026-01-29" u="1"/>
        <m u="1"/>
        <s v="2025-07-02" u="1"/>
      </sharedItems>
    </cacheField>
    <cacheField name="Initial location" numFmtId="164">
      <sharedItems/>
    </cacheField>
    <cacheField name="End" numFmtId="169">
      <sharedItems containsDate="1" containsMixedTypes="1" minDate="2026-02-01T07:03:20" maxDate="2026-02-28T10:23:56"/>
    </cacheField>
    <cacheField name="Final location" numFmtId="164">
      <sharedItems/>
    </cacheField>
    <cacheField name="DURATION " numFmtId="49">
      <sharedItems/>
    </cacheField>
    <cacheField name="Mileage" numFmtId="168">
      <sharedItems containsMixedTypes="1" containsNumber="1" minValue="16.710142999999999" maxValue="20.174108"/>
    </cacheField>
    <cacheField name="Offense" numFmtId="0">
      <sharedItems containsBlank="1" count="6">
        <s v="Early start "/>
        <s v="Night driving "/>
        <s v="Driving Without Convoy Day "/>
        <s v="Night driving" u="1"/>
        <m u="1"/>
        <s v="Early start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ksecurity" refreshedDate="46083.273888657408" createdVersion="8" refreshedVersion="8" minRefreshableVersion="3" recordCount="215" xr:uid="{00000000-000A-0000-FFFF-FFFF00000000}">
  <cacheSource type="worksheet">
    <worksheetSource name="Table1"/>
  </cacheSource>
  <cacheFields count="9">
    <cacheField name="SN" numFmtId="0">
      <sharedItems containsSemiMixedTypes="0" containsString="0" containsNumber="1" containsInteger="1" minValue="1" maxValue="215"/>
    </cacheField>
    <cacheField name="TRUCK NO  " numFmtId="164">
      <sharedItems count="137">
        <s v="T259EBX"/>
        <s v="T263DDJ"/>
        <s v="T271EBY"/>
        <s v="T314DDJ"/>
        <s v="T332DHG"/>
        <s v="T434DHG"/>
        <s v="T572DEB"/>
        <s v="T579DTQ"/>
        <s v="T595DTQ"/>
        <s v="T634DHL"/>
        <s v="T876EBW"/>
        <s v="T148EBX"/>
        <s v="T337EBX"/>
        <s v="T365DHG"/>
        <s v="T373DHG"/>
        <s v="T728DYR"/>
        <s v="T905EBW"/>
        <s v="T149EBX"/>
        <s v="T232EBX"/>
        <s v="T727DYR"/>
        <s v="T263EBX"/>
        <s v="T728EBX"/>
        <s v="T741EBX"/>
        <s v="T986EBW"/>
        <s v="T797EBW"/>
        <s v="T882EBW"/>
        <s v="T953DSX"/>
        <s v="T994EBW"/>
        <s v="T410DHE"/>
        <s v="T598DTQ"/>
        <s v="T662DTQ"/>
        <s v="T680EBX"/>
        <s v="T178EBX"/>
        <s v="T422DHE"/>
        <s v="T438DHG"/>
        <s v="T583DYR"/>
        <s v="T602DTQ"/>
        <s v="T684EBX"/>
        <s v="T795DYR"/>
        <s v="T818EBW"/>
        <s v="T638DEB"/>
        <s v="T763EBW"/>
        <s v="T333DHG"/>
        <s v="T437DHG"/>
        <s v="T798DYR"/>
        <s v="T756EBX"/>
        <s v="T890EBW"/>
        <s v="T965EBW"/>
        <s v="T267DDJ"/>
        <s v="T269EBX"/>
        <s v="T401DHT"/>
        <s v="T518DEB"/>
        <s v="T578DTQ"/>
        <s v="T331DHG"/>
        <s v="T416DCT"/>
        <s v="T529EBY"/>
        <s v="T873EBY"/>
        <s v="T928EBW"/>
        <s v="T272EBX"/>
        <s v="T286EBY"/>
        <s v="T521EBY"/>
        <s v="T342EBX"/>
        <s v="T435DHG"/>
        <s v="T746DEB"/>
        <s v="T794EBW"/>
        <s v="T956DSX"/>
        <s v="T348DHG"/>
        <s v="T517EBY"/>
        <s v="T588DTQ"/>
        <s v="T180EBX"/>
        <s v="T578DYR"/>
        <s v="T677EBX"/>
        <s v="T604DTQ"/>
        <s v="T768EBW"/>
        <s v="T375DHG"/>
        <s v="T839EBY"/>
        <s v="T319EBY"/>
        <s v="T957DSX"/>
        <s v="T838EBY"/>
        <s v="T583DTQ"/>
        <s v="T915EBW"/>
        <s v="T581DYR"/>
        <s v="T600DTQ"/>
        <s v="T652DTQ"/>
        <s v="T334EBX" u="1"/>
        <s v="T311EBX" u="1"/>
        <s v="T732DEB" u="1"/>
        <s v="T332EBX" u="1"/>
        <s v="T724DYR" u="1"/>
        <s v="T934EBW" u="1"/>
        <s v="T404DHG" u="1"/>
        <s v="T443DHG" u="1"/>
        <s v="T849EBY" u="1"/>
        <s v="T571DYR" u="1"/>
        <s v="T499DYR" u="1"/>
        <s v="T515EBY" u="1"/>
        <s v="T710EBX" u="1"/>
        <s v="T342DHG" u="1"/>
        <s v="T436DHG" u="1"/>
        <s v="T822DDS" u="1"/>
        <s v="T960DSX" u="1"/>
        <s v="T444DHG" u="1"/>
        <s v="T518EBY" u="1"/>
        <s v="T791EBW" u="1"/>
        <s v="T864EBY" u="1"/>
        <s v="T951DSX" u="1"/>
        <s v="T278EBY" u="1"/>
        <s v="T497DYR" u="1"/>
        <s v="T250EBX" u="1"/>
        <s v="T952DSX" u="1"/>
        <s v="T764DYR" u="1"/>
        <s v="T867EBY" u="1"/>
        <s v="T144EBX" u="1"/>
        <s v="T219EBX" u="1"/>
        <s v="T336ECN" u="1"/>
        <s v="T575DYR" u="1"/>
        <s v="T958DSX" u="1"/>
        <s v="T386ECN" u="1"/>
        <s v="T708EBX" u="1"/>
        <s v="T282EBY" u="1"/>
        <s v="T346EBX" u="1"/>
        <s v="T635DTQ" u="1"/>
        <s v="T403DHT" u="1"/>
        <s v="T929EBW" u="1"/>
        <s v="T341EBX" u="1"/>
        <s v="T524EBY" u="1"/>
        <s v="T650DTQ" u="1"/>
        <s v="T424DHG" u="1"/>
        <s v="T221EBX" u="1"/>
        <s v="T719DYR" u="1"/>
        <s v="T493DYR" u="1"/>
        <s v="T729DYR" u="1"/>
        <s v="T943DSX" u="1"/>
        <s v="T947DSX" u="1"/>
        <s v="T218EBX" u="1"/>
        <s v="T574DEB" u="1"/>
        <s v="T840EBY" u="1"/>
      </sharedItems>
    </cacheField>
    <cacheField name="Time" numFmtId="166">
      <sharedItems/>
    </cacheField>
    <cacheField name="RPT_DT" numFmtId="49">
      <sharedItems count="59">
        <s v="01.02.2026"/>
        <s v="02.02.2026"/>
        <s v="03.02.2026"/>
        <s v="04.02.2026"/>
        <s v="05.02.2026"/>
        <s v="06.02.2026"/>
        <s v="07.02.2026"/>
        <s v="08.02.2026"/>
        <s v="09.02.2026"/>
        <s v="10.02.2026"/>
        <s v="11.02.2026"/>
        <s v="12.02.2026"/>
        <s v="13.02.2026"/>
        <s v="14.02.2026"/>
        <s v="15.02.2026"/>
        <s v="16.02.2026"/>
        <s v="17.02.2026"/>
        <s v="18.02.2026"/>
        <s v="19.02.2026"/>
        <s v="20.02.2026"/>
        <s v="22.02.2026"/>
        <s v="23.02.2026"/>
        <s v="24.02.2026"/>
        <s v="25.02.2026"/>
        <s v="26.02.2026"/>
        <s v="27.02.2026"/>
        <s v="28.02.2026"/>
        <s v="2026-02-16" u="1"/>
        <s v="31.01.2026" u="1"/>
        <s v="01.01.2026" u="1"/>
        <s v="02.01.2026" u="1"/>
        <s v="03.01.2026" u="1"/>
        <s v="04.01.2026" u="1"/>
        <s v="05.01.2026" u="1"/>
        <s v="06.01.2026" u="1"/>
        <s v="07.01.2026" u="1"/>
        <s v="08.01.2026" u="1"/>
        <s v="09.01.2026" u="1"/>
        <s v="10.01.2026" u="1"/>
        <s v="11.01.2026" u="1"/>
        <s v="12.01.2026" u="1"/>
        <s v="13.01.2026" u="1"/>
        <s v="14.01.2026" u="1"/>
        <s v="15.01.2026" u="1"/>
        <s v="16.01.2026" u="1"/>
        <s v="17.01.2026" u="1"/>
        <s v="18.01.2026" u="1"/>
        <s v="19.01.2026" u="1"/>
        <s v="20.01.2026" u="1"/>
        <s v="21.01.2026" u="1"/>
        <s v="22.01.2026" u="1"/>
        <s v="23.01.2026" u="1"/>
        <s v="24.01.2026" u="1"/>
        <s v="25.01.2026" u="1"/>
        <s v="26.01.2026" u="1"/>
        <s v="27.01.2026" u="1"/>
        <s v="28.01.2026" u="1"/>
        <s v="29.01.2026" u="1"/>
        <s v="30.01.2026" u="1"/>
      </sharedItems>
    </cacheField>
    <cacheField name="DRIVER NAME" numFmtId="166">
      <sharedItems/>
    </cacheField>
    <cacheField name="MAX SPEED" numFmtId="166">
      <sharedItems/>
    </cacheField>
    <cacheField name="Location" numFmtId="164">
      <sharedItems/>
    </cacheField>
    <cacheField name="Speed limit" numFmtId="167">
      <sharedItems/>
    </cacheField>
    <cacheField name="Count" numFmtId="0">
      <sharedItems containsSemiMixedTypes="0" containsString="0" containsNumber="1" containsInteger="1" minValue="1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10">
  <r>
    <n v="1"/>
    <x v="0"/>
    <d v="2026-02-01T11:48:04"/>
    <x v="0"/>
    <s v="OMAR SWALEH CHANINGA"/>
    <s v="T127EBX: Harsh braking has been activated. At 01.02.2026 11:48:04 it moved with speed 55 km/h near 'Great North Road, Muchinga Province, Zambia, 7.84 km from Chinunda'."/>
    <s v="Great North Road, Zambia, Muchinga Province, 7.84 km from Chinunda"/>
    <n v="3"/>
  </r>
  <r>
    <n v="2"/>
    <x v="1"/>
    <d v="2026-02-01T17:02:24"/>
    <x v="0"/>
    <s v="ISAYA MSHUKURU MMBANDO"/>
    <s v="T271EBY: Harsh braking has been activated. At 01.02.2026 17:02:24 it moved with speed 66 km/h near 'Rn1, Haut-Katanga, Democratic Republic of the Congo, 11.59 km from Sumbilili'."/>
    <s v="Rn1, Democratic Republic of the Congo, Haut-Katanga, 11.59 km from Sumbilili"/>
    <n v="3"/>
  </r>
  <r>
    <n v="3"/>
    <x v="2"/>
    <d v="2026-02-01T06:36:58"/>
    <x v="0"/>
    <s v="SAID RAJABU RAJABU"/>
    <s v="T282EBY: Harsh braking has been activated. At 01.02.2026 06:36:58 it moved with speed 54 km/h near 'Iringa Road, Lundamatwe, Iringa, Tanzania'."/>
    <s v="Lundamatwe, Iringa Road, Tanzania, Iringa"/>
    <n v="4"/>
  </r>
  <r>
    <n v="4"/>
    <x v="3"/>
    <d v="2026-02-01T13:23:51"/>
    <x v="0"/>
    <s v="YUSUFU  SAMSON NICODEMUS"/>
    <s v="T331EBX: Harsh braking has been activated. At 01.02.2026 13:23:51 it moved with speed 52 km/h near 'T1, Mswiswi, Mbeya, Tanzania'."/>
    <s v="Mswiswi, T1, Tanzania, Mbeya"/>
    <n v="3"/>
  </r>
  <r>
    <n v="5"/>
    <x v="4"/>
    <d v="2026-02-01T09:26:45"/>
    <x v="0"/>
    <s v="JAMES JOSEPH NJAU"/>
    <s v="T341EBX: Harsh braking has been activated. At 01.02.2026 09:26:45 it moved with speed 51 km/h near 'Tanzania To Zambia Road, Iringa, Mufindi, Tanzania, 2.46 km from Ihemi'."/>
    <s v="Tanzania To Zambia Road, Tanzania, Iringa, Mufindi, 2.46 km from Ihemi"/>
    <n v="4"/>
  </r>
  <r>
    <n v="6"/>
    <x v="5"/>
    <d v="2026-02-01T12:34:53"/>
    <x v="0"/>
    <s v="RAJABU MOHAMED MATUA"/>
    <s v="T407DHE: Harsh braking has been activated. At 01.02.2026 12:34:53 it moved with speed 56 km/h near 'Iringa Road, Morogoro, Kilosa, Tanzania, 2.90 km from Kidayi 'B''."/>
    <s v="Iringa Road, Tanzania, Morogoro, Kilosa, 2.90 km from Kidayi 'B'"/>
    <n v="11"/>
  </r>
  <r>
    <n v="7"/>
    <x v="6"/>
    <d v="2026-02-01T12:45:14"/>
    <x v="0"/>
    <s v="BASHIRU ABDALLA HUSSEIN"/>
    <s v="T413DHG: Harsh braking has been activated. At 01.02.2026 12:45:14 it moved with speed 58 km/h near 'Great North Road, Central Province, Zambia, 2.83 km from Chifwefwe B'."/>
    <s v="Great North Road, Zambia, Central Province, 2.83 km from Chifwefwe B"/>
    <n v="6"/>
  </r>
  <r>
    <n v="8"/>
    <x v="7"/>
    <d v="2026-02-01T09:20:37"/>
    <x v="0"/>
    <s v="RAMADHANI SHABANI WAGAMOYO"/>
    <s v="T482DYR: Harsh braking has been activated. At 01.02.2026 09:20:37 it moved with speed 55 km/h near 'M3, Northern Province, Zambia, 11.39 km from Makungwe'."/>
    <s v="M3, Zambia, Northern Province, 11.39 km from Makungwe"/>
    <n v="3"/>
  </r>
  <r>
    <n v="9"/>
    <x v="8"/>
    <d v="2026-02-01T14:26:44"/>
    <x v="0"/>
    <s v="GABRIEL SHIJA MAHONA"/>
    <s v="T494DYR: Harsh braking has been activated. At 01.02.2026 14:26:44 it moved with speed 63 km/h near 'T1, Njombe, Tanzania, 10.30 km from Sao-Hill Forest Plantation'."/>
    <s v="T1, Tanzania, Njombe, 10.30 km from Sao-Hill Forest Plantation"/>
    <n v="5"/>
  </r>
  <r>
    <n v="10"/>
    <x v="9"/>
    <d v="2026-02-01T13:09:19"/>
    <x v="0"/>
    <s v="RAMADHANI MBEZI OMARY"/>
    <s v="T634DHL: Harsh braking has been activated. At 01.02.2026 13:09:19 it moved with speed 65 km/h near 'Route De Lubumbashi, Haut-Katanga, Democratic Republic of the Congo, 2.29 km from Kapulwa'."/>
    <s v="Route De Lubumbashi, Democratic Republic of the Congo, Haut-Katanga, 2.29 km from Kapulwa"/>
    <n v="3"/>
  </r>
  <r>
    <n v="11"/>
    <x v="10"/>
    <d v="2026-02-01T09:00:59"/>
    <x v="0"/>
    <s v="RAJABU HUSSEIN AHMAD"/>
    <s v="T712DYR: Harsh braking has been activated. At 01.02.2026 09:00:59 it moved with speed 52 km/h near 'T1, Mswiswi, Mbeya, Tanzania'."/>
    <s v="Mswiswi, T1, Tanzania, Mbeya"/>
    <n v="4"/>
  </r>
  <r>
    <n v="12"/>
    <x v="11"/>
    <d v="2026-02-02T11:33:39"/>
    <x v="1"/>
    <s v="FRANCIS ERNEST KIBULA"/>
    <s v="T250EBX: Harsh braking has been activated. At 02.02.2026 11:33:39 it moved with speed 68 km/h near 'Iringa Road, Iringa, Tanzania, Mtandika 'B''."/>
    <s v="Iringa Road, Tanzania, Iringa, Mtandika 'B'"/>
    <n v="27"/>
  </r>
  <r>
    <n v="13"/>
    <x v="12"/>
    <d v="2026-02-02T13:35:40"/>
    <x v="1"/>
    <s v="JUMA KOBA SAID"/>
    <s v="T329ECN: Harsh braking has been activated. At 02.02.2026 13:35:40 it moved with speed 59 km/h near 'T3, Copperbelt Province, Zambia, 12.39 km from Ndola'."/>
    <s v="T3, Zambia, Copperbelt Province, 12.39 km from Ndola"/>
    <n v="3"/>
  </r>
  <r>
    <n v="14"/>
    <x v="3"/>
    <d v="2026-02-02T09:29:56"/>
    <x v="1"/>
    <s v="YUSUFU  SAMSON NICODEMUS"/>
    <s v="T331EBX: Harsh braking has been activated. At 02.02.2026 09:29:56 it moved with speed 51 km/h near 'Iringa Road, Lundamatwe, Iringa, Tanzania'."/>
    <s v="Lundamatwe, Iringa Road, Tanzania, Iringa"/>
    <n v="4"/>
  </r>
  <r>
    <n v="15"/>
    <x v="13"/>
    <d v="2026-02-02T14:41:53"/>
    <x v="1"/>
    <s v="CHARLES LONGIN MASESA"/>
    <s v="T385ECN: Harsh braking has been activated. At 02.02.2026 14:41:53 it moved with speed 51 km/h near 'T3, Copperbelt Province, Zambia, 23.12 km from Pukota'."/>
    <s v="T3, Zambia, Copperbelt Province, 23.12 km from Pukota"/>
    <n v="3"/>
  </r>
  <r>
    <n v="16"/>
    <x v="14"/>
    <d v="2026-02-02T07:47:42"/>
    <x v="1"/>
    <s v="FRENK PETER SIMBEYE"/>
    <s v="T512DTR: Harsh braking has been activated. At 02.02.2026 07:47:42 it moved with speed 52 km/h near 'T1, Njombe, Makete, Tanzania, 3.98 km from Mabadaga'."/>
    <s v="T1, Tanzania, Njombe, Makete, 3.98 km from Mabadaga"/>
    <n v="3"/>
  </r>
  <r>
    <n v="17"/>
    <x v="15"/>
    <d v="2026-02-02T08:02:35"/>
    <x v="1"/>
    <s v="KHALIDY MOHAMEDY KIDOMO"/>
    <s v="T724DYR: Harsh braking has been activated. At 02.02.2026 08:02:35 it moved with speed 65 km/h near 'Great North Road, Central Province, Zambia, 9.81 km from Chitiwa'."/>
    <s v="Great North Road, Zambia, Central Province, 9.81 km from Chitiwa"/>
    <n v="4"/>
  </r>
  <r>
    <n v="18"/>
    <x v="16"/>
    <d v="2026-02-02T06:20:27"/>
    <x v="1"/>
    <s v="ELIA JUMA NZOWA"/>
    <s v="T728DYR: Harsh braking has been activated. At 02.02.2026 06:20:27 it moved with speed 70 km/h near 'T1, Njombe, Tanzania, Maguvani'."/>
    <s v="T1, Tanzania, Njombe, Maguvani"/>
    <n v="31"/>
  </r>
  <r>
    <n v="19"/>
    <x v="17"/>
    <d v="2026-02-02T09:53:00"/>
    <x v="1"/>
    <s v="MAKERE GACHUMA MAKERE"/>
    <s v="T774EBW: Harsh braking has been activated. At 02.02.2026 09:53:00 it moved with speed 63 km/h near 'Great North Road, Muchinga Province, Zambia, 18.58 km from Katibunga'."/>
    <s v="Great North Road, Zambia, Muchinga Province, 18.58 km from Katibunga"/>
    <n v="3"/>
  </r>
  <r>
    <n v="20"/>
    <x v="18"/>
    <d v="2026-02-03T11:58:49"/>
    <x v="2"/>
    <s v="GODFREY JOHN ANTHONY KUNDI"/>
    <s v="T107EBX: Harsh braking has been activated. At 03.02.2026 11:58:49 it moved with speed 56 km/h near 'Great North Road, Central Province, Zambia, 3.45 km from Kanona'."/>
    <s v="Great North Road, Zambia, Central Province, 3.45 km from Kanona"/>
    <n v="4"/>
  </r>
  <r>
    <n v="21"/>
    <x v="19"/>
    <d v="2026-02-03T08:06:44"/>
    <x v="2"/>
    <s v="ISAYA JOHN MSENA"/>
    <m/>
    <s v="Great North Road, Zambia, Central Province, 11.27 km from Kanona"/>
    <n v="4"/>
  </r>
  <r>
    <n v="22"/>
    <x v="20"/>
    <d v="2026-02-03T08:42:03"/>
    <x v="2"/>
    <s v="ELIAH YUSUPH MPANGO"/>
    <s v="T191EBX: Harsh braking has been activated. At 03.02.2026 08:06:44 it moved with speed 60 km/h near 'Great North Road, Central Province, Zambia, 11.27 km from Kanona'."/>
    <s v="Iringa Road, Tanzania, Morogoro, Kilosa, 2.06 km from Mikumi"/>
    <n v="5"/>
  </r>
  <r>
    <n v="23"/>
    <x v="12"/>
    <d v="2026-02-03T08:59:41"/>
    <x v="2"/>
    <s v="JUMA KOBA SAID"/>
    <s v="T329ECN: Harsh braking has been activated. At 03.02.2026 08:59:41 it moved with speed 53 km/h near 'Great North Road, Muchinga Province, Zambia, 7.88 km from Chinunda'."/>
    <s v="Great North Road, Zambia, Muchinga Province, 7.88 km from Chinunda"/>
    <n v="5"/>
  </r>
  <r>
    <n v="24"/>
    <x v="13"/>
    <d v="2026-02-03T07:32:27"/>
    <x v="2"/>
    <s v="CHARLES LONGIN MASESA"/>
    <s v="T329ECN: Harsh braking has been activated. At 03.02.2026 08:59:41 it moved with speed 53 km/h near 'Great North Road, Muchinga Province, Zambia, 7.88 km from Chinunda'."/>
    <s v="Great North Road, Zambia, Central Province, 11.79 km from Kanona"/>
    <n v="3"/>
  </r>
  <r>
    <n v="25"/>
    <x v="21"/>
    <d v="2026-02-03T06:23:26"/>
    <x v="2"/>
    <s v="ISMAIL KISANDU RUBASHA"/>
    <s v="T572DYR: Harsh braking has been activated. At 03.02.2026 06:23:26 it moved with speed 61 km/h near 'Iringa Road, Morogoro, Kilosa, Tanzania, Kidayi 'B''."/>
    <s v="Iringa Road, Tanzania, Morogoro, Kilosa, Kidayi 'B'"/>
    <n v="3"/>
  </r>
  <r>
    <n v="26"/>
    <x v="16"/>
    <d v="2026-02-03T06:32:10"/>
    <x v="2"/>
    <s v="ELIA JUMA NZOWA"/>
    <s v="T728DYR: Harsh braking has been activated. At 03.02.2026 06:32:10 it moved with speed 60 km/h near 'T1, Pwani, Bagamoyo, Tanzania, Msolwa'."/>
    <s v="T1, Tanzania, Pwani, Bagamoyo, Msolwa"/>
    <n v="4"/>
  </r>
  <r>
    <n v="27"/>
    <x v="22"/>
    <d v="2026-02-03T11:37:55"/>
    <x v="2"/>
    <s v="OMARY SAID MTAJI"/>
    <s v="T861EBY: Harsh braking has been activated. At 03.02.2026 11:37:55 it moved with speed 53 km/h near 'Morogoro Main Road, Pwani, Kibaha, Tanzania, Ruvu Darajani'."/>
    <s v="Morogoro Main Road, Tanzania, Pwani, Kibaha, Ruvu Darajani"/>
    <n v="4"/>
  </r>
  <r>
    <n v="28"/>
    <x v="23"/>
    <d v="2026-02-03T07:35:58"/>
    <x v="2"/>
    <s v="ABDULHAFIDH RADMAN ALLY"/>
    <s v="T862EBY: Harsh braking has been activated. At 03.02.2026 07:35:58 it moved with speed 58 km/h near 'Great North Road, Central Province, Zambia, 13.65 km from Kanona'."/>
    <s v="Great North Road, Zambia, Central Province, 13.65 km from Kanona"/>
    <n v="3"/>
  </r>
  <r>
    <n v="29"/>
    <x v="24"/>
    <d v="2026-02-03T10:09:11"/>
    <x v="2"/>
    <s v="ALLY RASHID SAID"/>
    <s v="T862EBY: Harsh braking has been activated. At 03.02.2026 07:35:58 it moved with speed 58 km/h near 'Great North Road, Central Province, Zambia, 13.65 km from Kanona'."/>
    <s v="Great North Road, Zambia, Central Province, 17.50 km from Ndabala"/>
    <n v="4"/>
  </r>
  <r>
    <n v="30"/>
    <x v="25"/>
    <d v="2026-02-03T12:18:09"/>
    <x v="2"/>
    <s v="SALIMU SAIDI KIANDIKO"/>
    <s v="T862EBY: Harsh braking has been activated. At 03.02.2026 07:35:58 it moved with speed 58 km/h near 'Great North Road, Central Province, Zambia, 13.65 km from Kanona'."/>
    <s v="Great North Road, Zambia, Central Province, 13.38 km from Muchinka"/>
    <n v="3"/>
  </r>
  <r>
    <n v="31"/>
    <x v="26"/>
    <d v="2026-02-04T07:27:23"/>
    <x v="3"/>
    <s v="BAHATI ATHUMANI MDOE"/>
    <s v="T153EBX: Harsh braking has been activated. At 04.02.2026 07:27:23 it moved with speed 57 km/h near 'Great North Road, Muchinga Province, Zambia, 8.67 km from Mwezo'."/>
    <s v="Great North Road, Zambia, Muchinga Province, 8.67 km from Mwezo"/>
    <n v="4"/>
  </r>
  <r>
    <n v="32"/>
    <x v="27"/>
    <d v="2026-02-04T06:16:25"/>
    <x v="3"/>
    <s v="BAKARI MOHAMEDI SAIDI"/>
    <s v="T263EBX: Harsh braking has been activated. At 04.02.2026 06:16:25 it moved with speed 62 km/h near 'Great North Road, Central Province, Zambia, 12.06 km from Muchinka'."/>
    <s v="Great North Road, Zambia, Central Province, 12.06 km from Muchinka"/>
    <n v="4"/>
  </r>
  <r>
    <n v="33"/>
    <x v="1"/>
    <d v="2026-02-04T07:49:55"/>
    <x v="3"/>
    <s v="ISAYA MSHUKURU MMBANDO"/>
    <s v="T271EBY: Harsh braking has been activated. At 04.02.2026 07:49:55 it moved with speed 52 km/h near 'T3, Copperbelt Province, Zambia, Ndola'."/>
    <s v="T3, Zambia, Copperbelt Province, Ndola"/>
    <n v="3"/>
  </r>
  <r>
    <n v="34"/>
    <x v="28"/>
    <d v="2026-02-04T09:17:10"/>
    <x v="3"/>
    <s v="HAMADI RASHID DOWILE"/>
    <s v="T392ECN: Harsh braking has been activated. At 04.02.2026 09:17:10 it moved with speed 56 km/h near 'T3, Copperbelt Province, Zambia, 30.60 km from Ndola'."/>
    <s v="T3, Zambia, Copperbelt Province, 30.60 km from Ndola"/>
    <n v="3"/>
  </r>
  <r>
    <n v="35"/>
    <x v="7"/>
    <d v="2026-02-04T06:19:55"/>
    <x v="3"/>
    <s v="RAMADHANI SHABANI WAGAMOYO"/>
    <s v="T482DYR: Harsh braking has been activated. At 04.02.2026 06:19:55 it moved with speed 63 km/h near 'Tanzania To Zambia Road, Iringa, Mufindi, Tanzania, Kinyanambo'."/>
    <s v="Tanzania To Zambia Road, Tanzania, Iringa, Mufindi, Kinyanambo"/>
    <n v="4"/>
  </r>
  <r>
    <n v="36"/>
    <x v="29"/>
    <d v="2026-02-04T18:36:45"/>
    <x v="3"/>
    <s v="EZEKIEL AIZACK KIHANZA"/>
    <s v="T734EBX: Harsh braking has been activated. At 04.02.2026 18:36:45 it moved with speed 53 km/h near 'Rn39, Kolwezi, Lualaba, Democratic Republic of the Congo'."/>
    <s v="Kolwezi, Rn39, Democratic Republic of the Congo, Lualaba"/>
    <n v="3"/>
  </r>
  <r>
    <n v="37"/>
    <x v="30"/>
    <d v="2026-02-04T08:42:17"/>
    <x v="3"/>
    <s v="GERALD RAPHAEL SALAMALA"/>
    <s v="T741EBX: Harsh braking has been activated. At 04.02.2026 08:42:17 it moved with speed 61 km/h near 'Rn39, Lualaba, Democratic Republic of the Congo, Kampulu'."/>
    <s v="Rn39, Democratic Republic of the Congo, Lualaba, Kampulu"/>
    <n v="3"/>
  </r>
  <r>
    <n v="38"/>
    <x v="31"/>
    <d v="2026-02-04T11:00:56"/>
    <x v="3"/>
    <s v="ATHUMANI SHABAN KAUNDU"/>
    <s v="T798EBW: Harsh braking has been activated. At 04.02.2026 11:00:56 it moved with speed 55 km/h near 'Great North Road, Central Province, Zambia, 13.64 km from Kanona'."/>
    <s v="Great North Road, Zambia, Central Province, 13.64 km from Kanona"/>
    <n v="3"/>
  </r>
  <r>
    <n v="39"/>
    <x v="32"/>
    <d v="2026-02-04T15:21:50"/>
    <x v="3"/>
    <s v="NIZAR HASHAM TIMBILI"/>
    <s v="T820DDS: Harsh braking has been activated. At 04.02.2026 15:21:50 it moved with speed 63 km/h near 'T1, Mbeya, Tanzania, 7.58 km from Msesule'."/>
    <s v="T1, Tanzania, Mbeya, 7.58 km from Msesule"/>
    <n v="3"/>
  </r>
  <r>
    <n v="40"/>
    <x v="33"/>
    <d v="2026-02-04T10:32:28"/>
    <x v="3"/>
    <s v="ABDUL HASSAN SADICK"/>
    <s v="T821EBW: Harsh braking has been activated. At 04.02.2026 10:32:28 it moved with speed 56 km/h near 'Great North Road, Muchinga Province, Zambia, 17.68 km from Isoka'."/>
    <s v="Great North Road, Zambia, Muchinga Province, 17.68 km from Isoka"/>
    <n v="3"/>
  </r>
  <r>
    <n v="41"/>
    <x v="22"/>
    <d v="2026-02-04T11:15:54"/>
    <x v="3"/>
    <s v="OMARY SAID MTAJI"/>
    <s v="T861EBY: Harsh braking has been activated. At 04.02.2026 11:15:54 it moved with speed 67 km/h near 'Iringa Road, Lundamatwe, Iringa, Tanzania'."/>
    <s v="Lundamatwe, Iringa Road, Tanzania, Iringa"/>
    <n v="3"/>
  </r>
  <r>
    <n v="42"/>
    <x v="34"/>
    <d v="2026-02-04T10:21:09"/>
    <x v="3"/>
    <s v="PATRICK MSONGWA MWANJIBILI"/>
    <s v="T875EBY: Harsh braking has been activated. At 04.02.2026 10:21:09 it moved with speed 56 km/h near 'Great North Road, Central Province, Zambia, 13.87 km from Serenje'."/>
    <s v="Great North Road, Zambia, Central Province, 13.87 km from Serenje"/>
    <n v="4"/>
  </r>
  <r>
    <n v="43"/>
    <x v="35"/>
    <d v="2026-02-04T09:08:03"/>
    <x v="3"/>
    <s v="ELIBAS EZEKIEL KITUNGWA"/>
    <s v="T907EBW: Harsh braking has been activated. At 04.02.2026 09:08:03 it moved with speed 51 km/h near 'T3, Ndola, Copperbelt Province, Zambia'."/>
    <s v="Ndola, T3, Zambia, Copperbelt Province"/>
    <n v="8"/>
  </r>
  <r>
    <n v="44"/>
    <x v="36"/>
    <d v="2026-02-04T09:55:29"/>
    <x v="3"/>
    <s v="GODFREY FRANK MBOJA"/>
    <s v="T915EBW: Harsh braking has been activated. At 04.02.2026 09:55:29 it moved with speed 52 km/h near 'Great North Road, Muchinga Province, Zambia, 7.15 km from Chilonga'."/>
    <s v="Great North Road, Zambia, Muchinga Province, 7.15 km from Chilonga"/>
    <n v="5"/>
  </r>
  <r>
    <n v="45"/>
    <x v="37"/>
    <d v="2026-02-04T17:48:20"/>
    <x v="3"/>
    <s v="CHRISTOPHER SAMWEL TITO "/>
    <s v="T967EBW: Harsh braking has been activated. At 04.02.2026 17:48:20 it moved with speed 69 km/h near 'Great North Road, Central Province, Zambia, 11.79 km from Bwale'."/>
    <s v="Great North Road, Zambia, Central Province, 11.79 km from Bwale"/>
    <n v="3"/>
  </r>
  <r>
    <n v="46"/>
    <x v="26"/>
    <d v="2026-02-05T09:29:12"/>
    <x v="4"/>
    <s v="BAHATI ATHUMANI MDOE"/>
    <s v="T153EBX: Harsh braking has been activated. At 05.02.2026 09:29:12 it moved with speed 60 km/h near 'Great North Road, Muchinga Province, Zambia, 5.69 km from Musata'."/>
    <s v="Great North Road, Zambia, Muchinga Province, 5.69 km from Musata"/>
    <n v="5"/>
  </r>
  <r>
    <n v="47"/>
    <x v="1"/>
    <d v="2026-02-05T07:57:56"/>
    <x v="4"/>
    <s v="ISAYA MSHUKURU MMBANDO"/>
    <s v="T271EBY: Harsh braking has been activated. At 05.02.2026 07:57:56 it moved with speed 61 km/h near 'Great North Road, Muchinga Province, Zambia, 4.44 km from Musata'."/>
    <s v="Great North Road, Zambia, Muchinga Province, 4.44 km from Musata"/>
    <n v="8"/>
  </r>
  <r>
    <n v="48"/>
    <x v="38"/>
    <d v="2026-02-05T11:42:54"/>
    <x v="4"/>
    <s v="IDD HUSSEIN KAZUBA"/>
    <s v="T312EBX: Harsh braking has been activated. At 05.02.2026 11:42:54 it moved with speed 53 km/h near 'Great North Road, Muchinga Province, Zambia, 3.17 km from Kalonje'."/>
    <s v="Great North Road, Zambia, Muchinga Province, 3.17 km from Kalonje"/>
    <n v="3"/>
  </r>
  <r>
    <n v="49"/>
    <x v="39"/>
    <d v="2026-02-05T08:26:33"/>
    <x v="4"/>
    <s v="OMARI SALIMU MOHAMEDI"/>
    <s v="T339EBX: Harsh braking has been activated. At 05.02.2026 08:26:33 it moved with speed 62 km/h near 'Rn39, Lualaba, Democratic Republic of the Congo, Zakeo'."/>
    <s v="Rn39, Democratic Republic of the Congo, Lualaba, Zakeo"/>
    <n v="3"/>
  </r>
  <r>
    <n v="50"/>
    <x v="40"/>
    <d v="2026-02-05T08:08:45"/>
    <x v="4"/>
    <s v="JUMANNE ALLY NJECHELE"/>
    <s v="T402ECN: Harsh braking has been activated. At 05.02.2026 08:08:45 it moved with speed 55 km/h near 'Rn39, Lualaba, Democratic Republic of the Congo, 1.24 km from Kampulu'."/>
    <s v="Rn39, Democratic Republic of the Congo, Lualaba, 1.24 km from Kampulu"/>
    <n v="3"/>
  </r>
  <r>
    <n v="51"/>
    <x v="41"/>
    <d v="2026-02-05T09:49:11"/>
    <x v="4"/>
    <s v="FADHILI SAIDI MTULILA"/>
    <s v="T417DHE: Harsh braking has been activated. At 05.02.2026 09:49:11 it moved with speed 60 km/h near 'Iringa Road, Morogoro, Kilosa, Tanzania, Igagala'."/>
    <s v="Iringa Road, Tanzania, Morogoro, Kilosa, Igagala"/>
    <n v="6"/>
  </r>
  <r>
    <n v="52"/>
    <x v="42"/>
    <d v="2026-02-05T07:47:33"/>
    <x v="4"/>
    <s v="OMARI ABEDI MOKA"/>
    <s v="T513EBY: Harsh braking has been activated. At 05.02.2026 07:47:33 it moved with speed 56 km/h near 'Great North Road, Muchinga Province, Zambia, Kaloswe'."/>
    <s v="Great North Road, Zambia, Muchinga Province, Kaloswe"/>
    <n v="3"/>
  </r>
  <r>
    <n v="53"/>
    <x v="43"/>
    <d v="2026-02-05T10:29:34"/>
    <x v="4"/>
    <s v="AHMED SAID LUWANDA"/>
    <s v="T703EBX: Harsh braking has been activated. At 05.02.2026 10:29:34 it moved with speed 53 km/h near 'Great North Road, Central Province, Zambia, 3.96 km from Godfrey Kunda'."/>
    <s v="Great North Road, Zambia, Central Province, 3.96 km from Godfrey Kunda"/>
    <n v="4"/>
  </r>
  <r>
    <n v="54"/>
    <x v="29"/>
    <d v="2026-02-05T08:11:34"/>
    <x v="4"/>
    <s v="EZEKIEL AIZACK KIHANZA"/>
    <s v="T734EBX: Harsh braking has been activated. At 05.02.2026 08:11:34 it moved with speed 57 km/h near 'Rn39, Lualaba, Democratic Republic of the Congo, Kabwe Dikuku (Sud)'."/>
    <s v="Rn39, Democratic Republic of the Congo, Lualaba, Kabwe Dikuku (Sud)"/>
    <n v="3"/>
  </r>
  <r>
    <n v="55"/>
    <x v="32"/>
    <d v="2026-02-05T08:57:41"/>
    <x v="4"/>
    <s v="NIZAR HASHAM TIMBILI"/>
    <s v="T820DDS: Harsh braking has been activated. At 05.02.2026 08:57:41 it moved with speed 52 km/h near 'Iringa Road, Iringa, Tanzania, 1.08 km from Ikokoto'."/>
    <s v="Iringa Road, Tanzania, Iringa, 1.08 km from Ikokoto"/>
    <n v="9"/>
  </r>
  <r>
    <n v="56"/>
    <x v="44"/>
    <d v="2026-02-05T08:47:07"/>
    <x v="4"/>
    <s v="ISSACK KONRADI KASIANO"/>
    <s v="T868EBW: Harsh braking has been activated. At 05.02.2026 08:47:07 it moved with speed 65 km/h near 'Great North Road, Muchinga Province, Zambia, 2.27 km from Chilonga'."/>
    <s v="Great North Road, Zambia, Muchinga Province, 2.27 km from Chilonga"/>
    <n v="5"/>
  </r>
  <r>
    <n v="57"/>
    <x v="45"/>
    <d v="2026-02-05T13:36:57"/>
    <x v="4"/>
    <s v="HAMISI RAMADHANI SULTAN"/>
    <s v="T878EBY: Harsh braking has been activated. At 05.02.2026 13:36:57 it moved with speed 67 km/h near 'Rn1, Haut-Katanga, Democratic Republic of the Congo, Kapolowe'."/>
    <s v="Rn1, Democratic Republic of the Congo, Haut-Katanga, Kapolowe"/>
    <n v="5"/>
  </r>
  <r>
    <n v="58"/>
    <x v="35"/>
    <d v="2026-02-05T11:40:17"/>
    <x v="4"/>
    <s v="ELIBAS EZEKIEL KITUNGWA"/>
    <s v="T907EBW: Harsh braking has been activated. At 05.02.2026 11:40:17 it moved with speed 53 km/h near 'Great North Road, Muchinga Province, Zambia, 20.24 km from Katibunga'."/>
    <s v="Great North Road, Zambia, Muchinga Province, 20.24 km from Katibunga"/>
    <n v="4"/>
  </r>
  <r>
    <n v="59"/>
    <x v="46"/>
    <d v="2026-02-05T15:08:10"/>
    <x v="4"/>
    <s v="YUNUS ABDILLAH SULEIMAN"/>
    <s v="T950EBW: Harsh braking has been activated. At 05.02.2026 15:08:10 it moved with speed 55 km/h near 'Great North Road, Muchinga Province, Zambia, 11.23 km from Amosi Pumba'."/>
    <s v="Great North Road, Zambia, Muchinga Province, 11.23 km from Amosi Pumba"/>
    <n v="3"/>
  </r>
  <r>
    <n v="60"/>
    <x v="47"/>
    <d v="2026-02-05T07:29:19"/>
    <x v="4"/>
    <s v="RAJABU ISSA OMARI"/>
    <s v="T975EBW: Harsh braking has been activated. At 05.02.2026 07:29:19 it moved with speed 55 km/h near 'Great North Road, Muchinga Province, Zambia, 7.37 km from Sebuloni'."/>
    <s v="Great North Road, Zambia, Muchinga Province, 7.37 km from Sebuloni"/>
    <n v="6"/>
  </r>
  <r>
    <n v="61"/>
    <x v="26"/>
    <d v="2026-02-06T10:42:47"/>
    <x v="5"/>
    <s v="BAHATI ATHUMANI MDOE"/>
    <s v="T153EBX: Harsh braking has been activated. At 06.02.2026 10:42:47 it moved with speed 53 km/h near 'Fisenge Bypass, Ndola, Copperbelt Province, Zambia'."/>
    <s v="Ndola, Fisenge Bypass, Zambia, Copperbelt Province"/>
    <n v="3"/>
  </r>
  <r>
    <n v="62"/>
    <x v="12"/>
    <d v="2026-02-06T08:28:30"/>
    <x v="5"/>
    <s v="JUMA KOBA SAID"/>
    <s v="T329ECN: Harsh braking has been activated. At 06.02.2026 08:28:30 it moved with speed 61 km/h near 'Iringa Road, Iringa, Tanzania, Matassi'."/>
    <s v="Iringa Road, Tanzania, Iringa, Matassi"/>
    <n v="4"/>
  </r>
  <r>
    <n v="63"/>
    <x v="48"/>
    <d v="2026-02-06T09:22:38"/>
    <x v="5"/>
    <s v="MANASE JOHSON YINDI"/>
    <s v="T748EBX: Harsh braking has been activated. At 06.02.2026 09:22:38 it moved with speed 53 km/h near 'Great North Road, Muchinga Province, Zambia, 6.90 km from Rumbuka'."/>
    <s v="Great North Road, Zambia, Muchinga Province, 6.90 km from Rumbuka"/>
    <n v="3"/>
  </r>
  <r>
    <n v="64"/>
    <x v="49"/>
    <d v="2026-02-06T17:08:28"/>
    <x v="5"/>
    <s v="ABUBAKAR JUMA YUSUPH"/>
    <s v="T772DYR: Harsh braking has been activated. At 06.02.2026 17:08:28 it moved with speed 52 km/h near 'Great North Road, Central Province, Zambia, 14.56 km from Kanona'."/>
    <s v="Great North Road, Zambia, Central Province, 14.56 km from Kanona"/>
    <n v="3"/>
  </r>
  <r>
    <n v="65"/>
    <x v="23"/>
    <d v="2026-02-06T08:37:22"/>
    <x v="5"/>
    <s v="ABDULHAFIDH RADMAN ALLY"/>
    <s v="T862EBY: Harsh braking has been activated. At 06.02.2026 08:37:22 it moved with speed 52 km/h near 'T1, Mbeya, Tanzania, 1.07 km from Makwenje'."/>
    <s v="T1, Tanzania, Mbeya, 1.07 km from Makwenje"/>
    <n v="3"/>
  </r>
  <r>
    <n v="66"/>
    <x v="50"/>
    <d v="2026-02-06T09:11:26"/>
    <x v="5"/>
    <s v="ATHONNY PAULO MDEDE"/>
    <s v="T873EBW: Harsh braking has been activated. At 06.02.2026 09:11:26 it moved with speed 52 km/h near 'Great North Road, Muchinga Province, Zambia, Chilonga'."/>
    <s v="Great North Road, Zambia, Muchinga Province, Chilonga"/>
    <n v="3"/>
  </r>
  <r>
    <n v="67"/>
    <x v="36"/>
    <d v="2026-02-06T09:22:16"/>
    <x v="5"/>
    <s v="GODFREY FRANK MBOJA"/>
    <s v="T915EBW: Harsh braking has been activated. At 06.02.2026 09:22:16 it moved with speed 61 km/h near 'M16, Copperbelt Province, Zambia, 1.87 km from Kalulushi'."/>
    <s v="M16, Zambia, Copperbelt Province, 1.87 km from Kalulushi"/>
    <n v="3"/>
  </r>
  <r>
    <n v="68"/>
    <x v="51"/>
    <d v="2026-02-07T07:31:06"/>
    <x v="6"/>
    <s v="MOHAMEDI IDDI KULWA"/>
    <s v="T269EBX: Harsh braking has been activated. At 07.02.2026 07:31:06 it moved with speed 63 km/h near 'Great North Road, Central Province, Zambia, 8.01 km from Tanemeka'."/>
    <s v="Great North Road, Zambia, Central Province, 8.01 km from Tanemeka"/>
    <n v="8"/>
  </r>
  <r>
    <n v="69"/>
    <x v="52"/>
    <d v="2026-02-07T15:44:23"/>
    <x v="6"/>
    <s v="RASUL ZUBERY KAONDO"/>
    <s v="T327EBX: Harsh braking has been activated. At 07.02.2026 15:44:23 it moved with speed 54 km/h near 'Great North Road, Muchinga Province, Zambia, 10.37 km from Godfrey Kunda'."/>
    <s v="Great North Road, Zambia, Muchinga Province, 10.37 km from Godfrey Kunda"/>
    <n v="3"/>
  </r>
  <r>
    <n v="70"/>
    <x v="53"/>
    <d v="2026-02-07T12:45:58"/>
    <x v="6"/>
    <s v="SAID ASUMAN MUHOGO"/>
    <s v="T438DHG: Harsh braking has been activated. At 07.02.2026 12:45:58 it moved with speed 82 km/h near 'Rn1, Haut-Katanga, Democratic Republic of the Congo, 9.55 km from Kikula'."/>
    <s v="Rn1, Democratic Republic of the Congo, Haut-Katanga, 9.55 km from Kikula"/>
    <n v="4"/>
  </r>
  <r>
    <n v="71"/>
    <x v="54"/>
    <d v="2026-02-07T13:15:23"/>
    <x v="6"/>
    <s v="NUHU MOHAMED NTILA"/>
    <s v="T496DYR: Harsh braking has been activated. At 07.02.2026 13:15:23 it moved with speed 62 km/h near 'Great North Road, Central Province, Zambia, 9.89 km from Kanona'."/>
    <s v="Great North Road, Zambia, Central Province, 9.89 km from Kanona"/>
    <n v="6"/>
  </r>
  <r>
    <n v="72"/>
    <x v="55"/>
    <d v="2026-02-07T10:46:09"/>
    <x v="6"/>
    <s v="MRISHO WAZIRI ALLY"/>
    <s v="T568DYR: Harsh braking has been activated. At 07.02.2026 10:46:09 it moved with speed 65 km/h near 'Rn1, Haut-Katanga, Democratic Republic of the Congo, 15.02 km from Tumbwe'."/>
    <s v="Rn1, Democratic Republic of the Congo, Haut-Katanga, 15.02 km from Tumbwe"/>
    <n v="12"/>
  </r>
  <r>
    <n v="73"/>
    <x v="56"/>
    <d v="2026-02-07T08:02:41"/>
    <x v="6"/>
    <s v="HAMUDU MAJID MARUZUKU"/>
    <s v="T583DYR: Harsh braking has been activated. At 07.02.2026 08:02:41 it moved with speed 58 km/h near 'Great North Road, Muchinga Province, Zambia, Kalonje'."/>
    <s v="Great North Road, Zambia, Muchinga Province, Kalonje"/>
    <n v="3"/>
  </r>
  <r>
    <n v="74"/>
    <x v="57"/>
    <d v="2026-02-07T11:16:15"/>
    <x v="6"/>
    <s v="ABDALLAH BAKARI ABDALLAH"/>
    <s v="T793EBW: Harsh braking has been activated. At 07.02.2026 11:16:15 it moved with speed 58 km/h near 'Rn1, Haut-Katanga, Democratic Republic of the Congo, 4.02 km from Lwisha'."/>
    <s v="Rn1, Democratic Republic of the Congo, Haut-Katanga, 4.02 km from Lwisha"/>
    <n v="4"/>
  </r>
  <r>
    <n v="75"/>
    <x v="58"/>
    <d v="2026-02-07T14:12:58"/>
    <x v="6"/>
    <s v="SELEIMANI MNGODO  SELEMAINI"/>
    <s v="T954DSX: Harsh braking has been activated. At 07.02.2026 14:12:58 it moved with speed 56 km/h near 'Rn39, Lualaba, Democratic Republic of the Congo, Lutanda'."/>
    <s v="Rn39, Democratic Republic of the Congo, Lualaba, Lutanda"/>
    <n v="3"/>
  </r>
  <r>
    <n v="76"/>
    <x v="59"/>
    <d v="2026-02-08T06:57:38"/>
    <x v="7"/>
    <n v="0"/>
    <s v="T315EBX: Harsh braking has been activated. At 08.02.2026 06:57:38 it moved with speed 51 km/h near 'Great North Road, Central Province, Zambia, 4.77 km from Godfrey Kunda'."/>
    <s v="Great North Road, Zambia, Central Province, 4.77 km from Godfrey Kunda"/>
    <n v="6"/>
  </r>
  <r>
    <n v="77"/>
    <x v="60"/>
    <d v="2026-02-08T07:31:59"/>
    <x v="7"/>
    <s v="AMIRI HAMISI MIKURU"/>
    <s v="T713DYR: Harsh braking has been activated. At 08.02.2026 07:31:59 it moved with speed 51 km/h near 'T1, Njombe, Tanzania, 6.54 km from Nyololo'."/>
    <s v="T1, Tanzania, Njombe, 6.54 km from Nyololo"/>
    <n v="4"/>
  </r>
  <r>
    <n v="78"/>
    <x v="61"/>
    <d v="2026-02-08T08:57:44"/>
    <x v="7"/>
    <s v="ZAKARIA RAJABU KINANA"/>
    <s v="T840EBY: Harsh braking has been activated. At 08.02.2026 08:57:44 it moved with speed 51 km/h near 'Great North Road, Central Province, Zambia, 5.23 km from Mkushi'."/>
    <s v="Great North Road, Zambia, Central Province, 5.23 km from Mkushi"/>
    <n v="4"/>
  </r>
  <r>
    <n v="79"/>
    <x v="62"/>
    <d v="2026-02-08T16:27:34"/>
    <x v="7"/>
    <s v="MUSSA JUMA MOHAMED"/>
    <s v="T842EBY: Harsh braking has been activated. At 08.02.2026 16:27:34 it moved with speed 54 km/h near 'T3, Ndola, Copperbelt Province, Zambia'."/>
    <s v="Ndola, T3, Zambia, Copperbelt Province"/>
    <n v="3"/>
  </r>
  <r>
    <n v="80"/>
    <x v="34"/>
    <d v="2026-02-08T06:25:52"/>
    <x v="7"/>
    <s v="PATRICK MSONGWA MWANJIBILI"/>
    <s v="T875EBY: Harsh braking has been activated. At 08.02.2026 06:25:52 it moved with speed 55 km/h near 'Iringa Road, Morogoro, Kilosa, Tanzania, Kidayi 'A''."/>
    <s v="Iringa Road, Tanzania, Morogoro, Kilosa, Kidayi 'A'"/>
    <n v="3"/>
  </r>
  <r>
    <n v="81"/>
    <x v="24"/>
    <d v="2026-02-08T09:58:46"/>
    <x v="7"/>
    <s v="ALLY RASHID SAID"/>
    <s v="T905EBW: Harsh braking has been activated. At 08.02.2026 09:58:46 it moved with speed 60 km/h near 'T1, Mbeya, Tanzania, 1.79 km from Mfumbi'."/>
    <s v="T1, Tanzania, Mbeya, 1.79 km from Mfumbi"/>
    <n v="3"/>
  </r>
  <r>
    <n v="82"/>
    <x v="35"/>
    <d v="2026-02-08T14:55:04"/>
    <x v="7"/>
    <s v="ELIBAS EZEKIEL KITUNGWA"/>
    <s v="T907EBW: Harsh braking has been activated. At 08.02.2026 14:55:04 it moved with speed 66 km/h near 'T1, Njombe, Tanzania, 6.32 km from Nyololo'."/>
    <s v="T1, Tanzania, Njombe, 6.32 km from Nyololo"/>
    <n v="4"/>
  </r>
  <r>
    <n v="83"/>
    <x v="63"/>
    <d v="2026-02-09T10:55:21"/>
    <x v="8"/>
    <s v="HASSAN ABDALLAH JUMA"/>
    <s v="T146EBX: Harsh braking has been activated. At 09.02.2026 10:55:21 it moved with speed 54 km/h near 'Great North Road, Central Province, Zambia, 3.98 km from Serenje'."/>
    <s v="Great North Road, Zambia, Central Province, 3.98 km from Serenje"/>
    <n v="6"/>
  </r>
  <r>
    <n v="84"/>
    <x v="64"/>
    <d v="2026-02-09T12:02:09"/>
    <x v="8"/>
    <s v="JOEL SAMSON MANDAGO"/>
    <s v="T235EBX: Harsh braking has been activated. At 09.02.2026 12:02:09 it moved with speed 55 km/h near 'Avenue Kawama, Katuba, Congo (Democratic Republic of the)'."/>
    <s v="Katuba, Avenue Kawama, Congo (Democratic Republic of the)"/>
    <n v="5"/>
  </r>
  <r>
    <n v="85"/>
    <x v="1"/>
    <d v="2026-02-09T06:14:16"/>
    <x v="8"/>
    <s v="ISAYA MSHUKURU MMBANDO"/>
    <s v="T271EBY: Harsh braking has been activated. At 09.02.2026 06:14:16 it moved with speed 56 km/h near 'T1, Njombe, Tanzania, 2.30 km from Idofi'."/>
    <s v="T1, Tanzania, Njombe, 2.30 km from Idofi"/>
    <n v="4"/>
  </r>
  <r>
    <n v="86"/>
    <x v="65"/>
    <d v="2026-02-09T11:28:33"/>
    <x v="8"/>
    <s v="HOSEA MRINGI MACHA "/>
    <s v="T497DYR: Harsh braking has been activated. At 09.02.2026 11:28:33 it moved with speed 54 km/h near 'Iringa Road, Morogoro, Kilosa, Tanzania, 13.14 km from Msimba'."/>
    <s v="Iringa Road, Tanzania, Morogoro, Kilosa, 13.14 km from Msimba"/>
    <n v="13"/>
  </r>
  <r>
    <n v="87"/>
    <x v="66"/>
    <d v="2026-02-09T10:29:45"/>
    <x v="8"/>
    <s v="SAID SALUM MOHAMED"/>
    <s v="T521EBY: Harsh braking has been activated. At 09.02.2026 10:29:45 it moved with speed 51 km/h near 'Great North Road, Muchinga Province, Zambia, 2.18 km from Kaole'."/>
    <s v="Great North Road, Zambia, Muchinga Province, 2.18 km from Kaole"/>
    <n v="3"/>
  </r>
  <r>
    <n v="88"/>
    <x v="67"/>
    <d v="2026-02-09T07:17:27"/>
    <x v="8"/>
    <s v="MISTWAHI AMRI SAID"/>
    <s v="T589DYR: Harsh braking has been activated. At 09.02.2026 07:17:27 it moved with speed 53 km/h near 'Rn1, Haut-Katanga, Democratic Republic of the Congo, 11.61 km from Chamba'."/>
    <s v="Rn1, Democratic Republic of the Congo, Haut-Katanga, 11.61 km from Chamba"/>
    <n v="3"/>
  </r>
  <r>
    <n v="89"/>
    <x v="62"/>
    <d v="2026-02-09T15:23:42"/>
    <x v="8"/>
    <s v="MUSSA JUMA MOHAMED"/>
    <s v="T842EBY: Harsh braking has been activated. At 09.02.2026 15:23:42 it moved with speed 58 km/h near 'Great North Road, Muchinga Province, Zambia, 3.88 km from Kaloswe'."/>
    <s v="Great North Road, Zambia, Muchinga Province, 3.88 km from Kaloswe"/>
    <n v="3"/>
  </r>
  <r>
    <n v="90"/>
    <x v="22"/>
    <d v="2026-02-09T08:09:30"/>
    <x v="8"/>
    <s v="OMARY SAID MTAJI"/>
    <s v="T861EBY: Harsh braking has been activated. At 09.02.2026 08:09:30 it moved with speed 51 km/h near 'Great North Road, Central Province, Zambia, 11.84 km from Bwale'."/>
    <s v="Great North Road, Zambia, Central Province, 11.84 km from Bwale"/>
    <n v="3"/>
  </r>
  <r>
    <n v="91"/>
    <x v="68"/>
    <d v="2026-02-09T13:51:30"/>
    <x v="8"/>
    <s v="YAHAYA MWINCHUMU ZUBERI"/>
    <s v="T899EBW: Harsh braking has been activated. At 09.02.2026 13:51:30 it moved with speed 60 km/h near 'Great North Road, Muchinga Province, Zambia, 3.50 km from Isoka'."/>
    <s v="Great North Road, Zambia, Muchinga Province, 3.50 km from Isoka"/>
    <n v="3"/>
  </r>
  <r>
    <n v="92"/>
    <x v="35"/>
    <d v="2026-02-09T10:36:37"/>
    <x v="8"/>
    <s v="ELIBAS EZEKIEL KITUNGWA"/>
    <s v="T907EBW: Harsh braking has been activated. At 09.02.2026 10:36:37 it moved with speed 54 km/h near 'Iringa Road, Morogoro, Kilosa, Tanzania, 11.87 km from Msimba'."/>
    <s v="Iringa Road, Tanzania, Morogoro, Kilosa, 11.87 km from Msimba"/>
    <n v="9"/>
  </r>
  <r>
    <n v="93"/>
    <x v="69"/>
    <d v="2026-02-09T12:35:21"/>
    <x v="8"/>
    <s v="OMARI ATHUMANI SELEMANI"/>
    <s v="T930EBW: Harsh braking has been activated. At 09.02.2026 12:35:21 it moved with speed 55 km/h near 'Great North Road, Central Province, Zambia, 10.50 km from Tanemeka'."/>
    <s v="Great North Road, Zambia, Central Province, 10.50 km from Tanemeka"/>
    <n v="8"/>
  </r>
  <r>
    <n v="94"/>
    <x v="70"/>
    <d v="2026-02-09T10:07:48"/>
    <x v="8"/>
    <s v="SHABANI HARUNA SEMENTA"/>
    <s v="T955EBW: Harsh braking has been activated. At 09.02.2026 10:07:48 it moved with speed 68 km/h near 'Iringa Road, Iringa, Tanzania, Matassi'."/>
    <s v="Iringa Road, Tanzania, Iringa, Matassi"/>
    <n v="5"/>
  </r>
  <r>
    <n v="95"/>
    <x v="71"/>
    <d v="2026-02-10T10:02:50"/>
    <x v="9"/>
    <s v="MANENO MOHAMED KAKIMA"/>
    <s v="T379ECN: Harsh braking has been activated. At 10.02.2026 10:02:50 it moved with speed 52 km/h near 'Iringa Road, Morogoro, Kilosa, Tanzania, 12.29 km from Msimba'."/>
    <s v="Iringa Road, Tanzania, Morogoro, Kilosa, 12.29 km from Msimba"/>
    <n v="5"/>
  </r>
  <r>
    <n v="96"/>
    <x v="72"/>
    <d v="2026-02-10T12:12:44"/>
    <x v="9"/>
    <s v="MANDELA WILSON MANYILIZU"/>
    <s v="T591DTQ: Harsh braking has been activated. At 10.02.2026 12:12:44 it moved with speed 64 km/h near 'T1, Morogoro, Tanzania, 4.00 km from Fulwe'."/>
    <s v="T1, Tanzania, Morogoro, 4.00 km from Fulwe"/>
    <n v="6"/>
  </r>
  <r>
    <n v="97"/>
    <x v="16"/>
    <d v="2026-02-10T19:07:46"/>
    <x v="9"/>
    <s v="ELIA JUMA NZOWA"/>
    <s v="T728DYR: Harsh braking has been activated. At 10.02.2026 19:07:46 it moved with speed 61 km/h near 'Iringa Road, Morogoro, Kilosa, Tanzania, 13.94 km from Igagala'."/>
    <s v="Iringa Road, Tanzania, Morogoro, Kilosa, 13.94 km from Igagala"/>
    <n v="3"/>
  </r>
  <r>
    <n v="98"/>
    <x v="73"/>
    <d v="2026-02-10T10:46:07"/>
    <x v="9"/>
    <s v="YUSUPH ZIAGA SANGA"/>
    <s v="T817EBW: Harsh braking has been activated. At 10.02.2026 10:46:07 it moved with speed 72 km/h near 'Rn39, Lualaba, Democratic Republic of the Congo, 1.27 km from Kampulu'."/>
    <s v="Rn39, Democratic Republic of the Congo, Lualaba, 1.27 km from Kampulu"/>
    <n v="10"/>
  </r>
  <r>
    <n v="99"/>
    <x v="22"/>
    <d v="2026-02-10T07:29:21"/>
    <x v="9"/>
    <s v="OMARY SAID MTAJI"/>
    <s v="T861EBY: Harsh braking has been activated. At 10.02.2026 07:29:21 it moved with speed 61 km/h near 'T3, Copperbelt Province, Zambia, 7.71 km from Tonde'."/>
    <s v="T3, Zambia, Copperbelt Province, 7.71 km from Tonde"/>
    <n v="3"/>
  </r>
  <r>
    <n v="100"/>
    <x v="44"/>
    <d v="2026-02-10T06:49:05"/>
    <x v="9"/>
    <s v="ISSACK KONRADI KASIANO"/>
    <s v="T868EBW: Harsh braking has been activated. At 10.02.2026 06:49:05 it moved with speed 63 km/h near 'Iringa Road, Lundamatwe, Iringa, Tanzania'."/>
    <s v="Lundamatwe, Iringa Road, Tanzania, Iringa"/>
    <n v="3"/>
  </r>
  <r>
    <n v="101"/>
    <x v="74"/>
    <d v="2026-02-10T07:24:57"/>
    <x v="9"/>
    <s v="MADENGE SALUM SHOMARI"/>
    <s v="T892EBW: Harsh braking has been activated. At 10.02.2026 07:24:57 it moved with speed 57 km/h near 'Great North Road, Muchinga Province, Zambia, 2.33 km from Kalonje'."/>
    <s v="Great North Road, Zambia, Muchinga Province, 2.33 km from Kalonje"/>
    <n v="5"/>
  </r>
  <r>
    <n v="102"/>
    <x v="18"/>
    <d v="2026-02-11T13:20:07"/>
    <x v="10"/>
    <s v="GODFREY JOHN ANTHONY KUNDI"/>
    <s v="T107EBX: Harsh braking has been activated. At 11.02.2026 13:20:07 it moved with speed 52 km/h near 'Rn1, Haut-Katanga, Democratic Republic of the Congo, 45.40 km from Lubumbashi'."/>
    <s v="Rn1, Democratic Republic of the Congo, Haut-Katanga, 45.40 km from Lubumbashi"/>
    <n v="7"/>
  </r>
  <r>
    <n v="103"/>
    <x v="26"/>
    <d v="2026-02-11T13:50:28"/>
    <x v="10"/>
    <s v="BAHATI ATHUMANI MDOE"/>
    <s v="T153EBX: Harsh braking has been activated. At 11.02.2026 13:50:28 it moved with speed 60 km/h near 'Rn1, Haut-Katanga, Democratic Republic of the Congo, 23.23 km from Tumbwe'."/>
    <s v="Rn1, Democratic Republic of the Congo, Haut-Katanga, 23.23 km from Tumbwe"/>
    <n v="4"/>
  </r>
  <r>
    <n v="104"/>
    <x v="75"/>
    <d v="2026-02-11T14:12:32"/>
    <x v="10"/>
    <s v="MOHAMEDI MOSHI NYANZA"/>
    <s v="T318EBX: Harsh braking has been activated. At 11.02.2026 14:12:32 it moved with speed 53 km/h near 'Rn1, Haut-Katanga, Democratic Republic of the Congo, 6.81 km from Lwisha'."/>
    <s v="Rn1, Democratic Republic of the Congo, Haut-Katanga, 6.81 km from Lwisha"/>
    <n v="3"/>
  </r>
  <r>
    <n v="105"/>
    <x v="76"/>
    <d v="2026-02-11T07:59:08"/>
    <x v="10"/>
    <s v="JEREMIAHY SIMONE MWALUKO"/>
    <s v="T378ECN: Harsh braking has been activated. At 11.02.2026 07:59:08 it moved with speed 58 km/h near 'Rn39, Lualaba, Democratic Republic of the Congo, Kamipungu'."/>
    <s v="Rn39, Democratic Republic of the Congo, Lualaba, Kamipungu"/>
    <n v="3"/>
  </r>
  <r>
    <n v="106"/>
    <x v="40"/>
    <d v="2026-02-11T12:12:25"/>
    <x v="10"/>
    <s v="JUMANNE ALLY NJECHELE"/>
    <s v="T402ECN: Harsh braking has been activated. At 11.02.2026 12:12:25 it moved with speed 51 km/h near 'Great North Road, Central Province, Zambia, 9.71 km from Chifwefwe B'."/>
    <s v="Great North Road, Zambia, Central Province, 9.71 km from Chifwefwe B"/>
    <n v="3"/>
  </r>
  <r>
    <n v="107"/>
    <x v="77"/>
    <d v="2026-02-11T07:45:02"/>
    <x v="10"/>
    <s v="LAMECK CHARLES ROMAN"/>
    <s v="T492DYR: Harsh braking has been activated. At 11.02.2026 07:45:02 it moved with speed 69 km/h near 'Iringa Road, Morogoro, Kilosa, Tanzania, 4.61 km from Igagala'."/>
    <s v="Iringa Road, Tanzania, Morogoro, Kilosa, 4.61 km from Igagala"/>
    <n v="5"/>
  </r>
  <r>
    <n v="108"/>
    <x v="78"/>
    <d v="2026-02-11T11:36:41"/>
    <x v="10"/>
    <s v="GASPER ELICHILIA KINYAHA"/>
    <s v="T528EBY: Harsh braking has been activated. At 11.02.2026 11:36:41 it moved with speed 60 km/h near 'Rn1, Haut-Katanga, Democratic Republic of the Congo, 7.90 km from Lwafu'."/>
    <s v="Rn1, Democratic Republic of the Congo, Haut-Katanga, 7.90 km from Lwafu"/>
    <n v="3"/>
  </r>
  <r>
    <n v="109"/>
    <x v="21"/>
    <d v="2026-02-11T09:04:22"/>
    <x v="10"/>
    <s v="ISMAIL KISANDU RUBASHA"/>
    <s v="T572DYR: Harsh braking has been activated. At 11.02.2026 09:04:22 it moved with speed 59 km/h near 'T1, Pwani, Bagamoyo, Tanzania, 7.06 km from Vigwaza'."/>
    <s v="T1, Tanzania, Pwani, Bagamoyo, 7.06 km from Vigwaza"/>
    <n v="4"/>
  </r>
  <r>
    <n v="110"/>
    <x v="72"/>
    <d v="2026-02-11T09:12:45"/>
    <x v="10"/>
    <s v="MANDELA WILSON MANYILIZU"/>
    <s v="T591DTQ: Harsh braking has been activated. At 11.02.2026 09:12:45 it moved with speed 52 km/h near 'Iringa Road, Lundamatwe, Iringa, Tanzania'."/>
    <s v="Lundamatwe, Iringa Road, Tanzania, Iringa"/>
    <n v="3"/>
  </r>
  <r>
    <n v="111"/>
    <x v="29"/>
    <d v="2026-02-11T10:41:39"/>
    <x v="10"/>
    <s v="EZEKIEL AIZACK KIHANZA"/>
    <s v="T734EBX: Harsh braking has been activated. At 11.02.2026 10:41:39 it moved with speed 51 km/h near 'Great North Road, Central Province, Zambia, 4.14 km from Manjolo'."/>
    <s v="Great North Road, Zambia, Central Province, 4.14 km from Manjolo"/>
    <n v="7"/>
  </r>
  <r>
    <n v="112"/>
    <x v="30"/>
    <d v="2026-02-11T10:49:44"/>
    <x v="10"/>
    <s v="GERALD RAPHAEL SALAMALA"/>
    <s v="T741EBX: Harsh braking has been activated. At 11.02.2026 10:49:44 it moved with speed 59 km/h near 'T3, Copperbelt Province, Zambia, 16.28 km from Pukota'."/>
    <s v="T3, Zambia, Copperbelt Province, 16.28 km from Pukota"/>
    <n v="6"/>
  </r>
  <r>
    <n v="113"/>
    <x v="79"/>
    <d v="2026-02-11T09:29:18"/>
    <x v="10"/>
    <s v="SUNDAY EDWIN SOKA"/>
    <s v="T755EBX: Harsh braking has been activated. At 11.02.2026 09:29:18 it moved with speed 61 km/h near 'Rn1, Haut-Katanga, Democratic Republic of the Congo, Mulungwishi'."/>
    <s v="Rn1, Democratic Republic of the Congo, Haut-Katanga, Mulungwishi"/>
    <n v="5"/>
  </r>
  <r>
    <n v="114"/>
    <x v="49"/>
    <d v="2026-02-11T09:03:16"/>
    <x v="10"/>
    <s v="ABUBAKAR JUMA YUSUPH"/>
    <s v="T772DYR: Harsh braking has been activated. At 11.02.2026 09:03:16 it moved with speed 52 km/h near 'Iringa Road, Morogoro, Kilosa, Tanzania, 13.90 km from Igagala'."/>
    <s v="Iringa Road, Tanzania, Morogoro, Kilosa, 13.90 km from Igagala"/>
    <n v="4"/>
  </r>
  <r>
    <n v="115"/>
    <x v="80"/>
    <d v="2026-02-11T09:36:47"/>
    <x v="10"/>
    <s v="JAPHARY NASSORO JAPHARY"/>
    <s v="T803EBW: Harsh braking has been activated. At 11.02.2026 09:36:47 it moved with speed 57 km/h near 'Great North Road, Central Province, Zambia, 1.87 km from Mkushi River'."/>
    <s v="Great North Road, Zambia, Central Province, 1.87 km from Mkushi River"/>
    <n v="3"/>
  </r>
  <r>
    <n v="116"/>
    <x v="73"/>
    <d v="2026-02-11T08:10:43"/>
    <x v="10"/>
    <s v="YUSUPH ZIAGA SANGA"/>
    <s v="T817EBW: Harsh braking has been activated. At 11.02.2026 08:10:43 it moved with speed 62 km/h near 'Rn1, Haut-Katanga, Democratic Republic of the Congo, Mbalaka'."/>
    <s v="Rn1, Democratic Republic of the Congo, Haut-Katanga, Mbalaka"/>
    <n v="21"/>
  </r>
  <r>
    <n v="117"/>
    <x v="81"/>
    <d v="2026-02-11T08:15:50"/>
    <x v="10"/>
    <s v="ATANASI PETRO MAGOHE"/>
    <s v="T871EBY: Harsh braking has been activated. At 11.02.2026 08:15:50 it moved with speed 59 km/h near 'Rn39, Lualaba, Democratic Republic of the Congo, 1.38 km from Fungurume'."/>
    <s v="Rn39, Democratic Republic of the Congo, Lualaba, 1.38 km from Fungurume"/>
    <n v="3"/>
  </r>
  <r>
    <n v="118"/>
    <x v="25"/>
    <d v="2026-02-11T13:45:00"/>
    <x v="10"/>
    <s v="SALIMU SAIDI KIANDIKO"/>
    <s v="T914EBW: Harsh braking has been activated. At 11.02.2026 13:45:00 it moved with speed 55 km/h near 'Rn1, Haut-Katanga, Democratic Republic of the Congo, 16.03 km from Lwisha'."/>
    <s v="Rn1, Democratic Republic of the Congo, Haut-Katanga, 16.03 km from Lwisha"/>
    <n v="3"/>
  </r>
  <r>
    <n v="119"/>
    <x v="82"/>
    <d v="2026-02-12T09:12:14"/>
    <x v="11"/>
    <s v="DAVID CHRISTOPHER KESSY"/>
    <s v="T261EBX: Harsh braking has been activated. At 12.02.2026 09:12:14 it moved with speed 53 km/h near 'Great North Road, Central Province, Zambia, 8.21 km from Serenje'."/>
    <s v="Great North Road, Zambia, Central Province, 8.21 km from Serenje"/>
    <n v="5"/>
  </r>
  <r>
    <n v="120"/>
    <x v="83"/>
    <d v="2026-02-12T07:51:43"/>
    <x v="11"/>
    <s v="RAMADHANI NASSORO KILUA"/>
    <s v="T318EBY: Harsh braking has been activated. At 12.02.2026 07:51:43 it moved with speed 58 km/h near 'Great North Road, Central Province, Zambia, 7.93 km from Godfrey Kunda'."/>
    <s v="Great North Road, Zambia, Central Province, 7.93 km from Godfrey Kunda"/>
    <n v="3"/>
  </r>
  <r>
    <n v="121"/>
    <x v="40"/>
    <d v="2026-02-12T07:08:05"/>
    <x v="11"/>
    <s v="JUMANNE ALLY NJECHELE"/>
    <s v="T402ECN: Harsh braking has been activated. At 12.02.2026 07:08:05 it moved with speed 56 km/h near 'Great North Road, Muchinga Province, Zambia, 2.11 km from Godfrey Kunda'."/>
    <s v="Great North Road, Zambia, Muchinga Province, 2.11 km from Godfrey Kunda"/>
    <n v="9"/>
  </r>
  <r>
    <n v="122"/>
    <x v="5"/>
    <d v="2026-02-12T06:34:17"/>
    <x v="11"/>
    <s v="RAJABU MOHAMED MATUA"/>
    <s v="T407DHE: Harsh braking has been activated. At 12.02.2026 06:34:17 it moved with speed 54 km/h near 'Iringa Road, Morogoro, Tanzania, 1.26 km from Melela Mlandizi'."/>
    <s v="Iringa Road, Tanzania, Morogoro, 1.26 km from Melela Mlandizi"/>
    <n v="6"/>
  </r>
  <r>
    <n v="123"/>
    <x v="84"/>
    <d v="2026-02-12T08:38:46"/>
    <x v="11"/>
    <s v="MFAUME SALUM LWAUPA"/>
    <s v="T526EBY: Harsh braking has been activated. At 12.02.2026 08:38:46 it moved with speed 52 km/h near 'Great North Road, Muchinga Province, Zambia, 3.91 km from Kaloswe'."/>
    <s v="Great North Road, Zambia, Muchinga Province, 3.91 km from Kaloswe"/>
    <n v="3"/>
  </r>
  <r>
    <n v="124"/>
    <x v="85"/>
    <d v="2026-02-12T08:45:50"/>
    <x v="11"/>
    <s v="ABUBAKARY OMARY KABAKA"/>
    <s v="T677EBX: Harsh braking has been activated. At 12.02.2026 08:45:50 it moved with speed 53 km/h near 'Great North Road, Muchinga Province, Zambia, 9.41 km from Chinkumba'."/>
    <s v="Great North Road, Zambia, Muchinga Province, 9.41 km from Chinkumba"/>
    <n v="4"/>
  </r>
  <r>
    <n v="125"/>
    <x v="86"/>
    <d v="2026-02-12T07:36:34"/>
    <x v="11"/>
    <s v="EZEKIEL MASANJA LUGANDU"/>
    <s v="T725EBX: Harsh braking has been activated. At 12.02.2026 07:36:34 it moved with speed 58 km/h near 'Great North Road, Muchinga Province, Zambia, 7.88 km from Chinunda'."/>
    <s v="Great North Road, Zambia, Muchinga Province, 7.88 km from Chinunda"/>
    <n v="3"/>
  </r>
  <r>
    <n v="126"/>
    <x v="30"/>
    <d v="2026-02-12T08:38:37"/>
    <x v="11"/>
    <s v="GERALD RAPHAEL SALAMALA"/>
    <s v="T741EBX: Harsh braking has been activated. At 12.02.2026 08:38:37 it moved with speed 53 km/h near 'Great North Road, Muchinga Province, Zambia, 3.89 km from Kaloswe'."/>
    <s v="Great North Road, Zambia, Muchinga Province, 3.89 km from Kaloswe"/>
    <n v="4"/>
  </r>
  <r>
    <n v="127"/>
    <x v="87"/>
    <d v="2026-02-12T09:08:25"/>
    <x v="11"/>
    <s v="JABU RASHIDI ISSA"/>
    <s v="T754DEB: Harsh braking has been activated. At 12.02.2026 09:08:25 it moved with speed 56 km/h near 'M4, Copperbelt Province, Zambia, 4.97 km from Mufulira'."/>
    <s v="M4, Zambia, Copperbelt Province, 4.97 km from Mufulira"/>
    <n v="5"/>
  </r>
  <r>
    <n v="128"/>
    <x v="79"/>
    <d v="2026-02-12T12:34:16"/>
    <x v="11"/>
    <s v="SUNDAY EDWIN SOKA"/>
    <s v="T755EBX: Harsh braking has been activated. At 12.02.2026 12:34:16 it moved with speed 70 km/h near 'Rn1, Haut-Katanga, Democratic Republic of the Congo, 11.54 km from Chamba'."/>
    <s v="Rn1, Democratic Republic of the Congo, Haut-Katanga, 11.54 km from Chamba"/>
    <n v="9"/>
  </r>
  <r>
    <n v="129"/>
    <x v="73"/>
    <d v="2026-02-12T16:30:18"/>
    <x v="11"/>
    <s v="YUSUPH ZIAGA SANGA"/>
    <s v="T817EBW: Harsh braking has been activated. At 12.02.2026 16:30:18 it moved with speed 58 km/h near 'Rn1, Haut-Katanga, Democratic Republic of the Congo, 6.78 km from Kasumbalesa'."/>
    <s v="Rn1, Democratic Republic of the Congo, Haut-Katanga, 6.78 km from Kasumbalesa"/>
    <n v="12"/>
  </r>
  <r>
    <n v="130"/>
    <x v="88"/>
    <d v="2026-02-12T11:28:12"/>
    <x v="11"/>
    <s v="STEPHANO ABINELI ULOMI"/>
    <s v="T873EBY: Harsh braking has been activated. At 12.02.2026 11:28:12 it moved with speed 56 km/h near 'T3, Copperbelt Province, Zambia, 14.25 km from Pukota'."/>
    <s v="T3, Zambia, Copperbelt Province, 14.25 km from Pukota"/>
    <n v="3"/>
  </r>
  <r>
    <n v="131"/>
    <x v="89"/>
    <d v="2026-02-12T14:08:10"/>
    <x v="11"/>
    <s v="RAMADHAN RAHIBU SULEIMAN"/>
    <s v="T904EBW: Harsh braking has been activated. At 12.02.2026 14:08:10 it moved with speed 54 km/h near 'Route De Kanianina, Haut-Katanga, Democratic Republic of the Congo, 2.45 km from Kakila'."/>
    <s v="Route De Kanianina, Democratic Republic of the Congo, Haut-Katanga, 2.45 km from Kakila"/>
    <n v="3"/>
  </r>
  <r>
    <n v="132"/>
    <x v="90"/>
    <d v="2026-02-13T14:18:47"/>
    <x v="12"/>
    <s v="NASSIBU MSENGESI MLASA"/>
    <s v="T102EBX: Harsh braking has been activated. At 13.02.2026 14:18:47 it moved with speed 51 km/h near 'Great North Road, Central Province, Zambia, 6.64 km from Godfrey Kunda'."/>
    <s v="Great North Road, Zambia, Central Province, 6.64 km from Godfrey Kunda"/>
    <n v="3"/>
  </r>
  <r>
    <n v="133"/>
    <x v="91"/>
    <d v="2026-02-13T09:53:46"/>
    <x v="12"/>
    <s v="ABDUL SWEDI URASA"/>
    <s v="T147EBX: Harsh braking has been activated. At 13.02.2026 09:53:46 it moved with speed 52 km/h near 'Great North Road, Muchinga Province, Zambia, 2.41 km from Mpumba'."/>
    <s v="Great North Road, Zambia, Muchinga Province, 2.41 km from Mpumba"/>
    <n v="3"/>
  </r>
  <r>
    <n v="134"/>
    <x v="92"/>
    <d v="2026-02-13T10:41:11"/>
    <x v="12"/>
    <s v="RICHARD ALOYCE MAKYAO"/>
    <s v="T178EBX: Harsh braking has been activated. At 13.02.2026 10:41:11 it moved with speed 56 km/h near 'Great North Road, Muchinga Province, Zambia, 3.92 km from Kaloswe'."/>
    <s v="Great North Road, Zambia, Muchinga Province, 3.92 km from Kaloswe"/>
    <n v="3"/>
  </r>
  <r>
    <n v="135"/>
    <x v="20"/>
    <d v="2026-02-13T09:10:34"/>
    <x v="12"/>
    <s v="ELIAH YUSUPH MPANGO"/>
    <s v="T232EBX: Harsh braking has been activated. At 13.02.2026 09:10:34 it moved with speed 60 km/h near 'Great North Road, Muchinga Province, Zambia, 19.54 km from Katibunga'."/>
    <s v="Great North Road, Zambia, Muchinga Province, 19.54 km from Katibunga"/>
    <n v="7"/>
  </r>
  <r>
    <n v="136"/>
    <x v="51"/>
    <d v="2026-02-13T13:17:19"/>
    <x v="12"/>
    <s v="MOHAMEDI IDDI KULWA"/>
    <s v="T269EBX: Harsh braking has been activated. At 13.02.2026 13:17:19 it moved with speed 56 km/h near 'Iringa Road, Lundamatwe, Iringa, Tanzania'."/>
    <s v="Lundamatwe, Iringa Road, Tanzania, Iringa"/>
    <n v="5"/>
  </r>
  <r>
    <n v="137"/>
    <x v="93"/>
    <d v="2026-02-13T16:16:45"/>
    <x v="12"/>
    <s v="SALUM ALLY MAYANGA"/>
    <s v="T308EBX: Harsh braking has been activated. At 13.02.2026 16:16:45 it moved with speed 56 km/h near 'Great North Road, Central Province, Zambia, 6.58 km from Kanona'."/>
    <s v="Great North Road, Zambia, Central Province, 6.58 km from Kanona"/>
    <n v="7"/>
  </r>
  <r>
    <n v="138"/>
    <x v="94"/>
    <d v="2026-02-13T09:28:41"/>
    <x v="12"/>
    <s v="DAUD JOSEPH GINATIO"/>
    <s v="T386ECN: Harsh braking has been activated. At 13.02.2026 09:28:41 it moved with speed 66 km/h near 'Great North Road, Central Province, Zambia, 9.97 km from Mkushi'."/>
    <s v="Great North Road, Zambia, Central Province, 9.97 km from Mkushi"/>
    <n v="3"/>
  </r>
  <r>
    <n v="139"/>
    <x v="95"/>
    <d v="2026-02-13T08:11:41"/>
    <x v="12"/>
    <s v="OMARY IDDY MACHUPPA"/>
    <s v="T390ECN: Harsh braking has been activated. At 13.02.2026 08:11:41 it moved with speed 60 km/h near 'Great North Road, Muchinga Province, Zambia, 1.14 km from Mkasi'."/>
    <s v="Great North Road, Zambia, Muchinga Province, 1.14 km from Mkasi"/>
    <n v="3"/>
  </r>
  <r>
    <n v="140"/>
    <x v="96"/>
    <d v="2026-02-13T12:34:24"/>
    <x v="12"/>
    <s v="PASTOR GASPER MCHAU"/>
    <s v="T590DTQ: Harsh braking has been activated. At 13.02.2026 12:34:24 it moved with speed 56 km/h near 'Great North Road, Muchinga Province, Zambia, 12.71 km from Mwezo'."/>
    <s v="Great North Road, Zambia, Muchinga Province, 12.71 km from Mwezo"/>
    <n v="4"/>
  </r>
  <r>
    <n v="141"/>
    <x v="97"/>
    <d v="2026-02-13T10:47:43"/>
    <x v="12"/>
    <s v="HARFANI MANENO MGAWE"/>
    <s v="T680EBX: Harsh braking has been activated. At 13.02.2026 10:47:43 it moved with speed 55 km/h near 'Great North Road, Central Province, Zambia, 3.73 km from Ndabala'."/>
    <s v="Great North Road, Zambia, Central Province, 3.73 km from Ndabala"/>
    <n v="4"/>
  </r>
  <r>
    <n v="142"/>
    <x v="98"/>
    <d v="2026-02-13T07:59:42"/>
    <x v="12"/>
    <s v="MUMBA YASSINI KHAMISI"/>
    <s v="T710EBX: Harsh braking has been activated. At 13.02.2026 07:59:42 it moved with speed 51 km/h near 'Great North Road, Central Province, Zambia, 14.57 km from Kanona'."/>
    <s v="Great North Road, Zambia, Central Province, 14.57 km from Kanona"/>
    <n v="3"/>
  </r>
  <r>
    <n v="143"/>
    <x v="87"/>
    <d v="2026-02-13T11:45:13"/>
    <x v="12"/>
    <s v="JABU RASHIDI ISSA"/>
    <s v="T754DEB: Harsh braking has been activated. At 13.02.2026 11:45:13 it moved with speed 51 km/h near 'Great North Road, Central Province, Zambia, 5.87 km from Serenje'."/>
    <s v="Great North Road, Zambia, Central Province, 5.87 km from Serenje"/>
    <n v="4"/>
  </r>
  <r>
    <n v="144"/>
    <x v="99"/>
    <d v="2026-02-13T10:54:01"/>
    <x v="12"/>
    <n v="0"/>
    <s v="T770DYR: Harsh braking has been activated. At 13.02.2026 10:54:01 it moved with speed 52 km/h near 'Great North Road, Central Province, Zambia, 10.64 km from Muchinka'."/>
    <s v="Great North Road, Zambia, Central Province, 10.64 km from Muchinka"/>
    <n v="3"/>
  </r>
  <r>
    <n v="145"/>
    <x v="100"/>
    <d v="2026-02-13T16:30:27"/>
    <x v="12"/>
    <s v="REVOCATUS LAUREAN ANATORY"/>
    <s v="T839EBY: Harsh braking has been activated. At 13.02.2026 16:30:27 it moved with speed 55 km/h near 'Great North Road, Muchinga Province, Zambia, 4.34 km from Musata'."/>
    <s v="Great North Road, Zambia, Muchinga Province, 4.34 km from Musata"/>
    <n v="5"/>
  </r>
  <r>
    <n v="146"/>
    <x v="101"/>
    <d v="2026-02-13T08:21:08"/>
    <x v="12"/>
    <s v="HAMISI SELEMAN ZITTO"/>
    <s v="T849EBY: Harsh braking has been activated. At 13.02.2026 08:21:08 it moved with speed 58 km/h near 'Great North Road, Muchinga Province, Zambia, Mkasi'."/>
    <s v="Great North Road, Zambia, Muchinga Province, Mkasi"/>
    <n v="3"/>
  </r>
  <r>
    <n v="147"/>
    <x v="102"/>
    <d v="2026-02-13T11:57:37"/>
    <x v="12"/>
    <s v="SULEIMAN RAMADHANI KILIMWENGU"/>
    <s v="T858EBY: Harsh braking has been activated. At 13.02.2026 11:57:37 it moved with speed 52 km/h near 'Great North Road, Muchinga Province, Zambia, 5.07 km from Kalonje'."/>
    <s v="Great North Road, Zambia, Muchinga Province, 5.07 km from Kalonje"/>
    <n v="4"/>
  </r>
  <r>
    <n v="148"/>
    <x v="88"/>
    <d v="2026-02-13T07:28:19"/>
    <x v="12"/>
    <s v="STEPHANO ABINELI ULOMI"/>
    <s v="T873EBY: Harsh braking has been activated. At 13.02.2026 07:28:19 it moved with speed 53 km/h near 'Great North Road, Central Province, Zambia, 19.80 km from Serenje'."/>
    <s v="Great North Road, Zambia, Central Province, 19.80 km from Serenje"/>
    <n v="3"/>
  </r>
  <r>
    <n v="149"/>
    <x v="103"/>
    <d v="2026-02-13T09:30:44"/>
    <x v="12"/>
    <s v="ISSA MOHAMED KIMWAGA"/>
    <s v="T891EBW: Harsh braking has been activated. At 13.02.2026 09:30:44 it moved with speed 56 km/h near 'Great North Road, Muchinga Province, Zambia, 6.83 km from Mkasi'."/>
    <s v="Great North Road, Zambia, Muchinga Province, 6.83 km from Mkasi"/>
    <n v="8"/>
  </r>
  <r>
    <n v="150"/>
    <x v="89"/>
    <d v="2026-02-13T17:01:43"/>
    <x v="12"/>
    <s v="RAMADHAN RAHIBU SULEIMAN"/>
    <s v="T904EBW: Harsh braking has been activated. At 13.02.2026 17:01:43 it moved with speed 58 km/h near 'Rn1, Haut-Katanga, Democratic Republic of the Congo, 4.73 km from Tshinsenda'."/>
    <s v="Rn1, Democratic Republic of the Congo, Haut-Katanga, 4.73 km from Tshinsenda"/>
    <n v="5"/>
  </r>
  <r>
    <n v="151"/>
    <x v="104"/>
    <d v="2026-02-13T15:03:23"/>
    <x v="12"/>
    <s v="HASSANI MABROUCK TUNZA"/>
    <s v="T932EBW: Harsh braking has been activated. At 13.02.2026 15:03:23 it moved with speed 56 km/h near 'Rn1, Haut-Katanga, Democratic Republic of the Congo, 1.96 km from Sumbilili'."/>
    <s v="Rn1, Democratic Republic of the Congo, Haut-Katanga, 1.96 km from Sumbilili"/>
    <n v="3"/>
  </r>
  <r>
    <n v="152"/>
    <x v="105"/>
    <d v="2026-02-14T06:53:19"/>
    <x v="13"/>
    <s v="JUMANNE ALLY MUHINA"/>
    <s v="T259EBY: Harsh braking has been activated. At 14.02.2026 06:53:19 it moved with speed 57 km/h near 'Great North Road, Muchinga Province, Zambia, 5.06 km from Mkasi'."/>
    <s v="Great North Road, Zambia, Muchinga Province, 5.06 km from Mkasi"/>
    <n v="7"/>
  </r>
  <r>
    <n v="153"/>
    <x v="95"/>
    <d v="2026-02-14T08:03:54"/>
    <x v="13"/>
    <s v="OMARY IDDY MACHUPPA"/>
    <s v="T390ECN: Harsh braking has been activated. At 14.02.2026 08:03:54 it moved with speed 55 km/h near 'Great North Road, Muchinga Province, Zambia, 1.42 km from Musata'."/>
    <s v="Great North Road, Zambia, Muchinga Province, 1.42 km from Musata"/>
    <n v="6"/>
  </r>
  <r>
    <n v="154"/>
    <x v="8"/>
    <d v="2026-02-14T11:31:51"/>
    <x v="13"/>
    <s v="GABRIEL SHIJA MAHONA"/>
    <s v="T494DYR: Harsh braking has been activated. At 14.02.2026 11:31:51 it moved with speed 58 km/h near 'Great North Road, Muchinga Province, Zambia, 17.50 km from Mukukwe'."/>
    <s v="Great North Road, Zambia, Muchinga Province, 17.50 km from Mukukwe"/>
    <n v="10"/>
  </r>
  <r>
    <n v="155"/>
    <x v="106"/>
    <d v="2026-02-14T07:49:48"/>
    <x v="13"/>
    <s v="ERASTO CHARLES MTWEVE"/>
    <s v="T512EBY: Harsh braking has been activated. At 14.02.2026 07:49:48 it moved with speed 56 km/h near 'Rue De La Kamoa Mine, Lualaba, Democratic Republic of the Congo, 6.66 km from Kapata'."/>
    <s v="Rue De La Kamoa Mine, Democratic Republic of the Congo, Lualaba, 6.66 km from Kapata"/>
    <n v="3"/>
  </r>
  <r>
    <n v="156"/>
    <x v="107"/>
    <d v="2026-02-14T15:45:49"/>
    <x v="13"/>
    <s v="STAN ENISON LULANDALA"/>
    <s v="T561DYR: Harsh braking has been activated. At 14.02.2026 15:45:49 it moved with speed 63 km/h near 'Rn1, Haut-Katanga, Democratic Republic of the Congo, 5.40 km from Lwisha'."/>
    <s v="Rn1, Democratic Republic of the Congo, Haut-Katanga, 5.40 km from Lwisha"/>
    <n v="5"/>
  </r>
  <r>
    <n v="157"/>
    <x v="108"/>
    <d v="2026-02-14T08:10:21"/>
    <x v="13"/>
    <s v="RAMADHANI SALIMU SHEDAFA"/>
    <s v="T588DTQ: Harsh braking has been activated. At 14.02.2026 08:10:21 it moved with speed 53 km/h near 'Rue De La Kamoa Mine, Lualaba, Democratic Republic of the Congo, 1.53 km from Tshizunza'."/>
    <s v="Rue De La Kamoa Mine, Democratic Republic of the Congo, Lualaba, 1.53 km from Tshizunza"/>
    <n v="3"/>
  </r>
  <r>
    <n v="158"/>
    <x v="96"/>
    <d v="2026-02-14T11:38:37"/>
    <x v="13"/>
    <s v="PASTOR GASPER MCHAU"/>
    <s v="T590DTQ: Harsh braking has been activated. At 14.02.2026 11:38:37 it moved with speed 57 km/h near 'Great North Road, Muchinga Province, Zambia, 1.33 km from Kaloswe'."/>
    <s v="Great North Road, Zambia, Muchinga Province, 1.33 km from Kaloswe"/>
    <n v="7"/>
  </r>
  <r>
    <n v="159"/>
    <x v="109"/>
    <d v="2026-02-14T08:15:41"/>
    <x v="13"/>
    <s v="CHRISTIAN NKWELA MAPUNDA"/>
    <s v="T728EBX: Harsh braking has been activated. At 14.02.2026 08:15:41 it moved with speed 55 km/h near 'Great North Road, Muchinga Province, Zambia, Chinkumba'."/>
    <s v="Great North Road, Zambia, Muchinga Province, Chinkumba"/>
    <n v="4"/>
  </r>
  <r>
    <n v="160"/>
    <x v="79"/>
    <d v="2026-02-14T09:26:21"/>
    <x v="13"/>
    <s v="SUNDAY EDWIN SOKA"/>
    <s v="T755EBX: Harsh braking has been activated. At 14.02.2026 09:26:21 it moved with speed 67 km/h near 'M16, Copperbelt Province, Zambia, 9.56 km from Kalulushi'."/>
    <s v="M16, Zambia, Copperbelt Province, 9.56 km from Kalulushi"/>
    <n v="4"/>
  </r>
  <r>
    <n v="161"/>
    <x v="73"/>
    <d v="2026-02-14T09:21:57"/>
    <x v="13"/>
    <s v="YUSUPH ZIAGA SANGA"/>
    <s v="T817EBW: Harsh braking has been activated. At 14.02.2026 09:21:57 it moved with speed 64 km/h near 'M4, Copperbelt Province, Zambia, 4.78 km from Mufulira'."/>
    <s v="M4, Zambia, Copperbelt Province, 4.78 km from Mufulira"/>
    <n v="22"/>
  </r>
  <r>
    <n v="162"/>
    <x v="22"/>
    <d v="2026-02-14T09:30:23"/>
    <x v="13"/>
    <s v="OMARY SAID MTAJI"/>
    <s v="T861EBY: Harsh braking has been activated. At 14.02.2026 09:30:23 it moved with speed 55 km/h near 'Route Manshinga, Lubumbashi, Haut-Katanga, Democratic Republic of the Congo'."/>
    <s v="Lubumbashi, Route Manshinga, Democratic Republic of the Congo, Haut-Katanga"/>
    <n v="3"/>
  </r>
  <r>
    <n v="163"/>
    <x v="103"/>
    <d v="2026-02-14T10:35:02"/>
    <x v="13"/>
    <s v="ISSA MOHAMED KIMWAGA"/>
    <s v="T891EBW: Harsh braking has been activated. At 14.02.2026 10:35:02 it moved with speed 58 km/h near 'Great North Road, Central Province, Zambia, 9.10 km from Kanona'."/>
    <s v="Great North Road, Zambia, Central Province, 9.10 km from Kanona"/>
    <n v="10"/>
  </r>
  <r>
    <n v="164"/>
    <x v="69"/>
    <d v="2026-02-14T07:14:19"/>
    <x v="13"/>
    <s v="OMARI ATHUMANI SELEMANI"/>
    <s v="T930EBW: Harsh braking has been activated. At 14.02.2026 07:14:19 it moved with speed 54 km/h near 'Iringa Road, Morogoro, Kilosa, Tanzania, 9.44 km from Igagala'."/>
    <s v="Iringa Road, Tanzania, Morogoro, Kilosa, 9.44 km from Igagala"/>
    <n v="5"/>
  </r>
  <r>
    <n v="165"/>
    <x v="110"/>
    <d v="2026-02-14T07:31:43"/>
    <x v="13"/>
    <s v="JOSEPHAT ALOYCE KAHEMELE"/>
    <s v="T946EBW: Harsh braking has been activated. At 14.02.2026 07:31:43 it moved with speed 57 km/h near 'T1, Morogoro, Tanzania, 3.28 km from Fulwe'."/>
    <s v="T1, Tanzania, Morogoro, 3.28 km from Fulwe"/>
    <n v="4"/>
  </r>
  <r>
    <n v="166"/>
    <x v="105"/>
    <d v="2026-02-15T09:10:04"/>
    <x v="14"/>
    <s v="JUMANNE ALLY MUHINA"/>
    <s v="T259EBY: Harsh braking has been activated. At 15.02.2026 09:10:04 it moved with speed 56 km/h near 'Great North Road, Central Province, Zambia, 4.86 km from Chifwefwe B'."/>
    <s v="Great North Road, Zambia, Central Province, 4.86 km from Chifwefwe B"/>
    <n v="3"/>
  </r>
  <r>
    <n v="167"/>
    <x v="111"/>
    <d v="2026-02-15T09:54:47"/>
    <x v="14"/>
    <s v="WILLIAM RICHARD MACK"/>
    <s v="T286EBY: Harsh braking has been activated. At 15.02.2026 09:54:47 it moved with speed 60 km/h near 'Great North Road, Central Province, Zambia, 4.44 km from Mkushi'."/>
    <s v="Great North Road, Zambia, Central Province, 4.44 km from Mkushi"/>
    <n v="4"/>
  </r>
  <r>
    <n v="168"/>
    <x v="112"/>
    <d v="2026-02-15T11:52:31"/>
    <x v="14"/>
    <s v="MARTIN KYEJO MARTIN"/>
    <s v="T396ECN: Harsh braking has been activated. At 15.02.2026 11:52:31 it moved with speed 52 km/h near 'T35, Pwani, Bagamoyo, Tanzania, 1.15 km from Kifudwe'."/>
    <s v="T35, Tanzania, Pwani, Bagamoyo, 1.15 km from Kifudwe"/>
    <n v="3"/>
  </r>
  <r>
    <n v="169"/>
    <x v="8"/>
    <d v="2026-02-15T18:13:21"/>
    <x v="14"/>
    <s v="GABRIEL SHIJA MAHONA"/>
    <s v="T494DYR: Harsh braking has been activated. At 15.02.2026 18:13:21 it moved with speed 56 km/h near 'Great North Road, Central Province, Zambia, 14.72 km from Ndabala'."/>
    <s v="Great North Road, Zambia, Central Province, 14.72 km from Ndabala"/>
    <n v="24"/>
  </r>
  <r>
    <n v="170"/>
    <x v="107"/>
    <d v="2026-02-15T09:14:20"/>
    <x v="14"/>
    <s v="STAN ENISON LULANDALA"/>
    <s v="T561DYR: Harsh braking has been activated. At 15.02.2026 09:14:20 it moved with speed 53 km/h near 'Rn1, Haut-Katanga, Democratic Republic of the Congo, 2.28 km from Kasumbalesa'."/>
    <s v="Rn1, Democratic Republic of the Congo, Haut-Katanga, 2.28 km from Kasumbalesa"/>
    <n v="4"/>
  </r>
  <r>
    <n v="171"/>
    <x v="113"/>
    <d v="2026-02-15T15:58:34"/>
    <x v="14"/>
    <s v="HASSAN AWADHI TAMIM"/>
    <s v="T578DYR: Harsh braking has been activated. At 15.02.2026 15:58:34 it moved with speed 52 km/h near 'Rn39, Lualaba, Democratic Republic of the Congo, 4.09 km from Kazembe'."/>
    <s v="Rn39, Democratic Republic of the Congo, Lualaba, 4.09 km from Kazembe"/>
    <n v="5"/>
  </r>
  <r>
    <n v="172"/>
    <x v="67"/>
    <d v="2026-02-15T18:05:38"/>
    <x v="14"/>
    <s v="MISTWAHI AMRI SAID"/>
    <s v="T589DYR: Harsh braking has been activated. At 15.02.2026 18:05:38 it moved with speed 67 km/h near 'Rn1, Haut-Katanga, Democratic Republic of the Congo, 1.13 km from Mulungwishi'."/>
    <s v="Rn1, Democratic Republic of the Congo, Haut-Katanga, 1.13 km from Mulungwishi"/>
    <n v="3"/>
  </r>
  <r>
    <n v="173"/>
    <x v="109"/>
    <d v="2026-02-15T08:49:04"/>
    <x v="14"/>
    <s v="CHRISTIAN NKWELA MAPUNDA"/>
    <s v="T728EBX: Harsh braking has been activated. At 15.02.2026 08:49:04 it moved with speed 65 km/h near 'Great North Road, Central Province, Zambia, 11.04 km from Muchinka'."/>
    <s v="Great North Road, Zambia, Central Province, 11.04 km from Muchinka"/>
    <n v="3"/>
  </r>
  <r>
    <n v="174"/>
    <x v="79"/>
    <d v="2026-02-15T08:30:30"/>
    <x v="14"/>
    <s v="SUNDAY EDWIN SOKA"/>
    <s v="T755EBX: Harsh braking has been activated. At 15.02.2026 08:30:30 it moved with speed 61 km/h near 'Great North Road, Central Province, Zambia, 9.94 km from Kapiri Mposhi'."/>
    <s v="Great North Road, Zambia, Central Province, 9.94 km from Kapiri Mposhi"/>
    <n v="9"/>
  </r>
  <r>
    <n v="175"/>
    <x v="80"/>
    <d v="2026-02-15T07:39:10"/>
    <x v="14"/>
    <s v="JAPHARY NASSORO JAPHARY"/>
    <s v="T803EBW: Harsh braking has been activated. At 15.02.2026 07:39:10 it moved with speed 53 km/h near 'Iringa Road, Morogoro, Kilosa, Tanzania, 3.90 km from Msimba'."/>
    <s v="Iringa Road, Tanzania, Morogoro, Kilosa, 3.90 km from Msimba"/>
    <n v="3"/>
  </r>
  <r>
    <n v="176"/>
    <x v="73"/>
    <d v="2026-02-15T09:26:03"/>
    <x v="14"/>
    <s v="YUSUPH ZIAGA SANGA"/>
    <s v="T817EBW: Harsh braking has been activated. At 15.02.2026 09:26:03 it moved with speed 77 km/h near 'Great North Road, Central Province, Zambia, 11.54 km from Chitiwa'."/>
    <s v="Great North Road, Zambia, Central Province, 11.54 km from Chitiwa"/>
    <n v="21"/>
  </r>
  <r>
    <n v="177"/>
    <x v="74"/>
    <d v="2026-02-15T08:17:54"/>
    <x v="14"/>
    <s v="MADENGE SALUM SHOMARI"/>
    <s v="T892EBW: Harsh braking has been activated. At 15.02.2026 08:17:54 it moved with speed 55 km/h near 'T1, Mbeya, Tanzania, 4.25 km from Igawa'."/>
    <s v="T1, Tanzania, Mbeya, 4.25 km from Igawa"/>
    <n v="5"/>
  </r>
  <r>
    <n v="178"/>
    <x v="64"/>
    <d v="2026-02-16T09:07:52"/>
    <x v="15"/>
    <s v="JOEL SAMSON MANDAGO"/>
    <s v="T235EBX: Harsh braking has been activated. At 16.02.2026 09:07:52 it moved with speed 53 km/h near 'Rn1, Haut-Katanga, Democratic Republic of the Congo, 7.62 km from Sumbilili'."/>
    <s v="Rn1, Democratic Republic of the Congo, Haut-Katanga, 7.62 km from Sumbilili"/>
    <n v="3"/>
  </r>
  <r>
    <n v="179"/>
    <x v="111"/>
    <d v="2026-02-16T09:58:14"/>
    <x v="15"/>
    <s v="WILLIAM RICHARD MACK"/>
    <s v="T286EBY: Harsh braking has been activated. At 16.02.2026 09:58:14 it moved with speed 52 km/h near 'Great North Road, Muchinga Province, Zambia, 3.28 km from Chisoso'."/>
    <s v="Great North Road, Zambia, Muchinga Province, 3.28 km from Chisoso"/>
    <n v="4"/>
  </r>
  <r>
    <n v="180"/>
    <x v="3"/>
    <d v="2026-02-16T08:16:48"/>
    <x v="15"/>
    <s v="YUSUFU  SAMSON NICODEMUS"/>
    <s v="T331EBX: Harsh braking has been activated. At 16.02.2026 08:16:48 it moved with speed 61 km/h near 'Great North Road, Muchinga Province, Zambia, 5.97 km from Kamangu'."/>
    <s v="Great North Road, Zambia, Muchinga Province, 5.97 km from Kamangu"/>
    <n v="3"/>
  </r>
  <r>
    <n v="181"/>
    <x v="39"/>
    <d v="2026-02-16T15:52:39"/>
    <x v="15"/>
    <s v="OMARI SALIMU MOHAMEDI"/>
    <s v="T339EBX: Harsh braking has been activated. At 16.02.2026 15:52:39 it moved with speed 60 km/h near 'Great North Road, Central Province, Zambia, 6.61 km from Kanona'."/>
    <s v="Great North Road, Zambia, Central Province, 6.61 km from Kanona"/>
    <n v="6"/>
  </r>
  <r>
    <n v="182"/>
    <x v="114"/>
    <d v="2026-02-16T19:53:41"/>
    <x v="15"/>
    <s v="JITENGENI YAHYA MZEE"/>
    <s v="T340EBX: Harsh braking has been activated. At 16.02.2026 19:53:41 it moved with speed 56 km/h near 'Rn1, Haut-Katanga, Democratic Republic of the Congo, 8.77 km from Lwambo'."/>
    <s v="Rn1, Democratic Republic of the Congo, Haut-Katanga, 8.77 km from Lwambo"/>
    <n v="3"/>
  </r>
  <r>
    <n v="183"/>
    <x v="76"/>
    <d v="2026-02-16T07:44:33"/>
    <x v="15"/>
    <s v="JEREMIAHY SIMONE MWALUKO"/>
    <s v="T378ECN: Harsh braking has been activated. At 16.02.2026 07:44:33 it moved with speed 58 km/h near 'Great North Road, Muchinga Province, Zambia, 4.50 km from Chikwanda'."/>
    <s v="Great North Road, Zambia, Muchinga Province, 4.50 km from Chikwanda"/>
    <n v="5"/>
  </r>
  <r>
    <n v="184"/>
    <x v="40"/>
    <d v="2026-02-16T07:30:44"/>
    <x v="15"/>
    <s v="JUMANNE ALLY NJECHELE"/>
    <s v="T402ECN: Harsh braking has been activated. At 16.02.2026 07:30:44 it moved with speed 55 km/h near 'Iringa Road, Morogoro, Kilosa, Tanzania, 8.73 km from Igagala'."/>
    <s v="Iringa Road, Tanzania, Morogoro, Kilosa, 8.73 km from Igagala"/>
    <n v="5"/>
  </r>
  <r>
    <n v="185"/>
    <x v="7"/>
    <d v="2026-02-16T11:37:33"/>
    <x v="15"/>
    <s v="RAMADHANI SHABANI WAGAMOYO"/>
    <s v="T482DYR: Harsh braking has been activated. At 16.02.2026 11:37:33 it moved with speed 59 km/h near 'Great North Road, Muchinga Province, Zambia, 3.10 km from Mukwikile'."/>
    <s v="Great North Road, Zambia, Muchinga Province, 3.10 km from Mukwikile"/>
    <n v="3"/>
  </r>
  <r>
    <n v="186"/>
    <x v="77"/>
    <d v="2026-02-16T01:07:44"/>
    <x v="15"/>
    <s v="LAMECK CHARLES ROMAN"/>
    <s v="T492DYR: Harsh braking has been activated. At 16.02.2026 01:07:44 it moved with speed 54 km/h near 'Kilwa Road, Dar Es Salaam, Azimio, Tanzania'."/>
    <s v="Dar Es Salaam, Kilwa Road, Tanzania, Azimio"/>
    <n v="3"/>
  </r>
  <r>
    <n v="187"/>
    <x v="8"/>
    <d v="2026-02-16T11:19:59"/>
    <x v="15"/>
    <s v="GABRIEL SHIJA MAHONA"/>
    <s v="T494DYR: Harsh braking has been activated. At 16.02.2026 11:19:59 it moved with speed 57 km/h near 'T3, Copperbelt Province, Zambia, 4.20 km from Pukota'."/>
    <s v="T3, Zambia, Copperbelt Province, 4.20 km from Pukota"/>
    <n v="3"/>
  </r>
  <r>
    <n v="188"/>
    <x v="115"/>
    <d v="2026-02-16T14:56:01"/>
    <x v="15"/>
    <s v="DAVID NICHOLAUS MASAKA"/>
    <s v="T523EBY: Harsh braking has been activated. At 16.02.2026 14:56:01 it moved with speed 57 km/h near 'Great North Road, Muchinga Province, Zambia, 4.80 km from Godfrey Kunda'."/>
    <s v="Great North Road, Zambia, Muchinga Province, 4.80 km from Godfrey Kunda"/>
    <n v="4"/>
  </r>
  <r>
    <n v="189"/>
    <x v="116"/>
    <d v="2026-02-16T14:03:20"/>
    <x v="15"/>
    <s v="OMAR RASHID CHIKUNJE"/>
    <s v="T524EBY: Harsh braking has been activated. At 16.02.2026 14:03:20 it moved with speed 51 km/h near 'M3, Northern Province, Zambia, 2.21 km from Chikoti'."/>
    <s v="M3, Zambia, Northern Province, 2.21 km from Chikoti"/>
    <n v="4"/>
  </r>
  <r>
    <n v="190"/>
    <x v="107"/>
    <d v="2026-02-16T07:44:28"/>
    <x v="15"/>
    <s v="STAN ENISON LULANDALA"/>
    <s v="T561DYR: Harsh braking has been activated. At 16.02.2026 07:44:28 it moved with speed 53 km/h near 'M3, Luapula Province, Zambia, 20.83 km from Kundamtumu'."/>
    <s v="M3, Zambia, Luapula Province, 20.83 km from Kundamtumu"/>
    <n v="4"/>
  </r>
  <r>
    <n v="191"/>
    <x v="117"/>
    <d v="2026-02-16T11:55:27"/>
    <x v="15"/>
    <s v="AHMED CONSTANTINE MAGERE"/>
    <s v="T581DTQ: Harsh braking has been activated. At 16.02.2026 11:55:27 it moved with speed 54 km/h near 'Rn1, Haut-Katanga, Democratic Republic of the Congo, 1.87 km from Kapolowe'."/>
    <s v="Rn1, Democratic Republic of the Congo, Haut-Katanga, 1.87 km from Kapolowe"/>
    <n v="3"/>
  </r>
  <r>
    <n v="192"/>
    <x v="73"/>
    <d v="2026-02-16T10:12:00"/>
    <x v="15"/>
    <s v="YUSUPH ZIAGA SANGA"/>
    <s v="T817EBW: Harsh braking has been activated. At 16.02.2026 10:12:00 it moved with speed 51 km/h near 'Great North Road, Muchinga Province, Zambia, 4.81 km from Chisoso'."/>
    <s v="Great North Road, Zambia, Muchinga Province, 4.81 km from Chisoso"/>
    <n v="12"/>
  </r>
  <r>
    <n v="193"/>
    <x v="81"/>
    <d v="2026-02-16T08:49:57"/>
    <x v="15"/>
    <s v="ATANASI PETRO MAGOHE"/>
    <s v="T871EBY: Harsh braking has been activated. At 16.02.2026 08:49:57 it moved with speed 54 km/h near 'Great North Road, Central Province, Zambia, 2.33 km from Kanona'."/>
    <s v="Great North Road, Zambia, Central Province, 2.33 km from Kanona"/>
    <n v="4"/>
  </r>
  <r>
    <n v="194"/>
    <x v="45"/>
    <d v="2026-02-16T07:39:06"/>
    <x v="15"/>
    <s v="HAMISI RAMADHANI SULTAN"/>
    <s v="T878EBY: Harsh braking has been activated. At 16.02.2026 07:39:06 it moved with speed 52 km/h near 'Great North Road, Central Province, Zambia, 5.11 km from Kapiri Mposhi'."/>
    <s v="Great North Road, Zambia, Central Province, 5.11 km from Kapiri Mposhi"/>
    <n v="3"/>
  </r>
  <r>
    <n v="195"/>
    <x v="118"/>
    <d v="2026-02-16T17:01:29"/>
    <x v="15"/>
    <s v="MUSSA ABDI OMAR"/>
    <s v="T887EBW: Harsh braking has been activated. At 16.02.2026 17:01:29 it moved with speed 53 km/h near 'Great North Road, Muchinga Province, Zambia, 8.88 km from Chilonga'."/>
    <s v="Great North Road, Zambia, Muchinga Province, 8.88 km from Chilonga"/>
    <n v="3"/>
  </r>
  <r>
    <n v="196"/>
    <x v="74"/>
    <d v="2026-02-16T11:10:59"/>
    <x v="15"/>
    <s v="MADENGE SALUM SHOMARI"/>
    <s v="T892EBW: Harsh braking has been activated. At 16.02.2026 11:10:59 it moved with speed 62 km/h near 'Iringa Road, Lundamatwe, Iringa, Tanzania'."/>
    <s v="Lundamatwe, Iringa Road, Tanzania, Iringa"/>
    <n v="5"/>
  </r>
  <r>
    <n v="197"/>
    <x v="24"/>
    <d v="2026-02-16T15:47:25"/>
    <x v="15"/>
    <s v="ALLY RASHID SAID"/>
    <s v="T905EBW: Harsh braking has been activated. At 16.02.2026 15:47:25 it moved with speed 56 km/h near 'Iringa Road, Morogoro, Tanzania, 4.80 km from Mtipule'."/>
    <s v="Iringa Road, Tanzania, Morogoro, 4.80 km from Mtipule"/>
    <n v="3"/>
  </r>
  <r>
    <n v="198"/>
    <x v="119"/>
    <d v="2026-02-17T07:36:39"/>
    <x v="16"/>
    <s v="MOHAMEDI ISSA KIBARATI"/>
    <s v="T144EBX: Harsh braking has been activated. At 17.02.2026 07:36:39 it moved with speed 55 km/h near 'Great North Road, Muchinga Province, Zambia, 9.45 km from Mukwikile'."/>
    <s v="Great North Road, Zambia, Muchinga Province, 9.45 km from Mukwikile"/>
    <n v="5"/>
  </r>
  <r>
    <n v="199"/>
    <x v="64"/>
    <d v="2026-02-17T10:12:17"/>
    <x v="16"/>
    <s v="JOEL SAMSON MANDAGO"/>
    <s v="T235EBX: Harsh braking has been activated. At 17.02.2026 10:12:17 it moved with speed 51 km/h near 'Rn36, Haut-Katanga, Democratic Republic of the Congo, 11.65 km from Kadima'."/>
    <s v="Rn36, Democratic Republic of the Congo, Haut-Katanga, 11.65 km from Kadima"/>
    <n v="13"/>
  </r>
  <r>
    <n v="200"/>
    <x v="120"/>
    <d v="2026-02-17T11:16:03"/>
    <x v="16"/>
    <s v="MUSSA RAMADHAN MITEMILIGWA"/>
    <s v="T278EBY: Harsh braking has been activated. At 17.02.2026 11:16:03 it moved with speed 63 km/h near 'T2, Tanga, Handeni, Tanzania, Kwenkwale'."/>
    <s v="T2, Tanzania, Tanga, Handeni, Kwenkwale"/>
    <n v="3"/>
  </r>
  <r>
    <n v="201"/>
    <x v="114"/>
    <d v="2026-02-17T11:58:12"/>
    <x v="16"/>
    <s v="JITENGENI YAHYA MZEE"/>
    <s v="T340EBX: Harsh braking has been activated. At 17.02.2026 11:58:12 it moved with speed 51 km/h near 'Rn1, Haut-Katanga, Democratic Republic of the Congo, 3.72 km from Sumbilili'."/>
    <s v="Rn1, Democratic Republic of the Congo, Haut-Katanga, 3.72 km from Sumbilili"/>
    <n v="3"/>
  </r>
  <r>
    <n v="202"/>
    <x v="121"/>
    <d v="2026-02-17T14:24:08"/>
    <x v="16"/>
    <s v="MUSSA OMARY HAMZA"/>
    <s v="T498DYR: Harsh braking has been activated. At 17.02.2026 14:24:08 it moved with speed 51 km/h near 'M3, Luapula Province, Zambia, 18.28 km from Chembe'."/>
    <s v="M3, Zambia, Luapula Province, 18.28 km from Chembe"/>
    <n v="3"/>
  </r>
  <r>
    <n v="203"/>
    <x v="106"/>
    <d v="2026-02-17T09:56:07"/>
    <x v="16"/>
    <s v="ERASTO CHARLES MTWEVE"/>
    <s v="T512EBY: Harsh braking has been activated. At 17.02.2026 09:56:07 it moved with speed 63 km/h near 'M3, Northern Province, Zambia, Chiwembe'."/>
    <s v="M3, Zambia, Northern Province, Chiwembe"/>
    <n v="11"/>
  </r>
  <r>
    <n v="204"/>
    <x v="122"/>
    <d v="2026-02-17T09:56:09"/>
    <x v="16"/>
    <s v="HABIBU SELEMANI NTILLA"/>
    <s v="T520EBY: Harsh braking has been activated. At 17.02.2026 09:56:09 it moved with speed 61 km/h near 'Great North Road, Muchinga Province, Zambia, 2.28 km from Mpumba'."/>
    <s v="Great North Road, Zambia, Muchinga Province, 2.28 km from Mpumba"/>
    <n v="3"/>
  </r>
  <r>
    <n v="205"/>
    <x v="78"/>
    <d v="2026-02-17T07:25:13"/>
    <x v="16"/>
    <s v="GASPER ELICHILIA KINYAHA"/>
    <s v="T528EBY: Harsh braking has been activated. At 17.02.2026 07:25:13 it moved with speed 54 km/h near 'Great North Road, Central Province, Zambia, 9.60 km from Godfrey Kunda'."/>
    <s v="Great North Road, Zambia, Central Province, 9.60 km from Godfrey Kunda"/>
    <n v="3"/>
  </r>
  <r>
    <n v="206"/>
    <x v="107"/>
    <d v="2026-02-17T13:25:00"/>
    <x v="16"/>
    <s v="STAN ENISON LULANDALA"/>
    <s v="T561DYR: Harsh braking has been activated. At 17.02.2026 13:25:00 it moved with speed 54 km/h near 'T1, Mbeya, Tanzania, 3.95 km from Makwenje'."/>
    <s v="T1, Tanzania, Mbeya, 3.95 km from Makwenje"/>
    <n v="3"/>
  </r>
  <r>
    <n v="207"/>
    <x v="67"/>
    <d v="2026-02-17T18:41:46"/>
    <x v="16"/>
    <s v="MISTWAHI AMRI SAID"/>
    <s v="T589DYR: Harsh braking has been activated. At 17.02.2026 18:41:46 it moved with speed 64 km/h near 'M3, Northern Province, Zambia, 4.32 km from Luwingu'."/>
    <s v="M3, Zambia, Northern Province, 4.32 km from Luwingu"/>
    <n v="3"/>
  </r>
  <r>
    <n v="208"/>
    <x v="123"/>
    <d v="2026-02-17T03:24:27"/>
    <x v="16"/>
    <s v="SHOMAR MOHAMED MITAWA"/>
    <s v="T661DTQ: Harsh braking has been activated. At 17.02.2026 03:24:27 it moved with speed 52 km/h near 'Rn1, Haut-Katanga, Democratic Republic of the Congo, 6.99 km from Sumbilili'."/>
    <s v="Rn1, Democratic Republic of the Congo, Haut-Katanga, 6.99 km from Sumbilili"/>
    <n v="3"/>
  </r>
  <r>
    <n v="209"/>
    <x v="124"/>
    <d v="2026-02-17T15:13:37"/>
    <x v="16"/>
    <s v="SAID ATHUMANI NONGWA"/>
    <s v="T723DYR: Harsh braking has been activated. At 17.02.2026 15:13:37 it moved with speed 57 km/h near 'M3, Luapula Province, Zambia, 14.86 km from Kundamtumu'."/>
    <s v="M3, Zambia, Luapula Province, 14.86 km from Kundamtumu"/>
    <n v="6"/>
  </r>
  <r>
    <n v="210"/>
    <x v="89"/>
    <d v="2026-02-17T10:11:11"/>
    <x v="16"/>
    <s v="RAMADHAN RAHIBU SULEIMAN"/>
    <s v="T904EBW: Harsh braking has been activated. At 17.02.2026 10:11:11 it moved with speed 53 km/h near 'Great North Road, Central Province, Zambia, 6.47 km from Kanona'."/>
    <s v="Great North Road, Zambia, Central Province, 6.47 km from Kanona"/>
    <n v="8"/>
  </r>
  <r>
    <n v="211"/>
    <x v="24"/>
    <d v="2026-02-17T07:45:30"/>
    <x v="16"/>
    <s v="ALLY RASHID SAID"/>
    <s v="T905EBW: Harsh braking has been activated. At 17.02.2026 07:45:30 it moved with speed 53 km/h near 'Iringa Road, Iringa, Tanzania, Mahenge'."/>
    <s v="Iringa Road, Tanzania, Iringa, Mahenge"/>
    <n v="4"/>
  </r>
  <r>
    <n v="212"/>
    <x v="35"/>
    <d v="2026-02-17T09:28:30"/>
    <x v="16"/>
    <s v="ELIBAS EZEKIEL KITUNGWA"/>
    <s v="T907EBW: Harsh braking has been activated. At 17.02.2026 09:28:30 it moved with speed 54 km/h near 'Iringa Road, Morogoro, Tanzania, 4.49 km from Mtipule'."/>
    <s v="Iringa Road, Tanzania, Morogoro, 4.49 km from Mtipule"/>
    <n v="4"/>
  </r>
  <r>
    <n v="213"/>
    <x v="125"/>
    <d v="2026-02-17T12:27:08"/>
    <x v="16"/>
    <s v="MARCUS AUGUSTIN MBEYA"/>
    <s v="T927EBW: Harsh braking has been activated. At 17.02.2026 12:27:08 it moved with speed 52 km/h near 'T1, Mbeya, Tanzania, Lunwa'."/>
    <s v="T1, Tanzania, Mbeya, Lunwa"/>
    <n v="3"/>
  </r>
  <r>
    <n v="214"/>
    <x v="126"/>
    <d v="2026-02-17T10:10:53"/>
    <x v="16"/>
    <s v="ELIAS SAID MTEBENE"/>
    <s v="T980EBW: Harsh braking has been activated. At 17.02.2026 10:10:53 it moved with speed 58 km/h near 'Rn1, Haut-Katanga, Democratic Republic of the Congo, Mununu'."/>
    <s v="Rn1, Democratic Republic of the Congo, Haut-Katanga, Mununu"/>
    <n v="5"/>
  </r>
  <r>
    <n v="215"/>
    <x v="127"/>
    <d v="2026-02-18T08:22:12"/>
    <x v="17"/>
    <s v="OMARY FADHILI MSANGI"/>
    <s v="T154EBX: Harsh braking has been activated. At 18.02.2026 08:22:12 it moved with speed 52 km/h near 'Great North Road, Central Province, Zambia, 2.42 km from Kanona'."/>
    <s v="Great North Road, Zambia, Central Province, 2.42 km from Kanona"/>
    <n v="6"/>
  </r>
  <r>
    <n v="216"/>
    <x v="128"/>
    <d v="2026-02-18T07:46:53"/>
    <x v="17"/>
    <s v="AMOS KASEKE KUYOKWA"/>
    <s v="T175EBX: Harsh braking has been activated. At 18.02.2026 07:46:53 it moved with speed 52 km/h near 'Great North Road, Central Province, Zambia, 12.26 km from Muchinka'."/>
    <s v="Great North Road, Zambia, Central Province, 12.26 km from Muchinka"/>
    <n v="5"/>
  </r>
  <r>
    <n v="217"/>
    <x v="20"/>
    <d v="2026-02-18T13:23:12"/>
    <x v="17"/>
    <s v="ELIAH YUSUPH MPANGO"/>
    <s v="T232EBX: Harsh braking has been activated. At 18.02.2026 13:23:12 it moved with speed 61 km/h near 'Rn1, Haut-Katanga, Democratic Republic of the Congo, 4.06 km from Tshinsenda'."/>
    <s v="Rn1, Democratic Republic of the Congo, Haut-Katanga, 4.06 km from Tshinsenda"/>
    <n v="5"/>
  </r>
  <r>
    <n v="218"/>
    <x v="64"/>
    <d v="2026-02-18T08:29:11"/>
    <x v="17"/>
    <s v="JOEL SAMSON MANDAGO"/>
    <s v="T235EBX: Harsh braking has been activated. At 18.02.2026 08:29:11 it moved with speed 51 km/h near 'M1, Northern Province, Zambia, 6.99 km from Nondo'."/>
    <s v="M1, Zambia, Northern Province, 6.99 km from Nondo"/>
    <n v="4"/>
  </r>
  <r>
    <n v="219"/>
    <x v="1"/>
    <d v="2026-02-18T12:38:58"/>
    <x v="17"/>
    <s v="ISAYA MSHUKURU MMBANDO"/>
    <s v="T271EBY: Harsh braking has been activated. At 18.02.2026 12:38:58 it moved with speed 53 km/h near 'T2, Pwani, Bagamoyo, Tanzania, 1.70 km from Mandera'."/>
    <s v="T2, Tanzania, Pwani, Bagamoyo, 1.70 km from Mandera"/>
    <n v="5"/>
  </r>
  <r>
    <n v="220"/>
    <x v="114"/>
    <d v="2026-02-18T13:41:44"/>
    <x v="17"/>
    <s v="JITENGENI YAHYA MZEE"/>
    <s v="T340EBX: Harsh braking has been activated. At 18.02.2026 13:41:44 it moved with speed 61 km/h near 'M3, Luapula Province, Zambia, 13.33 km from Mansa'."/>
    <s v="M3, Zambia, Luapula Province, 13.33 km from Mansa"/>
    <n v="8"/>
  </r>
  <r>
    <n v="221"/>
    <x v="129"/>
    <d v="2026-02-18T10:24:17"/>
    <x v="17"/>
    <s v="ALLY RAMADHANI ZANDA"/>
    <s v="T499DYR: Harsh braking has been activated. At 18.02.2026 10:24:17 it moved with speed 63 km/h near 'M4, Copperbelt Province, Zambia, 11.83 km from Chambishi'."/>
    <s v="M4, Zambia, Copperbelt Province, 11.83 km from Chambishi"/>
    <n v="5"/>
  </r>
  <r>
    <n v="222"/>
    <x v="107"/>
    <d v="2026-02-18T11:19:54"/>
    <x v="17"/>
    <s v="STAN ENISON LULANDALA"/>
    <s v="T561DYR: Harsh braking has been activated. At 18.02.2026 11:19:54 it moved with speed 65 km/h near 'Iringa Road, Iringa, Tanzania, 1.82 km from Mahenge'."/>
    <s v="Iringa Road, Tanzania, Iringa, 1.82 km from Mahenge"/>
    <n v="4"/>
  </r>
  <r>
    <n v="223"/>
    <x v="113"/>
    <d v="2026-02-18T07:42:05"/>
    <x v="17"/>
    <s v="HASSAN AWADHI TAMIM"/>
    <s v="T578DYR: Harsh braking has been activated. At 18.02.2026 07:42:05 it moved with speed 61 km/h near 'M3, Northern Province, Zambia, Chiwembe'."/>
    <s v="M3, Zambia, Northern Province, Chiwembe"/>
    <n v="5"/>
  </r>
  <r>
    <n v="224"/>
    <x v="130"/>
    <d v="2026-02-18T11:46:53"/>
    <x v="17"/>
    <s v="SAID HATIB KINGODOLO"/>
    <s v="T587DTQ: Harsh braking has been activated. At 18.02.2026 11:46:53 it moved with speed 59 km/h near 'M1, Northern Province, Zambia, 9.88 km from Sementi'."/>
    <s v="M1, Zambia, Northern Province, 9.88 km from Sementi"/>
    <n v="3"/>
  </r>
  <r>
    <n v="225"/>
    <x v="9"/>
    <d v="2026-02-18T17:12:30"/>
    <x v="17"/>
    <s v="RAMADHANI MBEZI OMARY"/>
    <s v="T634DHL: Harsh braking has been activated. At 18.02.2026 17:12:30 it moved with speed 56 km/h near 'M3, Luapula Province, Zambia, 12.81 km from Kalundu'."/>
    <s v="M3, Zambia, Luapula Province, 12.81 km from Kalundu"/>
    <n v="3"/>
  </r>
  <r>
    <n v="226"/>
    <x v="124"/>
    <d v="2026-02-18T11:25:46"/>
    <x v="17"/>
    <s v="SAID ATHUMANI NONGWA"/>
    <s v="T723DYR: Harsh braking has been activated. At 18.02.2026 11:25:46 it moved with speed 53 km/h near 'Mbala - Nakonde Road, Northern Province, Zambia, 12.38 km from Nsokolo'."/>
    <s v="Mbala - Nakonde Road, Zambia, Northern Province, 12.38 km from Nsokolo"/>
    <n v="3"/>
  </r>
  <r>
    <n v="227"/>
    <x v="131"/>
    <d v="2026-02-18T18:36:49"/>
    <x v="17"/>
    <s v="ZACHALIA JOSEPH SHIMBI"/>
    <s v="T727DYR: Harsh braking has been activated. At 18.02.2026 18:36:49 it moved with speed 56 km/h near 'M3, Northern Province, Zambia, 12.80 km from Chitoshi'."/>
    <s v="M3, Zambia, Northern Province, 12.80 km from Chitoshi"/>
    <n v="3"/>
  </r>
  <r>
    <n v="228"/>
    <x v="132"/>
    <d v="2026-02-18T15:06:50"/>
    <x v="17"/>
    <s v="AMIRI TALIB SHEIN"/>
    <s v="T793DYR: Harsh braking has been activated. At 18.02.2026 15:06:50 it moved with speed 67 km/h near 'M3, Luapula Province, Zambia, 4.45 km from Mununga'."/>
    <s v="M3, Zambia, Luapula Province, 4.45 km from Mununga"/>
    <n v="15"/>
  </r>
  <r>
    <n v="229"/>
    <x v="125"/>
    <d v="2026-02-18T10:46:47"/>
    <x v="17"/>
    <s v="MARCUS AUGUSTIN MBEYA"/>
    <s v="T927EBW: Harsh braking has been activated. At 18.02.2026 10:46:47 it moved with speed 68 km/h near 'Iringa Road, Morogoro, Kilosa, Tanzania, 8.36 km from Igagala'."/>
    <s v="Iringa Road, Tanzania, Morogoro, Kilosa, 8.36 km from Igagala"/>
    <n v="3"/>
  </r>
  <r>
    <n v="230"/>
    <x v="70"/>
    <d v="2026-02-18T14:00:39"/>
    <x v="17"/>
    <s v="SHABANI HARUNA SEMENTA"/>
    <s v="T955EBW: Harsh braking has been activated. At 18.02.2026 14:00:39 it moved with speed 52 km/h near 'Iringa Road, Morogoro, Kilosa, Tanzania, 15.01 km from Msimba'."/>
    <s v="Iringa Road, Tanzania, Morogoro, Kilosa, 15.01 km from Msimba"/>
    <n v="8"/>
  </r>
  <r>
    <n v="231"/>
    <x v="1"/>
    <d v="2026-02-19T17:17:21"/>
    <x v="18"/>
    <s v="ISAYA MSHUKURU MMBANDO"/>
    <s v="T271EBY: Harsh braking has been activated. At 19.02.2026 17:17:21 it moved with speed 55 km/h near 'T2, Tanga, Handeni, Tanzania, 1.07 km from Kwedikwazu Magha'."/>
    <s v="T2, Tanzania, Tanga, Handeni, 1.07 km from Kwedikwazu Magha"/>
    <n v="3"/>
  </r>
  <r>
    <n v="232"/>
    <x v="114"/>
    <d v="2026-02-19T08:08:45"/>
    <x v="18"/>
    <s v="JITENGENI YAHYA MZEE"/>
    <s v="T340EBX: Harsh braking has been activated. At 19.02.2026 08:08:45 it moved with speed 56 km/h near 'M1, Northern Province, Zambia, 14.60 km from Nondo'."/>
    <s v="M1, Zambia, Northern Province, 14.60 km from Nondo"/>
    <n v="5"/>
  </r>
  <r>
    <n v="233"/>
    <x v="129"/>
    <d v="2026-02-19T07:20:48"/>
    <x v="18"/>
    <s v="ALLY RAMADHANI ZANDA"/>
    <s v="T499DYR: Harsh braking has been activated. At 19.02.2026 07:20:48 it moved with speed 59 km/h near 'Great North Road, Central Province, Zambia, 5.15 km from Kapiri Mposhi'."/>
    <s v="Great North Road, Zambia, Central Province, 5.15 km from Kapiri Mposhi"/>
    <n v="6"/>
  </r>
  <r>
    <n v="234"/>
    <x v="67"/>
    <d v="2026-02-19T17:09:48"/>
    <x v="18"/>
    <s v="MISTWAHI AMRI SAID"/>
    <s v="T589DYR: Harsh braking has been activated. At 19.02.2026 17:09:48 it moved with speed 67 km/h near 'T1, Njombe, Tanzania, 6.31 km from Igomelo'."/>
    <s v="T1, Tanzania, Njombe, 6.31 km from Igomelo"/>
    <n v="4"/>
  </r>
  <r>
    <n v="235"/>
    <x v="133"/>
    <d v="2026-02-19T16:00:46"/>
    <x v="18"/>
    <s v="MONDI STANSLAUS NDAKI"/>
    <s v="T742EBX: Harsh braking has been activated. At 19.02.2026 16:00:46 it moved with speed 61 km/h near 'Rn39, Lualaba, Democratic Republic of the Congo, Kabwe Dikuku (Sud)'."/>
    <s v="Rn39, Democratic Republic of the Congo, Lualaba, Kabwe Dikuku (Sud)"/>
    <n v="3"/>
  </r>
  <r>
    <n v="236"/>
    <x v="99"/>
    <d v="2026-02-19T19:06:41"/>
    <x v="18"/>
    <n v="0"/>
    <s v="T770DYR: Harsh braking has been activated. At 19.02.2026 19:06:41 it moved with speed 64 km/h near 'T1, Morogoro, Tanzania, Maseyu'."/>
    <s v="T1, Tanzania, Morogoro, Maseyu"/>
    <n v="4"/>
  </r>
  <r>
    <n v="237"/>
    <x v="49"/>
    <d v="2026-02-19T12:15:40"/>
    <x v="18"/>
    <s v="ABUBAKAR JUMA YUSUPH"/>
    <s v="T772DYR: Harsh braking has been activated. At 19.02.2026 12:15:40 it moved with speed 54 km/h near 'Iringa Road, Morogoro, Tanzania, 3.93 km from Kipera'."/>
    <s v="Iringa Road, Tanzania, Morogoro, 3.93 km from Kipera"/>
    <n v="4"/>
  </r>
  <r>
    <n v="238"/>
    <x v="132"/>
    <d v="2026-02-19T00:04:56"/>
    <x v="18"/>
    <s v="AMIRI TALIB SHEIN"/>
    <s v="T793DYR: Harsh braking has been activated. At 19.02.2026 00:04:56 it moved with speed 61 km/h near 'Mbala - Nakonde Road, Northern Province, Zambia, 12.98 km from Chilundumuzi'."/>
    <s v="Mbala - Nakonde Road, Zambia, Northern Province, 12.98 km from Chilundumuzi"/>
    <n v="3"/>
  </r>
  <r>
    <n v="239"/>
    <x v="23"/>
    <d v="2026-02-19T12:04:04"/>
    <x v="18"/>
    <s v="ABDULHAFIDH RADMAN ALLY"/>
    <s v="T862EBY: Harsh braking has been activated. At 19.02.2026 12:04:04 it moved with speed 52 km/h near 'Tanzania To Zambia Road, Iringa, Mufindi, Tanzania, 1.74 km from Sao-Hill Forest Plantation'."/>
    <s v="Tanzania To Zambia Road, Tanzania, Iringa, Mufindi, 1.74 km from Sao-Hill Forest Plantation"/>
    <n v="3"/>
  </r>
  <r>
    <n v="240"/>
    <x v="104"/>
    <d v="2026-02-19T10:07:30"/>
    <x v="18"/>
    <s v="HASSANI MABROUCK TUNZA"/>
    <s v="T932EBW: Harsh braking has been activated. At 19.02.2026 10:07:30 it moved with speed 55 km/h near 'Great North Road, Central Province, Zambia, 15.19 km from Muchinka'."/>
    <s v="Great North Road, Zambia, Central Province, 15.19 km from Muchinka"/>
    <n v="3"/>
  </r>
  <r>
    <n v="241"/>
    <x v="134"/>
    <d v="2026-02-19T08:31:49"/>
    <x v="18"/>
    <s v="OMARY SAID KITAMBO"/>
    <s v="T942DSX: Harsh braking has been activated. At 19.02.2026 08:31:49 it moved with speed 51 km/h near 'Great North Road, Muchinga Province, Zambia, 5.45 km from Chikwanda'."/>
    <s v="Great North Road, Zambia, Muchinga Province, 5.45 km from Chikwanda"/>
    <n v="4"/>
  </r>
  <r>
    <n v="242"/>
    <x v="46"/>
    <d v="2026-02-19T06:59:57"/>
    <x v="18"/>
    <s v="YUNUS ABDILLAH SULEIMAN"/>
    <s v="T950EBW: Harsh braking has been activated. At 19.02.2026 06:59:57 it moved with speed 54 km/h near 'Nelson Mandela Road, Dar Es Salaam, Chang'ombe, Tanzania'."/>
    <s v="Dar Es Salaam, Nelson Mandela Road, Tanzania, Chang'ombe"/>
    <n v="3"/>
  </r>
  <r>
    <n v="243"/>
    <x v="135"/>
    <d v="2026-02-19T17:01:46"/>
    <x v="18"/>
    <s v="RAJABU KONGO LADISLAUS"/>
    <s v="T993EBW: Harsh braking has been activated. At 19.02.2026 17:01:46 it moved with speed 51 km/h near 'Great North Road, Muchinga Province, Zambia, Kalonje'."/>
    <s v="Great North Road, Zambia, Muchinga Province, Kalonje"/>
    <n v="3"/>
  </r>
  <r>
    <n v="244"/>
    <x v="1"/>
    <d v="2026-02-20T07:11:28"/>
    <x v="19"/>
    <s v="ISAYA MSHUKURU MMBANDO"/>
    <s v="T271EBY: Harsh braking has been activated. At 20.02.2026 07:11:28 it moved with speed 58 km/h near 'T1, Morogoro, Tanzania, 2.26 km from Mikese'."/>
    <s v="T1, Tanzania, Morogoro, 2.26 km from Mikese"/>
    <n v="10"/>
  </r>
  <r>
    <n v="245"/>
    <x v="116"/>
    <d v="2026-02-20T11:54:50"/>
    <x v="19"/>
    <s v="OMAR RASHID CHIKUNJE"/>
    <s v="T524EBY: Harsh braking has been activated. At 20.02.2026 11:54:50 it moved with speed 58 km/h near 'Iringa Road, Lundamatwe, Iringa, Tanzania'."/>
    <s v="Lundamatwe, Iringa Road, Tanzania, Iringa"/>
    <n v="5"/>
  </r>
  <r>
    <n v="246"/>
    <x v="67"/>
    <d v="2026-02-20T08:53:55"/>
    <x v="19"/>
    <s v="MISTWAHI AMRI SAID"/>
    <s v="T589DYR: Harsh braking has been activated. At 20.02.2026 08:53:55 it moved with speed 58 km/h near 'Iringa Road, Iringa, Tanzania, Matassi'."/>
    <s v="Iringa Road, Tanzania, Iringa, Matassi"/>
    <n v="3"/>
  </r>
  <r>
    <n v="247"/>
    <x v="136"/>
    <d v="2026-02-20T08:46:07"/>
    <x v="19"/>
    <s v="AHMAD ABDULRRAHMAN AMIN"/>
    <s v="T702EBX: Harsh braking has been activated. At 20.02.2026 08:46:07 it moved with speed 58 km/h near 'Great North Road, Muchinga Province, Zambia, 19.48 km from Katibunga'."/>
    <s v="Great North Road, Zambia, Muchinga Province, 19.48 km from Katibunga"/>
    <n v="4"/>
  </r>
  <r>
    <n v="248"/>
    <x v="109"/>
    <d v="2026-02-20T15:01:14"/>
    <x v="19"/>
    <s v="CHRISTIAN NKWELA MAPUNDA"/>
    <s v="T728EBX: Harsh braking has been activated. At 20.02.2026 15:01:14 it moved with speed 62 km/h near 'Rn1, Haut-Katanga, Democratic Republic of the Congo, 1.44 km from Sakania'."/>
    <s v="Rn1, Democratic Republic of the Congo, Haut-Katanga, 1.44 km from Sakania"/>
    <n v="3"/>
  </r>
  <r>
    <n v="249"/>
    <x v="137"/>
    <d v="2026-02-20T09:48:03"/>
    <x v="19"/>
    <s v="KELNALDO MATHIS JUMA"/>
    <s v="T732EBX: Harsh braking has been activated. At 20.02.2026 09:48:03 it moved with speed 52 km/h near 'Great North Road, Muchinga Province, Zambia, 3.01 km from Rumbuka'."/>
    <s v="Great North Road, Zambia, Muchinga Province, 3.01 km from Rumbuka"/>
    <n v="3"/>
  </r>
  <r>
    <n v="250"/>
    <x v="138"/>
    <d v="2026-02-20T10:55:10"/>
    <x v="19"/>
    <s v="KHERI HASSAN MILANZI"/>
    <s v="T746DEB: Harsh braking has been activated. At 20.02.2026 10:55:10 it moved with speed 61 km/h near 'Iringa Road, Morogoro, Kilosa, Tanzania, 12.87 km from Msimba'."/>
    <s v="Iringa Road, Tanzania, Morogoro, Kilosa, 12.87 km from Msimba"/>
    <n v="3"/>
  </r>
  <r>
    <n v="251"/>
    <x v="132"/>
    <d v="2026-02-20T08:50:42"/>
    <x v="19"/>
    <s v="AMIRI TALIB SHEIN"/>
    <s v="T793DYR: Harsh braking has been activated. At 20.02.2026 08:50:42 it moved with speed 56 km/h near 'T1, Mbeya, Tanzania, 2.01 km from Mangere'."/>
    <s v="T1, Tanzania, Mbeya, 2.01 km from Mangere"/>
    <n v="3"/>
  </r>
  <r>
    <n v="252"/>
    <x v="73"/>
    <d v="2026-02-20T13:55:12"/>
    <x v="19"/>
    <s v="YUSUPH ZIAGA SANGA"/>
    <s v="T817EBW: Harsh braking has been activated. At 20.02.2026 13:55:12 it moved with speed 59 km/h near 'T1, Mbeya, Mbozi, Tanzania, 2.98 km from Vwawa'."/>
    <s v="T1, Tanzania, Mbeya, Mbozi, 2.98 km from Vwawa"/>
    <n v="12"/>
  </r>
  <r>
    <n v="253"/>
    <x v="139"/>
    <d v="2026-02-20T09:55:41"/>
    <x v="19"/>
    <s v="FREDRICK LAZARO KIMARO"/>
    <s v="T998EBW: Harsh braking has been activated. At 20.02.2026 09:55:41 it moved with speed 63 km/h near 'T1, Mbeya, Tanzania, 6.85 km from Igawa'."/>
    <s v="T1, Tanzania, Mbeya, 6.85 km from Igawa"/>
    <n v="3"/>
  </r>
  <r>
    <n v="254"/>
    <x v="140"/>
    <d v="2026-02-22T09:06:39"/>
    <x v="20"/>
    <s v="KITUNDA HUSSEIN KUDEBA"/>
    <s v="T689DEB: Harsh braking has been activated. At 22.02.2026 09:06:39 it moved with speed 54 km/h near 'Rn39, Lualaba, Democratic Republic of the Congo, 1.41 km from Kabwe Maradonna'."/>
    <s v="Rn39, Democratic Republic of the Congo, Lualaba, 1.41 km from Kabwe Maradonna"/>
    <n v="3"/>
  </r>
  <r>
    <n v="255"/>
    <x v="109"/>
    <d v="2026-02-22T12:15:20"/>
    <x v="20"/>
    <s v="CHRISTIAN NKWELA MAPUNDA"/>
    <s v="T728EBX: Harsh braking has been activated. At 22.02.2026 12:15:20 it moved with speed 55 km/h near 'Biayi Prolongée Avenue, Lubumbashi, Haut-Katanga, Democratic Republic of the Congo'."/>
    <s v="Lubumbashi, Biayi Prolongée Avenue, Democratic Republic of the Congo, Haut-Katanga"/>
    <n v="7"/>
  </r>
  <r>
    <n v="256"/>
    <x v="73"/>
    <d v="2026-02-22T06:38:52"/>
    <x v="20"/>
    <s v="YUSUPH ZIAGA SANGA"/>
    <s v="T817EBW: Harsh braking has been activated. At 22.02.2026 06:38:52 it moved with speed 66 km/h near 'T1, Morogoro, Tanzania, 2.52 km from Mkambarani'."/>
    <s v="T1, Tanzania, Morogoro, 2.52 km from Mkambarani"/>
    <n v="8"/>
  </r>
  <r>
    <n v="257"/>
    <x v="45"/>
    <d v="2026-02-22T11:38:17"/>
    <x v="20"/>
    <s v="HAMISI RAMADHANI SULTAN"/>
    <s v="T878EBY: Harsh braking has been activated. At 22.02.2026 11:38:17 it moved with speed 65 km/h near 'Iringa Road, Morogoro, Kilosa, Tanzania, 1.30 km from Msosa'."/>
    <s v="Iringa Road, Tanzania, Morogoro, Kilosa, 1.30 km from Msosa"/>
    <n v="4"/>
  </r>
  <r>
    <n v="258"/>
    <x v="89"/>
    <d v="2026-02-22T09:51:17"/>
    <x v="20"/>
    <s v="RAMADHAN RAHIBU SULEIMAN"/>
    <s v="T904EBW: Harsh braking has been activated. At 22.02.2026 09:51:17 it moved with speed 60 km/h near 'T1, Mbeya, Tanzania, 5.42 km from Igawa'."/>
    <s v="T1, Tanzania, Mbeya, 5.42 km from Igawa"/>
    <n v="3"/>
  </r>
  <r>
    <n v="259"/>
    <x v="70"/>
    <d v="2026-02-22T15:29:28"/>
    <x v="20"/>
    <s v="SHABANI HARUNA SEMENTA"/>
    <s v="T955EBW: Harsh braking has been activated. At 22.02.2026 15:29:28 it moved with speed 73 km/h near 'Great North Road, Muchinga Province, Zambia, 5.59 km from Mkasi'."/>
    <s v="Great North Road, Zambia, Muchinga Province, 5.59 km from Mkasi"/>
    <n v="11"/>
  </r>
  <r>
    <n v="260"/>
    <x v="12"/>
    <d v="2026-02-23T09:13:19"/>
    <x v="21"/>
    <s v="JUMA KOBA SAID"/>
    <s v="T329ECN: Harsh braking has been activated. At 23.02.2026 09:13:19 it moved with speed 54 km/h near 'Great North Road, Muchinga Province, Zambia, Kaloswe'."/>
    <s v="Great North Road, Zambia, Muchinga Province, Kaloswe"/>
    <n v="4"/>
  </r>
  <r>
    <n v="261"/>
    <x v="141"/>
    <d v="2026-02-23T08:15:05"/>
    <x v="21"/>
    <s v="NASSORO BUSHIRI MOHAMED"/>
    <s v="T493DYR: Harsh braking has been activated. At 23.02.2026 08:15:05 it moved with speed 54 km/h near 'Great North Road, Muchinga Province, Zambia, 1.63 km from Chinkumba'."/>
    <s v="Great North Road, Zambia, Muchinga Province, 1.63 km from Chinkumba"/>
    <n v="4"/>
  </r>
  <r>
    <n v="262"/>
    <x v="8"/>
    <d v="2026-02-23T12:16:54"/>
    <x v="21"/>
    <s v="GABRIEL SHIJA MAHONA"/>
    <s v="T494DYR: Harsh braking has been activated. At 23.02.2026 12:16:54 it moved with speed 66 km/h near 'Rn1, Haut-Katanga, Democratic Republic of the Congo, 15.16 km from Lwisha'."/>
    <s v="Rn1, Democratic Republic of the Congo, Haut-Katanga, 15.16 km from Lwisha"/>
    <n v="8"/>
  </r>
  <r>
    <n v="263"/>
    <x v="42"/>
    <d v="2026-02-23T09:01:53"/>
    <x v="21"/>
    <s v="OMARI ABEDI MOKA"/>
    <s v="T513EBY: Harsh braking has been activated. At 23.02.2026 09:01:53 it moved with speed 54 km/h near 'Iringa Road, Morogoro, Tanzania, 11.70 km from Morogoro'."/>
    <s v="Iringa Road, Tanzania, Morogoro, 11.70 km from Morogoro"/>
    <n v="3"/>
  </r>
  <r>
    <n v="264"/>
    <x v="78"/>
    <d v="2026-02-23T08:17:11"/>
    <x v="21"/>
    <s v="GASPER ELICHILIA KINYAHA"/>
    <s v="T528EBY: Harsh braking has been activated. At 23.02.2026 08:17:11 it moved with speed 59 km/h near 'T1, Njombe, Tanzania, Igando'."/>
    <s v="T1, Tanzania, Njombe, Igando"/>
    <n v="4"/>
  </r>
  <r>
    <n v="265"/>
    <x v="55"/>
    <d v="2026-02-23T15:45:29"/>
    <x v="21"/>
    <s v="MRISHO WAZIRI ALLY"/>
    <s v="T568DYR: Harsh braking has been activated. At 23.02.2026 15:45:29 it moved with speed 60 km/h near 'Rn1, Haut-Katanga, Democratic Republic of the Congo, 7.15 km from Kasumbalesa'."/>
    <s v="Rn1, Democratic Republic of the Congo, Haut-Katanga, 7.15 km from Kasumbalesa"/>
    <n v="4"/>
  </r>
  <r>
    <n v="266"/>
    <x v="96"/>
    <d v="2026-02-23T11:45:42"/>
    <x v="21"/>
    <s v="PASTOR GASPER MCHAU"/>
    <s v="T590DTQ: Harsh braking has been activated. At 23.02.2026 11:45:42 it moved with speed 55 km/h near 'Rn1, Haut-Katanga, Democratic Republic of the Congo, 30.41 km from Lubumbashi'."/>
    <s v="Rn1, Democratic Republic of the Congo, Haut-Katanga, 30.41 km from Lubumbashi"/>
    <n v="11"/>
  </r>
  <r>
    <n v="267"/>
    <x v="142"/>
    <d v="2026-02-23T10:07:53"/>
    <x v="21"/>
    <s v="MICHAEL CHEYO NKINGA"/>
    <s v="T696DEB: Harsh braking has been activated. At 23.02.2026 10:07:53 it moved with speed 57 km/h near 'Iringa Road, Morogoro, Kilosa, Tanzania, 13.62 km from Igagala'."/>
    <s v="Iringa Road, Tanzania, Morogoro, Kilosa, 13.62 km from Igagala"/>
    <n v="3"/>
  </r>
  <r>
    <n v="268"/>
    <x v="15"/>
    <d v="2026-02-23T11:02:48"/>
    <x v="21"/>
    <s v="KHALIDY MOHAMEDY KIDOMO"/>
    <s v="T724DYR: Harsh braking has been activated. At 23.02.2026 11:02:48 it moved with speed 62 km/h near 'Route De Likasi, Lubumbashi, Haut-Katanga, Democratic Republic of the Congo'."/>
    <s v="Lubumbashi, Route De Likasi, Democratic Republic of the Congo, Haut-Katanga"/>
    <n v="7"/>
  </r>
  <r>
    <n v="269"/>
    <x v="87"/>
    <d v="2026-02-23T16:58:41"/>
    <x v="21"/>
    <s v="JABU RASHIDI ISSA"/>
    <s v="T754DEB: Harsh braking has been activated. At 23.02.2026 16:58:41 it moved with speed 54 km/h near 'Iringa Road, Iringa, Tanzania, 3.50 km from Matassi'."/>
    <s v="Iringa Road, Tanzania, Iringa, 3.50 km from Matassi"/>
    <n v="9"/>
  </r>
  <r>
    <n v="270"/>
    <x v="89"/>
    <d v="2026-02-23T07:00:39"/>
    <x v="21"/>
    <s v="RAMADHAN RAHIBU SULEIMAN"/>
    <s v="T904EBW: Harsh braking has been activated. At 23.02.2026 07:00:39 it moved with speed 57 km/h near 'Iringa Road, Iringa, Tanzania, 1.19 km from Mahenge'."/>
    <s v="Iringa Road, Tanzania, Iringa, 1.19 km from Mahenge"/>
    <n v="14"/>
  </r>
  <r>
    <n v="271"/>
    <x v="24"/>
    <d v="2026-02-23T07:03:28"/>
    <x v="21"/>
    <s v="ALLY RASHID SAID"/>
    <s v="T905EBW: Harsh braking has been activated. At 23.02.2026 07:03:28 it moved with speed 63 km/h near 'Great North Road, Muchinga Province, Zambia, 5.73 km from Kamangu'."/>
    <s v="Great North Road, Zambia, Muchinga Province, 5.73 km from Kamangu"/>
    <n v="6"/>
  </r>
  <r>
    <n v="272"/>
    <x v="35"/>
    <d v="2026-02-23T10:22:53"/>
    <x v="21"/>
    <s v="ELIBAS EZEKIEL KITUNGWA"/>
    <s v="T907EBW: Harsh braking has been activated. At 23.02.2026 10:22:53 it moved with speed 69 km/h near 'Great North Road, Muchinga Province, Zambia, 3.04 km from Isoka'."/>
    <s v="Great North Road, Zambia, Muchinga Province, 3.04 km from Isoka"/>
    <n v="4"/>
  </r>
  <r>
    <n v="273"/>
    <x v="143"/>
    <d v="2026-02-23T13:47:48"/>
    <x v="21"/>
    <s v="ALPHONCE ADRIAN MAIGE"/>
    <s v="T933EBW: Harsh braking has been activated. At 23.02.2026 13:47:48 it moved with speed 53 km/h near 'Great North Road, Muchinga Province, Zambia, Chinunda'."/>
    <s v="Great North Road, Zambia, Muchinga Province, Chinunda"/>
    <n v="4"/>
  </r>
  <r>
    <n v="274"/>
    <x v="144"/>
    <d v="2026-02-23T08:06:00"/>
    <x v="21"/>
    <s v="ALLY MBARAKA ALLY"/>
    <s v="T934EBW: Harsh braking has been activated. At 23.02.2026 08:06:00 it moved with speed 53 km/h near 'Great North Road, Muchinga Province, Zambia, 13.21 km from Chifumbula'."/>
    <s v="Great North Road, Zambia, Muchinga Province, 13.21 km from Chifumbula"/>
    <n v="3"/>
  </r>
  <r>
    <n v="275"/>
    <x v="145"/>
    <d v="2026-02-24T14:59:41"/>
    <x v="22"/>
    <s v="JOSEPH PETRO JAMES"/>
    <s v="T233EBX: Harsh braking has been activated. At 24.02.2026 14:59:41 it moved with speed 67 km/h near 'T1, Morogoro, Kingolwira Ward, Morogoro Region, Tanzania'."/>
    <s v="Morogoro, T1, Tanzania, Kingolwira Ward, Morogoro Region"/>
    <n v="4"/>
  </r>
  <r>
    <n v="276"/>
    <x v="146"/>
    <d v="2026-02-24T15:36:34"/>
    <x v="22"/>
    <s v="STEVEN OCTAVIAN MILANZI"/>
    <s v="T375DHG: Harsh braking has been activated. At 24.02.2026 15:36:34 it moved with speed 73 km/h near 'Ndola - Kitwe Dual-Carriageway, Ndola, Copperbelt Province, Zambia'."/>
    <s v="Ndola, Ndola - Kitwe Dual-Carriageway, Zambia, Copperbelt Province"/>
    <n v="4"/>
  </r>
  <r>
    <n v="277"/>
    <x v="129"/>
    <d v="2026-02-24T08:26:42"/>
    <x v="22"/>
    <s v="ALLY RAMADHANI ZANDA"/>
    <s v="T499DYR: Harsh braking has been activated. At 24.02.2026 08:26:42 it moved with speed 54 km/h near 'T1, Njombe, Tanzania, 7.75 km from Nzivi'."/>
    <s v="Mafinga TC, T1, Tanzania, Sao Hill Ward, Iringa Region"/>
    <n v="3"/>
  </r>
  <r>
    <n v="278"/>
    <x v="87"/>
    <d v="2026-02-24T12:40:11"/>
    <x v="22"/>
    <s v="JABU RASHIDI ISSA"/>
    <s v="T754DEB: Harsh braking has been activated. At 24.02.2026 12:40:11 it moved with speed 68 km/h near 'Doma, Doma Ward, Mvomero DC, Morogoro Region, Tanzania'."/>
    <s v="Doma, Tanzania, Doma Ward, Mvomero DC, Morogoro Region"/>
    <n v="5"/>
  </r>
  <r>
    <n v="279"/>
    <x v="44"/>
    <d v="2026-02-24T07:29:53"/>
    <x v="22"/>
    <s v="ISSACK KONRADI KASIANO"/>
    <s v="T868EBW: Harsh braking has been activated. At 24.02.2026 07:29:53 it moved with speed 55 km/h near 'Great North Road, Muchinga Province, Zambia, 12.35 km from Mwezo'."/>
    <s v="Great North Road, Zambia, Muchinga Province, 12.35 km from Mwezo"/>
    <n v="8"/>
  </r>
  <r>
    <n v="280"/>
    <x v="35"/>
    <d v="2026-02-24T11:12:00"/>
    <x v="22"/>
    <s v="ELIBAS EZEKIEL KITUNGWA"/>
    <s v="T907EBW: Harsh braking has been activated. At 24.02.2026 11:12:00 it moved with speed 54 km/h near 'Great North Road, Central Province, Zambia, 11.79 km from Bwale'."/>
    <s v="Great North Road, Zambia, Central Province, 11.79 km from Bwale"/>
    <n v="3"/>
  </r>
  <r>
    <n v="281"/>
    <x v="147"/>
    <d v="2026-02-25T10:41:24"/>
    <x v="23"/>
    <s v="ALLY MARICK SEIF"/>
    <s v="T220EBX: Harsh braking has been activated. At 25.02.2026 10:41:24 it moved with speed 56 km/h near 'T3, Copperbelt Province, Zambia, 8.51 km from Tonde'."/>
    <s v="T3, Zambia, Copperbelt Province, 8.51 km from Tonde"/>
    <n v="3"/>
  </r>
  <r>
    <n v="282"/>
    <x v="51"/>
    <d v="2026-02-25T06:00:57"/>
    <x v="23"/>
    <s v="MOHAMEDI IDDI KULWA"/>
    <s v="T269EBX: Harsh braking has been activated. At 25.02.2026 06:00:57 it moved with speed 59 km/h near 'Msimba, Mikumi Ward, Kilosa DC, Morogoro Region, Tanzania'."/>
    <s v="Msimba, Tanzania, Mikumi Ward, Kilosa DC, Morogoro Region"/>
    <n v="3"/>
  </r>
  <r>
    <n v="283"/>
    <x v="5"/>
    <d v="2026-02-25T17:46:02"/>
    <x v="23"/>
    <s v="RAJABU MOHAMED MATUA"/>
    <s v="T407DHE: Harsh braking has been activated. At 25.02.2026 17:46:02 it moved with speed 52 km/h near 'Great North Road, Muchinga Province, Zambia, 4.68 km from Mukwikile'."/>
    <s v="Great North Road, Zambia, Muchinga Province, 4.68 km from Mukwikile"/>
    <n v="3"/>
  </r>
  <r>
    <n v="284"/>
    <x v="148"/>
    <d v="2026-02-25T13:08:44"/>
    <x v="23"/>
    <s v="MIKIDADI RASHIDI MGEZA"/>
    <s v="T600DTQ: Harsh braking has been activated. At 25.02.2026 13:08:44 it moved with speed 52 km/h near 'Rn39, Lualaba, Democratic Republic of the Congo, 2.93 km from Pumpi Route'."/>
    <s v="Rn39, Democratic Republic of the Congo, Lualaba, 2.93 km from Pumpi Route"/>
    <n v="4"/>
  </r>
  <r>
    <n v="285"/>
    <x v="149"/>
    <d v="2026-02-25T09:07:53"/>
    <x v="23"/>
    <s v="EMANUEL AGRICOLA MKENDA"/>
    <s v="T604DTQ: Harsh braking has been activated. At 25.02.2026 09:07:53 it moved with speed 52 km/h near 'Rn1, Haut-Katanga, Democratic Republic of the Congo, 4.05 km from Tshinsenda'."/>
    <s v="Rn1, Democratic Republic of the Congo, Haut-Katanga, 4.05 km from Tshinsenda"/>
    <n v="5"/>
  </r>
  <r>
    <n v="286"/>
    <x v="140"/>
    <d v="2026-02-25T09:30:09"/>
    <x v="23"/>
    <s v="KITUNDA HUSSEIN KUDEBA"/>
    <s v="T689DEB: Harsh braking has been activated. At 25.02.2026 09:30:09 it moved with speed 58 km/h near 'M3, Northern Province, Zambia, 1.26 km from Shikasenge'."/>
    <s v="M3, Zambia, Northern Province, 1.26 km from Shikasenge"/>
    <n v="3"/>
  </r>
  <r>
    <n v="287"/>
    <x v="44"/>
    <d v="2026-02-25T08:25:37"/>
    <x v="23"/>
    <s v="ISSACK KONRADI KASIANO"/>
    <s v="T868EBW: Harsh braking has been activated. At 25.02.2026 08:25:37 it moved with speed 52 km/h near 'Great North Road, Muchinga Province, Zambia, 1.14 km from Chinunda'."/>
    <s v="Great North Road, Zambia, Muchinga Province, 1.14 km from Chinunda"/>
    <n v="9"/>
  </r>
  <r>
    <n v="288"/>
    <x v="150"/>
    <d v="2026-02-25T07:20:20"/>
    <x v="23"/>
    <s v="TWAHIR RASHID MSAKA"/>
    <s v="T890EBW: Harsh braking has been activated. At 25.02.2026 07:20:20 it moved with speed 55 km/h near 'Great North Road, Central Province, Zambia, 9.67 km from Chifwefwe B'."/>
    <s v="Great North Road, Zambia, Central Province, 9.67 km from Chifwefwe B"/>
    <n v="6"/>
  </r>
  <r>
    <n v="289"/>
    <x v="35"/>
    <d v="2026-02-25T11:50:05"/>
    <x v="23"/>
    <s v="ELIBAS EZEKIEL KITUNGWA"/>
    <s v="T907EBW: Harsh braking has been activated. At 25.02.2026 11:50:05 it moved with speed 60 km/h near 'Ndola - Kitwe Dual-Carriageway, Copperbelt Province, Zambia, Ndola'."/>
    <s v="Ndola - Kitwe Dual-Carriageway, Zambia, Copperbelt Province, Ndola"/>
    <n v="3"/>
  </r>
  <r>
    <n v="290"/>
    <x v="151"/>
    <d v="2026-02-25T10:33:26"/>
    <x v="23"/>
    <s v="APOLO PETER MSIGWA"/>
    <s v="T945EBW: Harsh braking has been activated. At 25.02.2026 10:33:26 it moved with speed 57 km/h near 'Great North Road, Central Province, Zambia, 17.10 km from Muchinka'."/>
    <s v="Great North Road, Zambia, Central Province, 17.10 km from Muchinka"/>
    <n v="5"/>
  </r>
  <r>
    <n v="291"/>
    <x v="152"/>
    <d v="2026-02-26T07:23:34"/>
    <x v="24"/>
    <s v="ABDUL NASSORO SELEMANI"/>
    <s v="T259EBX: Harsh braking has been activated. At 26.02.2026 07:23:34 it moved with speed 54 km/h near 'Great North Road, Muchinga Province, Zambia, Kalonje'."/>
    <s v="Great North Road, Zambia, Muchinga Province, Kalonje"/>
    <n v="3"/>
  </r>
  <r>
    <n v="292"/>
    <x v="28"/>
    <d v="2026-02-26T12:55:09"/>
    <x v="24"/>
    <s v="HAMADI RASHID DOWILE"/>
    <s v="T392ECN: Harsh braking has been activated. At 26.02.2026 12:55:09 it moved with speed 60 km/h near 'Great North Road, Muchinga Province, Zambia, Chifumbula'."/>
    <s v="Great North Road, Zambia, Muchinga Province, Chifumbula"/>
    <n v="3"/>
  </r>
  <r>
    <n v="293"/>
    <x v="5"/>
    <d v="2026-02-26T10:19:36"/>
    <x v="24"/>
    <s v="RAJABU MOHAMED MATUA"/>
    <s v="T407DHE: Harsh braking has been activated. At 26.02.2026 10:19:36 it moved with speed 56 km/h near 'Great North Road, Central Province, Zambia, 5.70 km from Godfrey Kunda'."/>
    <s v="Great North Road, Zambia, Central Province, 5.70 km from Godfrey Kunda"/>
    <n v="3"/>
  </r>
  <r>
    <n v="294"/>
    <x v="153"/>
    <d v="2026-02-26T08:55:15"/>
    <x v="24"/>
    <s v="HASSAN MZEE BOHERO"/>
    <s v="T514EBY: Harsh braking has been activated. At 26.02.2026 08:55:15 it moved with speed 58 km/h near 'Great North Road, Muchinga Province, Zambia, 9.04 km from Mwezo'."/>
    <s v="Great North Road, Zambia, Muchinga Province, 9.04 km from Mwezo"/>
    <n v="3"/>
  </r>
  <r>
    <n v="295"/>
    <x v="154"/>
    <d v="2026-02-26T12:37:41"/>
    <x v="24"/>
    <s v="KELVIN JOSEPH MWAMI"/>
    <s v="T517EBY: Harsh braking has been activated. At 26.02.2026 12:37:41 it moved with speed 51 km/h near 'Great North Road, Central Province, Zambia, 16.64 km from Chitiwa'."/>
    <s v="Great North Road, Zambia, Central Province, 16.64 km from Chitiwa"/>
    <n v="10"/>
  </r>
  <r>
    <n v="296"/>
    <x v="88"/>
    <d v="2026-02-26T10:15:20"/>
    <x v="24"/>
    <s v="STEPHANO ABINELI ULOMI"/>
    <s v="T873EBY: Harsh braking has been activated. At 26.02.2026 10:15:20 it moved with speed 54 km/h near 'Nyerere Road, Dar es Salaam, Kiwalani Ward, Ilala, Dar es Salaam Region, Tanzania'."/>
    <s v="Dar es Salaam, Nyerere Road, Tanzania, Kiwalani Ward, Ilala, Dar es Salaam Region"/>
    <n v="3"/>
  </r>
  <r>
    <n v="297"/>
    <x v="155"/>
    <d v="2026-02-26T08:22:01"/>
    <x v="24"/>
    <s v="BOSCO BONIFACE KOMBA"/>
    <s v="T912EBW: Harsh braking has been activated. At 26.02.2026 08:22:01 it moved with speed 60 km/h near 'Great North Road, Muchinga Province, Zambia, 8.79 km from Godfrey Kunda'."/>
    <s v="Great North Road, Zambia, Muchinga Province, 8.79 km from Godfrey Kunda"/>
    <n v="3"/>
  </r>
  <r>
    <n v="298"/>
    <x v="154"/>
    <d v="2026-02-27T12:40:11"/>
    <x v="25"/>
    <s v="KELVIN JOSEPH MWAMI"/>
    <s v="T517EBY: Harsh braking has been activated. At 27.02.2026 12:40:11 it moved with speed 63 km/h near 'Great North Road, Muchinga Province, Zambia, 5.43 km from Chisoso'."/>
    <s v="Great North Road, Zambia, Muchinga Province, 5.43 km from Chisoso"/>
    <n v="6"/>
  </r>
  <r>
    <n v="299"/>
    <x v="55"/>
    <d v="2026-02-27T09:48:49"/>
    <x v="25"/>
    <s v="MRISHO WAZIRI ALLY"/>
    <s v="T568DYR: Harsh braking has been activated. At 27.02.2026 09:48:49 it moved with speed 53 km/h near 'T3, Copperbelt Province, Zambia, 18.27 km from Tonde'."/>
    <s v="T3, Zambia, Copperbelt Province, 18.27 km from Tonde"/>
    <n v="8"/>
  </r>
  <r>
    <n v="300"/>
    <x v="156"/>
    <d v="2026-02-27T11:51:35"/>
    <x v="25"/>
    <s v="MATHIAS ISDORY MGOMBE"/>
    <s v="T586DYR: Harsh braking has been activated. At 27.02.2026 11:51:35 it moved with speed 54 km/h near 'Rn1, Haut-Katanga, Democratic Republic of the Congo, 17.60 km from Lwisha'."/>
    <s v="Rn1, Democratic Republic of the Congo, Haut-Katanga, 17.60 km from Lwisha"/>
    <n v="3"/>
  </r>
  <r>
    <n v="301"/>
    <x v="157"/>
    <d v="2026-02-27T18:43:54"/>
    <x v="25"/>
    <s v="DAUDI ISSA NJUMITE"/>
    <s v="T638DHL: Harsh braking has been activated. At 27.02.2026 18:43:54 it moved with speed 51 km/h near 'Great North Road, Muchinga Province, Zambia, 5.17 km from Kalonje'."/>
    <s v="Great North Road, Zambia, Muchinga Province, 5.17 km from Kalonje"/>
    <n v="4"/>
  </r>
  <r>
    <n v="302"/>
    <x v="158"/>
    <d v="2026-02-27T11:43:01"/>
    <x v="25"/>
    <s v="ZUBERI HATIBU MJAHIDI"/>
    <s v="T768EBW: Harsh braking has been activated. At 27.02.2026 11:43:01 it moved with speed 54 km/h near 'Great North Road, Central Province, Zambia, 5.40 km from Manjolo'."/>
    <s v="Great North Road, Zambia, Central Province, 5.40 km from Manjolo"/>
    <n v="6"/>
  </r>
  <r>
    <n v="303"/>
    <x v="57"/>
    <d v="2026-02-27T07:29:58"/>
    <x v="25"/>
    <s v="ABDALLAH BAKARI ABDALLAH"/>
    <s v="T793EBW: Harsh braking has been activated. At 27.02.2026 07:29:58 it moved with speed 57 km/h near 'T3, Ndola, Copperbelt Province, Zambia'."/>
    <s v="Ndola, T3, Zambia, Copperbelt Province"/>
    <n v="3"/>
  </r>
  <r>
    <n v="304"/>
    <x v="159"/>
    <d v="2026-02-28T08:49:09"/>
    <x v="26"/>
    <s v="ISMAIL NASSORO SAID"/>
    <s v="T425DHG: Harsh braking has been activated. At 28.02.2026 08:49:09 it moved with speed 53 km/h near 'T3, Copperbelt Province, Zambia, 52.98 km from Ndola'."/>
    <s v="T3, Zambia, Copperbelt Province, 52.98 km from Ndola"/>
    <n v="5"/>
  </r>
  <r>
    <n v="305"/>
    <x v="160"/>
    <d v="2026-02-28T13:48:58"/>
    <x v="26"/>
    <s v="OTHUMAN SALUM MSIKA"/>
    <s v="T435DHG: Harsh braking has been activated. At 28.02.2026 13:48:58 it moved with speed 55 km/h near 'Ipolo, Utengule Usangu Ward, Mbarali DC, Mbeya Region, Tanzania'."/>
    <s v="Ipolo, Tanzania, Utengule Usangu Ward, Mbarali DC, Mbeya Region"/>
    <n v="3"/>
  </r>
  <r>
    <n v="306"/>
    <x v="161"/>
    <d v="2026-02-28T13:24:00"/>
    <x v="26"/>
    <s v="MOHAMED SELEMANI LUZUA"/>
    <s v="T511EBY: Harsh braking has been activated. At 28.02.2026 13:24:00 it moved with speed 62 km/h near 'Rn1, Haut-Katanga, Democratic Republic of the Congo, 2.09 km from Dikula'."/>
    <s v="Rn1, Democratic Republic of the Congo, Haut-Katanga, 2.09 km from Dikula"/>
    <n v="3"/>
  </r>
  <r>
    <n v="307"/>
    <x v="74"/>
    <d v="2026-02-28T06:42:05"/>
    <x v="26"/>
    <s v="MADENGE SALUM SHOMARI"/>
    <s v="T892EBW: Harsh braking has been activated. At 28.02.2026 06:42:05 it moved with speed 65 km/h near 'Wenda, Mseke Ward, Iringa DC, Iringa Region, Tanzania'."/>
    <s v="Wenda, Tanzania, Mseke Ward, Iringa DC, Iringa Region"/>
    <n v="6"/>
  </r>
  <r>
    <n v="308"/>
    <x v="36"/>
    <d v="2026-02-28T07:34:15"/>
    <x v="26"/>
    <s v="GODFREY FRANK MBOJA"/>
    <s v="T915EBW: Harsh braking has been activated. At 28.02.2026 07:34:15 it moved with speed 63 km/h near 'Rn39, Lualaba, Democratic Republic of the Congo, 1.34 km from Kampulu'."/>
    <s v="Rn39, Democratic Republic of the Congo, Lualaba, 1.34 km from Kampulu"/>
    <n v="4"/>
  </r>
  <r>
    <n v="309"/>
    <x v="69"/>
    <d v="2026-02-28T13:32:02"/>
    <x v="26"/>
    <s v="OMARI ATHUMANI SELEMANI"/>
    <s v="T930EBW: Harsh braking has been activated. At 28.02.2026 13:32:02 it moved with speed 56 km/h near 'Kidayi 'A', Malolo Ward, Kilosa DC, Morogoro Region, Tanzania'."/>
    <s v="Kidayi 'A', Tanzania, Malolo Ward, Kilosa DC, Morogoro Region"/>
    <n v="3"/>
  </r>
  <r>
    <n v="310"/>
    <x v="162"/>
    <d v="2026-02-28T10:06:39"/>
    <x v="26"/>
    <s v="SAMSONI JOSEPH USEGA"/>
    <s v="T952DSX: Harsh braking has been activated. At 28.02.2026 10:06:39 it moved with speed 62 km/h near 'Great North Road, Muchinga Province, Zambia, 10.01 km from Isoka'."/>
    <s v="Great North Road, Zambia, Muchinga Province, 10.01 km from Isoka"/>
    <n v="4"/>
  </r>
</pivotCacheRecords>
</file>

<file path=xl/pivotCache/pivotCacheRecords2.xml><?xml version="1.0" encoding="utf-8"?>
<pivotCacheRecords xmlns="http://schemas.openxmlformats.org/spreadsheetml/2006/main" count="310">
  <r>
    <n v="1"/>
    <x v="0"/>
    <d v="2026-02-01T11:48:04"/>
    <x v="0"/>
    <s v="OMAR SWALEH CHANINGA"/>
    <s v="T127EBX: Harsh braking has been activated. At 01.02.2026 11:48:04 it moved with speed 55 km/h near 'Great North Road, Muchinga Province, Zambia, 7.84 km from Chinunda'."/>
    <s v="Great North Road, Zambia, Muchinga Province, 7.84 km from Chinunda"/>
    <n v="3"/>
  </r>
  <r>
    <n v="2"/>
    <x v="1"/>
    <d v="2026-02-01T17:02:24"/>
    <x v="0"/>
    <s v="ISAYA MSHUKURU MMBANDO"/>
    <s v="T271EBY: Harsh braking has been activated. At 01.02.2026 17:02:24 it moved with speed 66 km/h near 'Rn1, Haut-Katanga, Democratic Republic of the Congo, 11.59 km from Sumbilili'."/>
    <s v="Rn1, Democratic Republic of the Congo, Haut-Katanga, 11.59 km from Sumbilili"/>
    <n v="3"/>
  </r>
  <r>
    <n v="3"/>
    <x v="2"/>
    <d v="2026-02-01T06:36:58"/>
    <x v="0"/>
    <s v="SAID RAJABU RAJABU"/>
    <s v="T282EBY: Harsh braking has been activated. At 01.02.2026 06:36:58 it moved with speed 54 km/h near 'Iringa Road, Lundamatwe, Iringa, Tanzania'."/>
    <s v="Lundamatwe, Iringa Road, Tanzania, Iringa"/>
    <n v="4"/>
  </r>
  <r>
    <n v="4"/>
    <x v="3"/>
    <d v="2026-02-01T13:23:51"/>
    <x v="0"/>
    <s v="YUSUFU  SAMSON NICODEMUS"/>
    <s v="T331EBX: Harsh braking has been activated. At 01.02.2026 13:23:51 it moved with speed 52 km/h near 'T1, Mswiswi, Mbeya, Tanzania'."/>
    <s v="Mswiswi, T1, Tanzania, Mbeya"/>
    <n v="3"/>
  </r>
  <r>
    <n v="5"/>
    <x v="4"/>
    <d v="2026-02-01T09:26:45"/>
    <x v="0"/>
    <s v="JAMES JOSEPH NJAU"/>
    <s v="T341EBX: Harsh braking has been activated. At 01.02.2026 09:26:45 it moved with speed 51 km/h near 'Tanzania To Zambia Road, Iringa, Mufindi, Tanzania, 2.46 km from Ihemi'."/>
    <s v="Tanzania To Zambia Road, Tanzania, Iringa, Mufindi, 2.46 km from Ihemi"/>
    <n v="4"/>
  </r>
  <r>
    <n v="6"/>
    <x v="5"/>
    <d v="2026-02-01T12:34:53"/>
    <x v="0"/>
    <s v="RAJABU MOHAMED MATUA"/>
    <s v="T407DHE: Harsh braking has been activated. At 01.02.2026 12:34:53 it moved with speed 56 km/h near 'Iringa Road, Morogoro, Kilosa, Tanzania, 2.90 km from Kidayi 'B''."/>
    <s v="Iringa Road, Tanzania, Morogoro, Kilosa, 2.90 km from Kidayi 'B'"/>
    <n v="11"/>
  </r>
  <r>
    <n v="7"/>
    <x v="6"/>
    <d v="2026-02-01T12:45:14"/>
    <x v="0"/>
    <s v="BASHIRU ABDALLA HUSSEIN"/>
    <s v="T413DHG: Harsh braking has been activated. At 01.02.2026 12:45:14 it moved with speed 58 km/h near 'Great North Road, Central Province, Zambia, 2.83 km from Chifwefwe B'."/>
    <s v="Great North Road, Zambia, Central Province, 2.83 km from Chifwefwe B"/>
    <n v="6"/>
  </r>
  <r>
    <n v="8"/>
    <x v="7"/>
    <d v="2026-02-01T09:20:37"/>
    <x v="0"/>
    <s v="RAMADHANI SHABANI WAGAMOYO"/>
    <s v="T482DYR: Harsh braking has been activated. At 01.02.2026 09:20:37 it moved with speed 55 km/h near 'M3, Northern Province, Zambia, 11.39 km from Makungwe'."/>
    <s v="M3, Zambia, Northern Province, 11.39 km from Makungwe"/>
    <n v="3"/>
  </r>
  <r>
    <n v="9"/>
    <x v="8"/>
    <d v="2026-02-01T14:26:44"/>
    <x v="0"/>
    <s v="GABRIEL SHIJA MAHONA"/>
    <s v="T494DYR: Harsh braking has been activated. At 01.02.2026 14:26:44 it moved with speed 63 km/h near 'T1, Njombe, Tanzania, 10.30 km from Sao-Hill Forest Plantation'."/>
    <s v="T1, Tanzania, Njombe, 10.30 km from Sao-Hill Forest Plantation"/>
    <n v="5"/>
  </r>
  <r>
    <n v="10"/>
    <x v="9"/>
    <d v="2026-02-01T13:09:19"/>
    <x v="0"/>
    <s v="RAMADHANI MBEZI OMARY"/>
    <s v="T634DHL: Harsh braking has been activated. At 01.02.2026 13:09:19 it moved with speed 65 km/h near 'Route De Lubumbashi, Haut-Katanga, Democratic Republic of the Congo, 2.29 km from Kapulwa'."/>
    <s v="Route De Lubumbashi, Democratic Republic of the Congo, Haut-Katanga, 2.29 km from Kapulwa"/>
    <n v="3"/>
  </r>
  <r>
    <n v="11"/>
    <x v="10"/>
    <d v="2026-02-01T09:00:59"/>
    <x v="0"/>
    <s v="RAJABU HUSSEIN AHMAD"/>
    <s v="T712DYR: Harsh braking has been activated. At 01.02.2026 09:00:59 it moved with speed 52 km/h near 'T1, Mswiswi, Mbeya, Tanzania'."/>
    <s v="Mswiswi, T1, Tanzania, Mbeya"/>
    <n v="4"/>
  </r>
  <r>
    <n v="12"/>
    <x v="11"/>
    <d v="2026-02-02T11:33:39"/>
    <x v="1"/>
    <s v="FRANCIS ERNEST KIBULA"/>
    <s v="T250EBX: Harsh braking has been activated. At 02.02.2026 11:33:39 it moved with speed 68 km/h near 'Iringa Road, Iringa, Tanzania, Mtandika 'B''."/>
    <s v="Iringa Road, Tanzania, Iringa, Mtandika 'B'"/>
    <n v="27"/>
  </r>
  <r>
    <n v="13"/>
    <x v="12"/>
    <d v="2026-02-02T13:35:40"/>
    <x v="1"/>
    <s v="JUMA KOBA SAID"/>
    <s v="T329ECN: Harsh braking has been activated. At 02.02.2026 13:35:40 it moved with speed 59 km/h near 'T3, Copperbelt Province, Zambia, 12.39 km from Ndola'."/>
    <s v="T3, Zambia, Copperbelt Province, 12.39 km from Ndola"/>
    <n v="3"/>
  </r>
  <r>
    <n v="14"/>
    <x v="3"/>
    <d v="2026-02-02T09:29:56"/>
    <x v="1"/>
    <s v="YUSUFU  SAMSON NICODEMUS"/>
    <s v="T331EBX: Harsh braking has been activated. At 02.02.2026 09:29:56 it moved with speed 51 km/h near 'Iringa Road, Lundamatwe, Iringa, Tanzania'."/>
    <s v="Lundamatwe, Iringa Road, Tanzania, Iringa"/>
    <n v="4"/>
  </r>
  <r>
    <n v="15"/>
    <x v="13"/>
    <d v="2026-02-02T14:41:53"/>
    <x v="1"/>
    <s v="CHARLES LONGIN MASESA"/>
    <s v="T385ECN: Harsh braking has been activated. At 02.02.2026 14:41:53 it moved with speed 51 km/h near 'T3, Copperbelt Province, Zambia, 23.12 km from Pukota'."/>
    <s v="T3, Zambia, Copperbelt Province, 23.12 km from Pukota"/>
    <n v="3"/>
  </r>
  <r>
    <n v="16"/>
    <x v="14"/>
    <d v="2026-02-02T07:47:42"/>
    <x v="1"/>
    <s v="FRENK PETER SIMBEYE"/>
    <s v="T512DTR: Harsh braking has been activated. At 02.02.2026 07:47:42 it moved with speed 52 km/h near 'T1, Njombe, Makete, Tanzania, 3.98 km from Mabadaga'."/>
    <s v="T1, Tanzania, Njombe, Makete, 3.98 km from Mabadaga"/>
    <n v="3"/>
  </r>
  <r>
    <n v="17"/>
    <x v="15"/>
    <d v="2026-02-02T08:02:35"/>
    <x v="1"/>
    <s v="KHALIDY MOHAMEDY KIDOMO"/>
    <s v="T724DYR: Harsh braking has been activated. At 02.02.2026 08:02:35 it moved with speed 65 km/h near 'Great North Road, Central Province, Zambia, 9.81 km from Chitiwa'."/>
    <s v="Great North Road, Zambia, Central Province, 9.81 km from Chitiwa"/>
    <n v="4"/>
  </r>
  <r>
    <n v="18"/>
    <x v="16"/>
    <d v="2026-02-02T06:20:27"/>
    <x v="1"/>
    <s v="ELIA JUMA NZOWA"/>
    <s v="T728DYR: Harsh braking has been activated. At 02.02.2026 06:20:27 it moved with speed 70 km/h near 'T1, Njombe, Tanzania, Maguvani'."/>
    <s v="T1, Tanzania, Njombe, Maguvani"/>
    <n v="31"/>
  </r>
  <r>
    <n v="19"/>
    <x v="17"/>
    <d v="2026-02-02T09:53:00"/>
    <x v="1"/>
    <s v="MAKERE GACHUMA MAKERE"/>
    <s v="T774EBW: Harsh braking has been activated. At 02.02.2026 09:53:00 it moved with speed 63 km/h near 'Great North Road, Muchinga Province, Zambia, 18.58 km from Katibunga'."/>
    <s v="Great North Road, Zambia, Muchinga Province, 18.58 km from Katibunga"/>
    <n v="3"/>
  </r>
  <r>
    <n v="20"/>
    <x v="18"/>
    <d v="2026-02-03T11:58:49"/>
    <x v="2"/>
    <s v="GODFREY JOHN ANTHONY KUNDI"/>
    <s v="T107EBX: Harsh braking has been activated. At 03.02.2026 11:58:49 it moved with speed 56 km/h near 'Great North Road, Central Province, Zambia, 3.45 km from Kanona'."/>
    <s v="Great North Road, Zambia, Central Province, 3.45 km from Kanona"/>
    <n v="4"/>
  </r>
  <r>
    <n v="21"/>
    <x v="19"/>
    <d v="2026-02-03T08:06:44"/>
    <x v="2"/>
    <s v="ISAYA JOHN MSENA"/>
    <m/>
    <s v="Great North Road, Zambia, Central Province, 11.27 km from Kanona"/>
    <n v="4"/>
  </r>
  <r>
    <n v="22"/>
    <x v="20"/>
    <d v="2026-02-03T08:42:03"/>
    <x v="2"/>
    <s v="ELIAH YUSUPH MPANGO"/>
    <s v="T191EBX: Harsh braking has been activated. At 03.02.2026 08:06:44 it moved with speed 60 km/h near 'Great North Road, Central Province, Zambia, 11.27 km from Kanona'."/>
    <s v="Iringa Road, Tanzania, Morogoro, Kilosa, 2.06 km from Mikumi"/>
    <n v="5"/>
  </r>
  <r>
    <n v="23"/>
    <x v="12"/>
    <d v="2026-02-03T08:59:41"/>
    <x v="2"/>
    <s v="JUMA KOBA SAID"/>
    <s v="T329ECN: Harsh braking has been activated. At 03.02.2026 08:59:41 it moved with speed 53 km/h near 'Great North Road, Muchinga Province, Zambia, 7.88 km from Chinunda'."/>
    <s v="Great North Road, Zambia, Muchinga Province, 7.88 km from Chinunda"/>
    <n v="5"/>
  </r>
  <r>
    <n v="24"/>
    <x v="13"/>
    <d v="2026-02-03T07:32:27"/>
    <x v="2"/>
    <s v="CHARLES LONGIN MASESA"/>
    <s v="T329ECN: Harsh braking has been activated. At 03.02.2026 08:59:41 it moved with speed 53 km/h near 'Great North Road, Muchinga Province, Zambia, 7.88 km from Chinunda'."/>
    <s v="Great North Road, Zambia, Central Province, 11.79 km from Kanona"/>
    <n v="3"/>
  </r>
  <r>
    <n v="25"/>
    <x v="21"/>
    <d v="2026-02-03T06:23:26"/>
    <x v="2"/>
    <s v="ISMAIL KISANDU RUBASHA"/>
    <s v="T572DYR: Harsh braking has been activated. At 03.02.2026 06:23:26 it moved with speed 61 km/h near 'Iringa Road, Morogoro, Kilosa, Tanzania, Kidayi 'B''."/>
    <s v="Iringa Road, Tanzania, Morogoro, Kilosa, Kidayi 'B'"/>
    <n v="3"/>
  </r>
  <r>
    <n v="26"/>
    <x v="16"/>
    <d v="2026-02-03T06:32:10"/>
    <x v="2"/>
    <s v="ELIA JUMA NZOWA"/>
    <s v="T728DYR: Harsh braking has been activated. At 03.02.2026 06:32:10 it moved with speed 60 km/h near 'T1, Pwani, Bagamoyo, Tanzania, Msolwa'."/>
    <s v="T1, Tanzania, Pwani, Bagamoyo, Msolwa"/>
    <n v="4"/>
  </r>
  <r>
    <n v="27"/>
    <x v="22"/>
    <d v="2026-02-03T11:37:55"/>
    <x v="2"/>
    <s v="OMARY SAID MTAJI"/>
    <s v="T861EBY: Harsh braking has been activated. At 03.02.2026 11:37:55 it moved with speed 53 km/h near 'Morogoro Main Road, Pwani, Kibaha, Tanzania, Ruvu Darajani'."/>
    <s v="Morogoro Main Road, Tanzania, Pwani, Kibaha, Ruvu Darajani"/>
    <n v="4"/>
  </r>
  <r>
    <n v="28"/>
    <x v="23"/>
    <d v="2026-02-03T07:35:58"/>
    <x v="2"/>
    <s v="ABDULHAFIDH RADMAN ALLY"/>
    <s v="T862EBY: Harsh braking has been activated. At 03.02.2026 07:35:58 it moved with speed 58 km/h near 'Great North Road, Central Province, Zambia, 13.65 km from Kanona'."/>
    <s v="Great North Road, Zambia, Central Province, 13.65 km from Kanona"/>
    <n v="3"/>
  </r>
  <r>
    <n v="29"/>
    <x v="24"/>
    <d v="2026-02-03T10:09:11"/>
    <x v="2"/>
    <s v="ALLY RASHID SAID"/>
    <s v="T862EBY: Harsh braking has been activated. At 03.02.2026 07:35:58 it moved with speed 58 km/h near 'Great North Road, Central Province, Zambia, 13.65 km from Kanona'."/>
    <s v="Great North Road, Zambia, Central Province, 17.50 km from Ndabala"/>
    <n v="4"/>
  </r>
  <r>
    <n v="30"/>
    <x v="25"/>
    <d v="2026-02-03T12:18:09"/>
    <x v="2"/>
    <s v="SALIMU SAIDI KIANDIKO"/>
    <s v="T862EBY: Harsh braking has been activated. At 03.02.2026 07:35:58 it moved with speed 58 km/h near 'Great North Road, Central Province, Zambia, 13.65 km from Kanona'."/>
    <s v="Great North Road, Zambia, Central Province, 13.38 km from Muchinka"/>
    <n v="3"/>
  </r>
  <r>
    <n v="31"/>
    <x v="26"/>
    <d v="2026-02-04T07:27:23"/>
    <x v="3"/>
    <s v="BAHATI ATHUMANI MDOE"/>
    <s v="T153EBX: Harsh braking has been activated. At 04.02.2026 07:27:23 it moved with speed 57 km/h near 'Great North Road, Muchinga Province, Zambia, 8.67 km from Mwezo'."/>
    <s v="Great North Road, Zambia, Muchinga Province, 8.67 km from Mwezo"/>
    <n v="4"/>
  </r>
  <r>
    <n v="32"/>
    <x v="27"/>
    <d v="2026-02-04T06:16:25"/>
    <x v="3"/>
    <s v="BAKARI MOHAMEDI SAIDI"/>
    <s v="T263EBX: Harsh braking has been activated. At 04.02.2026 06:16:25 it moved with speed 62 km/h near 'Great North Road, Central Province, Zambia, 12.06 km from Muchinka'."/>
    <s v="Great North Road, Zambia, Central Province, 12.06 km from Muchinka"/>
    <n v="4"/>
  </r>
  <r>
    <n v="33"/>
    <x v="1"/>
    <d v="2026-02-04T07:49:55"/>
    <x v="3"/>
    <s v="ISAYA MSHUKURU MMBANDO"/>
    <s v="T271EBY: Harsh braking has been activated. At 04.02.2026 07:49:55 it moved with speed 52 km/h near 'T3, Copperbelt Province, Zambia, Ndola'."/>
    <s v="T3, Zambia, Copperbelt Province, Ndola"/>
    <n v="3"/>
  </r>
  <r>
    <n v="34"/>
    <x v="28"/>
    <d v="2026-02-04T09:17:10"/>
    <x v="3"/>
    <s v="HAMADI RASHID DOWILE"/>
    <s v="T392ECN: Harsh braking has been activated. At 04.02.2026 09:17:10 it moved with speed 56 km/h near 'T3, Copperbelt Province, Zambia, 30.60 km from Ndola'."/>
    <s v="T3, Zambia, Copperbelt Province, 30.60 km from Ndola"/>
    <n v="3"/>
  </r>
  <r>
    <n v="35"/>
    <x v="7"/>
    <d v="2026-02-04T06:19:55"/>
    <x v="3"/>
    <s v="RAMADHANI SHABANI WAGAMOYO"/>
    <s v="T482DYR: Harsh braking has been activated. At 04.02.2026 06:19:55 it moved with speed 63 km/h near 'Tanzania To Zambia Road, Iringa, Mufindi, Tanzania, Kinyanambo'."/>
    <s v="Tanzania To Zambia Road, Tanzania, Iringa, Mufindi, Kinyanambo"/>
    <n v="4"/>
  </r>
  <r>
    <n v="36"/>
    <x v="29"/>
    <d v="2026-02-04T18:36:45"/>
    <x v="3"/>
    <s v="EZEKIEL AIZACK KIHANZA"/>
    <s v="T734EBX: Harsh braking has been activated. At 04.02.2026 18:36:45 it moved with speed 53 km/h near 'Rn39, Kolwezi, Lualaba, Democratic Republic of the Congo'."/>
    <s v="Kolwezi, Rn39, Democratic Republic of the Congo, Lualaba"/>
    <n v="3"/>
  </r>
  <r>
    <n v="37"/>
    <x v="30"/>
    <d v="2026-02-04T08:42:17"/>
    <x v="3"/>
    <s v="GERALD RAPHAEL SALAMALA"/>
    <s v="T741EBX: Harsh braking has been activated. At 04.02.2026 08:42:17 it moved with speed 61 km/h near 'Rn39, Lualaba, Democratic Republic of the Congo, Kampulu'."/>
    <s v="Rn39, Democratic Republic of the Congo, Lualaba, Kampulu"/>
    <n v="3"/>
  </r>
  <r>
    <n v="38"/>
    <x v="31"/>
    <d v="2026-02-04T11:00:56"/>
    <x v="3"/>
    <s v="ATHUMANI SHABAN KAUNDU"/>
    <s v="T798EBW: Harsh braking has been activated. At 04.02.2026 11:00:56 it moved with speed 55 km/h near 'Great North Road, Central Province, Zambia, 13.64 km from Kanona'."/>
    <s v="Great North Road, Zambia, Central Province, 13.64 km from Kanona"/>
    <n v="3"/>
  </r>
  <r>
    <n v="39"/>
    <x v="32"/>
    <d v="2026-02-04T15:21:50"/>
    <x v="3"/>
    <s v="NIZAR HASHAM TIMBILI"/>
    <s v="T820DDS: Harsh braking has been activated. At 04.02.2026 15:21:50 it moved with speed 63 km/h near 'T1, Mbeya, Tanzania, 7.58 km from Msesule'."/>
    <s v="T1, Tanzania, Mbeya, 7.58 km from Msesule"/>
    <n v="3"/>
  </r>
  <r>
    <n v="40"/>
    <x v="33"/>
    <d v="2026-02-04T10:32:28"/>
    <x v="3"/>
    <s v="ABDUL HASSAN SADICK"/>
    <s v="T821EBW: Harsh braking has been activated. At 04.02.2026 10:32:28 it moved with speed 56 km/h near 'Great North Road, Muchinga Province, Zambia, 17.68 km from Isoka'."/>
    <s v="Great North Road, Zambia, Muchinga Province, 17.68 km from Isoka"/>
    <n v="3"/>
  </r>
  <r>
    <n v="41"/>
    <x v="22"/>
    <d v="2026-02-04T11:15:54"/>
    <x v="3"/>
    <s v="OMARY SAID MTAJI"/>
    <s v="T861EBY: Harsh braking has been activated. At 04.02.2026 11:15:54 it moved with speed 67 km/h near 'Iringa Road, Lundamatwe, Iringa, Tanzania'."/>
    <s v="Lundamatwe, Iringa Road, Tanzania, Iringa"/>
    <n v="3"/>
  </r>
  <r>
    <n v="42"/>
    <x v="34"/>
    <d v="2026-02-04T10:21:09"/>
    <x v="3"/>
    <s v="PATRICK MSONGWA MWANJIBILI"/>
    <s v="T875EBY: Harsh braking has been activated. At 04.02.2026 10:21:09 it moved with speed 56 km/h near 'Great North Road, Central Province, Zambia, 13.87 km from Serenje'."/>
    <s v="Great North Road, Zambia, Central Province, 13.87 km from Serenje"/>
    <n v="4"/>
  </r>
  <r>
    <n v="43"/>
    <x v="35"/>
    <d v="2026-02-04T09:08:03"/>
    <x v="3"/>
    <s v="ELIBAS EZEKIEL KITUNGWA"/>
    <s v="T907EBW: Harsh braking has been activated. At 04.02.2026 09:08:03 it moved with speed 51 km/h near 'T3, Ndola, Copperbelt Province, Zambia'."/>
    <s v="Ndola, T3, Zambia, Copperbelt Province"/>
    <n v="8"/>
  </r>
  <r>
    <n v="44"/>
    <x v="36"/>
    <d v="2026-02-04T09:55:29"/>
    <x v="3"/>
    <s v="GODFREY FRANK MBOJA"/>
    <s v="T915EBW: Harsh braking has been activated. At 04.02.2026 09:55:29 it moved with speed 52 km/h near 'Great North Road, Muchinga Province, Zambia, 7.15 km from Chilonga'."/>
    <s v="Great North Road, Zambia, Muchinga Province, 7.15 km from Chilonga"/>
    <n v="5"/>
  </r>
  <r>
    <n v="45"/>
    <x v="37"/>
    <d v="2026-02-04T17:48:20"/>
    <x v="3"/>
    <s v="CHRISTOPHER SAMWEL TITO "/>
    <s v="T967EBW: Harsh braking has been activated. At 04.02.2026 17:48:20 it moved with speed 69 km/h near 'Great North Road, Central Province, Zambia, 11.79 km from Bwale'."/>
    <s v="Great North Road, Zambia, Central Province, 11.79 km from Bwale"/>
    <n v="3"/>
  </r>
  <r>
    <n v="46"/>
    <x v="26"/>
    <d v="2026-02-05T09:29:12"/>
    <x v="4"/>
    <s v="BAHATI ATHUMANI MDOE"/>
    <s v="T153EBX: Harsh braking has been activated. At 05.02.2026 09:29:12 it moved with speed 60 km/h near 'Great North Road, Muchinga Province, Zambia, 5.69 km from Musata'."/>
    <s v="Great North Road, Zambia, Muchinga Province, 5.69 km from Musata"/>
    <n v="5"/>
  </r>
  <r>
    <n v="47"/>
    <x v="1"/>
    <d v="2026-02-05T07:57:56"/>
    <x v="4"/>
    <s v="ISAYA MSHUKURU MMBANDO"/>
    <s v="T271EBY: Harsh braking has been activated. At 05.02.2026 07:57:56 it moved with speed 61 km/h near 'Great North Road, Muchinga Province, Zambia, 4.44 km from Musata'."/>
    <s v="Great North Road, Zambia, Muchinga Province, 4.44 km from Musata"/>
    <n v="8"/>
  </r>
  <r>
    <n v="48"/>
    <x v="38"/>
    <d v="2026-02-05T11:42:54"/>
    <x v="4"/>
    <s v="IDD HUSSEIN KAZUBA"/>
    <s v="T312EBX: Harsh braking has been activated. At 05.02.2026 11:42:54 it moved with speed 53 km/h near 'Great North Road, Muchinga Province, Zambia, 3.17 km from Kalonje'."/>
    <s v="Great North Road, Zambia, Muchinga Province, 3.17 km from Kalonje"/>
    <n v="3"/>
  </r>
  <r>
    <n v="49"/>
    <x v="39"/>
    <d v="2026-02-05T08:26:33"/>
    <x v="4"/>
    <s v="OMARI SALIMU MOHAMEDI"/>
    <s v="T339EBX: Harsh braking has been activated. At 05.02.2026 08:26:33 it moved with speed 62 km/h near 'Rn39, Lualaba, Democratic Republic of the Congo, Zakeo'."/>
    <s v="Rn39, Democratic Republic of the Congo, Lualaba, Zakeo"/>
    <n v="3"/>
  </r>
  <r>
    <n v="50"/>
    <x v="40"/>
    <d v="2026-02-05T08:08:45"/>
    <x v="4"/>
    <s v="JUMANNE ALLY NJECHELE"/>
    <s v="T402ECN: Harsh braking has been activated. At 05.02.2026 08:08:45 it moved with speed 55 km/h near 'Rn39, Lualaba, Democratic Republic of the Congo, 1.24 km from Kampulu'."/>
    <s v="Rn39, Democratic Republic of the Congo, Lualaba, 1.24 km from Kampulu"/>
    <n v="3"/>
  </r>
  <r>
    <n v="51"/>
    <x v="41"/>
    <d v="2026-02-05T09:49:11"/>
    <x v="4"/>
    <s v="FADHILI SAIDI MTULILA"/>
    <s v="T417DHE: Harsh braking has been activated. At 05.02.2026 09:49:11 it moved with speed 60 km/h near 'Iringa Road, Morogoro, Kilosa, Tanzania, Igagala'."/>
    <s v="Iringa Road, Tanzania, Morogoro, Kilosa, Igagala"/>
    <n v="6"/>
  </r>
  <r>
    <n v="52"/>
    <x v="42"/>
    <d v="2026-02-05T07:47:33"/>
    <x v="4"/>
    <s v="OMARI ABEDI MOKA"/>
    <s v="T513EBY: Harsh braking has been activated. At 05.02.2026 07:47:33 it moved with speed 56 km/h near 'Great North Road, Muchinga Province, Zambia, Kaloswe'."/>
    <s v="Great North Road, Zambia, Muchinga Province, Kaloswe"/>
    <n v="3"/>
  </r>
  <r>
    <n v="53"/>
    <x v="43"/>
    <d v="2026-02-05T10:29:34"/>
    <x v="4"/>
    <s v="AHMED SAID LUWANDA"/>
    <s v="T703EBX: Harsh braking has been activated. At 05.02.2026 10:29:34 it moved with speed 53 km/h near 'Great North Road, Central Province, Zambia, 3.96 km from Godfrey Kunda'."/>
    <s v="Great North Road, Zambia, Central Province, 3.96 km from Godfrey Kunda"/>
    <n v="4"/>
  </r>
  <r>
    <n v="54"/>
    <x v="29"/>
    <d v="2026-02-05T08:11:34"/>
    <x v="4"/>
    <s v="EZEKIEL AIZACK KIHANZA"/>
    <s v="T734EBX: Harsh braking has been activated. At 05.02.2026 08:11:34 it moved with speed 57 km/h near 'Rn39, Lualaba, Democratic Republic of the Congo, Kabwe Dikuku (Sud)'."/>
    <s v="Rn39, Democratic Republic of the Congo, Lualaba, Kabwe Dikuku (Sud)"/>
    <n v="3"/>
  </r>
  <r>
    <n v="55"/>
    <x v="32"/>
    <d v="2026-02-05T08:57:41"/>
    <x v="4"/>
    <s v="NIZAR HASHAM TIMBILI"/>
    <s v="T820DDS: Harsh braking has been activated. At 05.02.2026 08:57:41 it moved with speed 52 km/h near 'Iringa Road, Iringa, Tanzania, 1.08 km from Ikokoto'."/>
    <s v="Iringa Road, Tanzania, Iringa, 1.08 km from Ikokoto"/>
    <n v="9"/>
  </r>
  <r>
    <n v="56"/>
    <x v="44"/>
    <d v="2026-02-05T08:47:07"/>
    <x v="4"/>
    <s v="ISSACK KONRADI KASIANO"/>
    <s v="T868EBW: Harsh braking has been activated. At 05.02.2026 08:47:07 it moved with speed 65 km/h near 'Great North Road, Muchinga Province, Zambia, 2.27 km from Chilonga'."/>
    <s v="Great North Road, Zambia, Muchinga Province, 2.27 km from Chilonga"/>
    <n v="5"/>
  </r>
  <r>
    <n v="57"/>
    <x v="45"/>
    <d v="2026-02-05T13:36:57"/>
    <x v="4"/>
    <s v="HAMISI RAMADHANI SULTAN"/>
    <s v="T878EBY: Harsh braking has been activated. At 05.02.2026 13:36:57 it moved with speed 67 km/h near 'Rn1, Haut-Katanga, Democratic Republic of the Congo, Kapolowe'."/>
    <s v="Rn1, Democratic Republic of the Congo, Haut-Katanga, Kapolowe"/>
    <n v="5"/>
  </r>
  <r>
    <n v="58"/>
    <x v="35"/>
    <d v="2026-02-05T11:40:17"/>
    <x v="4"/>
    <s v="ELIBAS EZEKIEL KITUNGWA"/>
    <s v="T907EBW: Harsh braking has been activated. At 05.02.2026 11:40:17 it moved with speed 53 km/h near 'Great North Road, Muchinga Province, Zambia, 20.24 km from Katibunga'."/>
    <s v="Great North Road, Zambia, Muchinga Province, 20.24 km from Katibunga"/>
    <n v="4"/>
  </r>
  <r>
    <n v="59"/>
    <x v="46"/>
    <d v="2026-02-05T15:08:10"/>
    <x v="4"/>
    <s v="YUNUS ABDILLAH SULEIMAN"/>
    <s v="T950EBW: Harsh braking has been activated. At 05.02.2026 15:08:10 it moved with speed 55 km/h near 'Great North Road, Muchinga Province, Zambia, 11.23 km from Amosi Pumba'."/>
    <s v="Great North Road, Zambia, Muchinga Province, 11.23 km from Amosi Pumba"/>
    <n v="3"/>
  </r>
  <r>
    <n v="60"/>
    <x v="47"/>
    <d v="2026-02-05T07:29:19"/>
    <x v="4"/>
    <s v="RAJABU ISSA OMARI"/>
    <s v="T975EBW: Harsh braking has been activated. At 05.02.2026 07:29:19 it moved with speed 55 km/h near 'Great North Road, Muchinga Province, Zambia, 7.37 km from Sebuloni'."/>
    <s v="Great North Road, Zambia, Muchinga Province, 7.37 km from Sebuloni"/>
    <n v="6"/>
  </r>
  <r>
    <n v="61"/>
    <x v="26"/>
    <d v="2026-02-06T10:42:47"/>
    <x v="5"/>
    <s v="BAHATI ATHUMANI MDOE"/>
    <s v="T153EBX: Harsh braking has been activated. At 06.02.2026 10:42:47 it moved with speed 53 km/h near 'Fisenge Bypass, Ndola, Copperbelt Province, Zambia'."/>
    <s v="Ndola, Fisenge Bypass, Zambia, Copperbelt Province"/>
    <n v="3"/>
  </r>
  <r>
    <n v="62"/>
    <x v="12"/>
    <d v="2026-02-06T08:28:30"/>
    <x v="5"/>
    <s v="JUMA KOBA SAID"/>
    <s v="T329ECN: Harsh braking has been activated. At 06.02.2026 08:28:30 it moved with speed 61 km/h near 'Iringa Road, Iringa, Tanzania, Matassi'."/>
    <s v="Iringa Road, Tanzania, Iringa, Matassi"/>
    <n v="4"/>
  </r>
  <r>
    <n v="63"/>
    <x v="48"/>
    <d v="2026-02-06T09:22:38"/>
    <x v="5"/>
    <s v="MANASE JOHSON YINDI"/>
    <s v="T748EBX: Harsh braking has been activated. At 06.02.2026 09:22:38 it moved with speed 53 km/h near 'Great North Road, Muchinga Province, Zambia, 6.90 km from Rumbuka'."/>
    <s v="Great North Road, Zambia, Muchinga Province, 6.90 km from Rumbuka"/>
    <n v="3"/>
  </r>
  <r>
    <n v="64"/>
    <x v="49"/>
    <d v="2026-02-06T17:08:28"/>
    <x v="5"/>
    <s v="ABUBAKAR JUMA YUSUPH"/>
    <s v="T772DYR: Harsh braking has been activated. At 06.02.2026 17:08:28 it moved with speed 52 km/h near 'Great North Road, Central Province, Zambia, 14.56 km from Kanona'."/>
    <s v="Great North Road, Zambia, Central Province, 14.56 km from Kanona"/>
    <n v="3"/>
  </r>
  <r>
    <n v="65"/>
    <x v="23"/>
    <d v="2026-02-06T08:37:22"/>
    <x v="5"/>
    <s v="ABDULHAFIDH RADMAN ALLY"/>
    <s v="T862EBY: Harsh braking has been activated. At 06.02.2026 08:37:22 it moved with speed 52 km/h near 'T1, Mbeya, Tanzania, 1.07 km from Makwenje'."/>
    <s v="T1, Tanzania, Mbeya, 1.07 km from Makwenje"/>
    <n v="3"/>
  </r>
  <r>
    <n v="66"/>
    <x v="50"/>
    <d v="2026-02-06T09:11:26"/>
    <x v="5"/>
    <s v="ATHONNY PAULO MDEDE"/>
    <s v="T873EBW: Harsh braking has been activated. At 06.02.2026 09:11:26 it moved with speed 52 km/h near 'Great North Road, Muchinga Province, Zambia, Chilonga'."/>
    <s v="Great North Road, Zambia, Muchinga Province, Chilonga"/>
    <n v="3"/>
  </r>
  <r>
    <n v="67"/>
    <x v="36"/>
    <d v="2026-02-06T09:22:16"/>
    <x v="5"/>
    <s v="GODFREY FRANK MBOJA"/>
    <s v="T915EBW: Harsh braking has been activated. At 06.02.2026 09:22:16 it moved with speed 61 km/h near 'M16, Copperbelt Province, Zambia, 1.87 km from Kalulushi'."/>
    <s v="M16, Zambia, Copperbelt Province, 1.87 km from Kalulushi"/>
    <n v="3"/>
  </r>
  <r>
    <n v="68"/>
    <x v="51"/>
    <d v="2026-02-07T07:31:06"/>
    <x v="6"/>
    <s v="MOHAMEDI IDDI KULWA"/>
    <s v="T269EBX: Harsh braking has been activated. At 07.02.2026 07:31:06 it moved with speed 63 km/h near 'Great North Road, Central Province, Zambia, 8.01 km from Tanemeka'."/>
    <s v="Great North Road, Zambia, Central Province, 8.01 km from Tanemeka"/>
    <n v="8"/>
  </r>
  <r>
    <n v="69"/>
    <x v="52"/>
    <d v="2026-02-07T15:44:23"/>
    <x v="6"/>
    <s v="RASUL ZUBERY KAONDO"/>
    <s v="T327EBX: Harsh braking has been activated. At 07.02.2026 15:44:23 it moved with speed 54 km/h near 'Great North Road, Muchinga Province, Zambia, 10.37 km from Godfrey Kunda'."/>
    <s v="Great North Road, Zambia, Muchinga Province, 10.37 km from Godfrey Kunda"/>
    <n v="3"/>
  </r>
  <r>
    <n v="70"/>
    <x v="53"/>
    <d v="2026-02-07T12:45:58"/>
    <x v="6"/>
    <s v="SAID ASUMAN MUHOGO"/>
    <s v="T438DHG: Harsh braking has been activated. At 07.02.2026 12:45:58 it moved with speed 82 km/h near 'Rn1, Haut-Katanga, Democratic Republic of the Congo, 9.55 km from Kikula'."/>
    <s v="Rn1, Democratic Republic of the Congo, Haut-Katanga, 9.55 km from Kikula"/>
    <n v="4"/>
  </r>
  <r>
    <n v="71"/>
    <x v="54"/>
    <d v="2026-02-07T13:15:23"/>
    <x v="6"/>
    <s v="NUHU MOHAMED NTILA"/>
    <s v="T496DYR: Harsh braking has been activated. At 07.02.2026 13:15:23 it moved with speed 62 km/h near 'Great North Road, Central Province, Zambia, 9.89 km from Kanona'."/>
    <s v="Great North Road, Zambia, Central Province, 9.89 km from Kanona"/>
    <n v="6"/>
  </r>
  <r>
    <n v="72"/>
    <x v="55"/>
    <d v="2026-02-07T10:46:09"/>
    <x v="6"/>
    <s v="MRISHO WAZIRI ALLY"/>
    <s v="T568DYR: Harsh braking has been activated. At 07.02.2026 10:46:09 it moved with speed 65 km/h near 'Rn1, Haut-Katanga, Democratic Republic of the Congo, 15.02 km from Tumbwe'."/>
    <s v="Rn1, Democratic Republic of the Congo, Haut-Katanga, 15.02 km from Tumbwe"/>
    <n v="12"/>
  </r>
  <r>
    <n v="73"/>
    <x v="56"/>
    <d v="2026-02-07T08:02:41"/>
    <x v="6"/>
    <s v="HAMUDU MAJID MARUZUKU"/>
    <s v="T583DYR: Harsh braking has been activated. At 07.02.2026 08:02:41 it moved with speed 58 km/h near 'Great North Road, Muchinga Province, Zambia, Kalonje'."/>
    <s v="Great North Road, Zambia, Muchinga Province, Kalonje"/>
    <n v="3"/>
  </r>
  <r>
    <n v="74"/>
    <x v="57"/>
    <d v="2026-02-07T11:16:15"/>
    <x v="6"/>
    <s v="ABDALLAH BAKARI ABDALLAH"/>
    <s v="T793EBW: Harsh braking has been activated. At 07.02.2026 11:16:15 it moved with speed 58 km/h near 'Rn1, Haut-Katanga, Democratic Republic of the Congo, 4.02 km from Lwisha'."/>
    <s v="Rn1, Democratic Republic of the Congo, Haut-Katanga, 4.02 km from Lwisha"/>
    <n v="4"/>
  </r>
  <r>
    <n v="75"/>
    <x v="58"/>
    <d v="2026-02-07T14:12:58"/>
    <x v="6"/>
    <s v="SELEIMANI MNGODO  SELEMAINI"/>
    <s v="T954DSX: Harsh braking has been activated. At 07.02.2026 14:12:58 it moved with speed 56 km/h near 'Rn39, Lualaba, Democratic Republic of the Congo, Lutanda'."/>
    <s v="Rn39, Democratic Republic of the Congo, Lualaba, Lutanda"/>
    <n v="3"/>
  </r>
  <r>
    <n v="76"/>
    <x v="59"/>
    <d v="2026-02-08T06:57:38"/>
    <x v="7"/>
    <n v="0"/>
    <s v="T315EBX: Harsh braking has been activated. At 08.02.2026 06:57:38 it moved with speed 51 km/h near 'Great North Road, Central Province, Zambia, 4.77 km from Godfrey Kunda'."/>
    <s v="Great North Road, Zambia, Central Province, 4.77 km from Godfrey Kunda"/>
    <n v="6"/>
  </r>
  <r>
    <n v="77"/>
    <x v="60"/>
    <d v="2026-02-08T07:31:59"/>
    <x v="7"/>
    <s v="AMIRI HAMISI MIKURU"/>
    <s v="T713DYR: Harsh braking has been activated. At 08.02.2026 07:31:59 it moved with speed 51 km/h near 'T1, Njombe, Tanzania, 6.54 km from Nyololo'."/>
    <s v="T1, Tanzania, Njombe, 6.54 km from Nyololo"/>
    <n v="4"/>
  </r>
  <r>
    <n v="78"/>
    <x v="61"/>
    <d v="2026-02-08T08:57:44"/>
    <x v="7"/>
    <s v="ZAKARIA RAJABU KINANA"/>
    <s v="T840EBY: Harsh braking has been activated. At 08.02.2026 08:57:44 it moved with speed 51 km/h near 'Great North Road, Central Province, Zambia, 5.23 km from Mkushi'."/>
    <s v="Great North Road, Zambia, Central Province, 5.23 km from Mkushi"/>
    <n v="4"/>
  </r>
  <r>
    <n v="79"/>
    <x v="62"/>
    <d v="2026-02-08T16:27:34"/>
    <x v="7"/>
    <s v="MUSSA JUMA MOHAMED"/>
    <s v="T842EBY: Harsh braking has been activated. At 08.02.2026 16:27:34 it moved with speed 54 km/h near 'T3, Ndola, Copperbelt Province, Zambia'."/>
    <s v="Ndola, T3, Zambia, Copperbelt Province"/>
    <n v="3"/>
  </r>
  <r>
    <n v="80"/>
    <x v="34"/>
    <d v="2026-02-08T06:25:52"/>
    <x v="7"/>
    <s v="PATRICK MSONGWA MWANJIBILI"/>
    <s v="T875EBY: Harsh braking has been activated. At 08.02.2026 06:25:52 it moved with speed 55 km/h near 'Iringa Road, Morogoro, Kilosa, Tanzania, Kidayi 'A''."/>
    <s v="Iringa Road, Tanzania, Morogoro, Kilosa, Kidayi 'A'"/>
    <n v="3"/>
  </r>
  <r>
    <n v="81"/>
    <x v="24"/>
    <d v="2026-02-08T09:58:46"/>
    <x v="7"/>
    <s v="ALLY RASHID SAID"/>
    <s v="T905EBW: Harsh braking has been activated. At 08.02.2026 09:58:46 it moved with speed 60 km/h near 'T1, Mbeya, Tanzania, 1.79 km from Mfumbi'."/>
    <s v="T1, Tanzania, Mbeya, 1.79 km from Mfumbi"/>
    <n v="3"/>
  </r>
  <r>
    <n v="82"/>
    <x v="35"/>
    <d v="2026-02-08T14:55:04"/>
    <x v="7"/>
    <s v="ELIBAS EZEKIEL KITUNGWA"/>
    <s v="T907EBW: Harsh braking has been activated. At 08.02.2026 14:55:04 it moved with speed 66 km/h near 'T1, Njombe, Tanzania, 6.32 km from Nyololo'."/>
    <s v="T1, Tanzania, Njombe, 6.32 km from Nyololo"/>
    <n v="4"/>
  </r>
  <r>
    <n v="83"/>
    <x v="63"/>
    <d v="2026-02-09T10:55:21"/>
    <x v="8"/>
    <s v="HASSAN ABDALLAH JUMA"/>
    <s v="T146EBX: Harsh braking has been activated. At 09.02.2026 10:55:21 it moved with speed 54 km/h near 'Great North Road, Central Province, Zambia, 3.98 km from Serenje'."/>
    <s v="Great North Road, Zambia, Central Province, 3.98 km from Serenje"/>
    <n v="6"/>
  </r>
  <r>
    <n v="84"/>
    <x v="64"/>
    <d v="2026-02-09T12:02:09"/>
    <x v="8"/>
    <s v="JOEL SAMSON MANDAGO"/>
    <s v="T235EBX: Harsh braking has been activated. At 09.02.2026 12:02:09 it moved with speed 55 km/h near 'Avenue Kawama, Katuba, Congo (Democratic Republic of the)'."/>
    <s v="Katuba, Avenue Kawama, Congo (Democratic Republic of the)"/>
    <n v="5"/>
  </r>
  <r>
    <n v="85"/>
    <x v="1"/>
    <d v="2026-02-09T06:14:16"/>
    <x v="8"/>
    <s v="ISAYA MSHUKURU MMBANDO"/>
    <s v="T271EBY: Harsh braking has been activated. At 09.02.2026 06:14:16 it moved with speed 56 km/h near 'T1, Njombe, Tanzania, 2.30 km from Idofi'."/>
    <s v="T1, Tanzania, Njombe, 2.30 km from Idofi"/>
    <n v="4"/>
  </r>
  <r>
    <n v="86"/>
    <x v="65"/>
    <d v="2026-02-09T11:28:33"/>
    <x v="8"/>
    <s v="HOSEA MRINGI MACHA "/>
    <s v="T497DYR: Harsh braking has been activated. At 09.02.2026 11:28:33 it moved with speed 54 km/h near 'Iringa Road, Morogoro, Kilosa, Tanzania, 13.14 km from Msimba'."/>
    <s v="Iringa Road, Tanzania, Morogoro, Kilosa, 13.14 km from Msimba"/>
    <n v="13"/>
  </r>
  <r>
    <n v="87"/>
    <x v="66"/>
    <d v="2026-02-09T10:29:45"/>
    <x v="8"/>
    <s v="SAID SALUM MOHAMED"/>
    <s v="T521EBY: Harsh braking has been activated. At 09.02.2026 10:29:45 it moved with speed 51 km/h near 'Great North Road, Muchinga Province, Zambia, 2.18 km from Kaole'."/>
    <s v="Great North Road, Zambia, Muchinga Province, 2.18 km from Kaole"/>
    <n v="3"/>
  </r>
  <r>
    <n v="88"/>
    <x v="67"/>
    <d v="2026-02-09T07:17:27"/>
    <x v="8"/>
    <s v="MISTWAHI AMRI SAID"/>
    <s v="T589DYR: Harsh braking has been activated. At 09.02.2026 07:17:27 it moved with speed 53 km/h near 'Rn1, Haut-Katanga, Democratic Republic of the Congo, 11.61 km from Chamba'."/>
    <s v="Rn1, Democratic Republic of the Congo, Haut-Katanga, 11.61 km from Chamba"/>
    <n v="3"/>
  </r>
  <r>
    <n v="89"/>
    <x v="62"/>
    <d v="2026-02-09T15:23:42"/>
    <x v="8"/>
    <s v="MUSSA JUMA MOHAMED"/>
    <s v="T842EBY: Harsh braking has been activated. At 09.02.2026 15:23:42 it moved with speed 58 km/h near 'Great North Road, Muchinga Province, Zambia, 3.88 km from Kaloswe'."/>
    <s v="Great North Road, Zambia, Muchinga Province, 3.88 km from Kaloswe"/>
    <n v="3"/>
  </r>
  <r>
    <n v="90"/>
    <x v="22"/>
    <d v="2026-02-09T08:09:30"/>
    <x v="8"/>
    <s v="OMARY SAID MTAJI"/>
    <s v="T861EBY: Harsh braking has been activated. At 09.02.2026 08:09:30 it moved with speed 51 km/h near 'Great North Road, Central Province, Zambia, 11.84 km from Bwale'."/>
    <s v="Great North Road, Zambia, Central Province, 11.84 km from Bwale"/>
    <n v="3"/>
  </r>
  <r>
    <n v="91"/>
    <x v="68"/>
    <d v="2026-02-09T13:51:30"/>
    <x v="8"/>
    <s v="YAHAYA MWINCHUMU ZUBERI"/>
    <s v="T899EBW: Harsh braking has been activated. At 09.02.2026 13:51:30 it moved with speed 60 km/h near 'Great North Road, Muchinga Province, Zambia, 3.50 km from Isoka'."/>
    <s v="Great North Road, Zambia, Muchinga Province, 3.50 km from Isoka"/>
    <n v="3"/>
  </r>
  <r>
    <n v="92"/>
    <x v="35"/>
    <d v="2026-02-09T10:36:37"/>
    <x v="8"/>
    <s v="ELIBAS EZEKIEL KITUNGWA"/>
    <s v="T907EBW: Harsh braking has been activated. At 09.02.2026 10:36:37 it moved with speed 54 km/h near 'Iringa Road, Morogoro, Kilosa, Tanzania, 11.87 km from Msimba'."/>
    <s v="Iringa Road, Tanzania, Morogoro, Kilosa, 11.87 km from Msimba"/>
    <n v="9"/>
  </r>
  <r>
    <n v="93"/>
    <x v="69"/>
    <d v="2026-02-09T12:35:21"/>
    <x v="8"/>
    <s v="OMARI ATHUMANI SELEMANI"/>
    <s v="T930EBW: Harsh braking has been activated. At 09.02.2026 12:35:21 it moved with speed 55 km/h near 'Great North Road, Central Province, Zambia, 10.50 km from Tanemeka'."/>
    <s v="Great North Road, Zambia, Central Province, 10.50 km from Tanemeka"/>
    <n v="8"/>
  </r>
  <r>
    <n v="94"/>
    <x v="70"/>
    <d v="2026-02-09T10:07:48"/>
    <x v="8"/>
    <s v="SHABANI HARUNA SEMENTA"/>
    <s v="T955EBW: Harsh braking has been activated. At 09.02.2026 10:07:48 it moved with speed 68 km/h near 'Iringa Road, Iringa, Tanzania, Matassi'."/>
    <s v="Iringa Road, Tanzania, Iringa, Matassi"/>
    <n v="5"/>
  </r>
  <r>
    <n v="95"/>
    <x v="71"/>
    <d v="2026-02-10T10:02:50"/>
    <x v="9"/>
    <s v="MANENO MOHAMED KAKIMA"/>
    <s v="T379ECN: Harsh braking has been activated. At 10.02.2026 10:02:50 it moved with speed 52 km/h near 'Iringa Road, Morogoro, Kilosa, Tanzania, 12.29 km from Msimba'."/>
    <s v="Iringa Road, Tanzania, Morogoro, Kilosa, 12.29 km from Msimba"/>
    <n v="5"/>
  </r>
  <r>
    <n v="96"/>
    <x v="72"/>
    <d v="2026-02-10T12:12:44"/>
    <x v="9"/>
    <s v="MANDELA WILSON MANYILIZU"/>
    <s v="T591DTQ: Harsh braking has been activated. At 10.02.2026 12:12:44 it moved with speed 64 km/h near 'T1, Morogoro, Tanzania, 4.00 km from Fulwe'."/>
    <s v="T1, Tanzania, Morogoro, 4.00 km from Fulwe"/>
    <n v="6"/>
  </r>
  <r>
    <n v="97"/>
    <x v="16"/>
    <d v="2026-02-10T19:07:46"/>
    <x v="9"/>
    <s v="ELIA JUMA NZOWA"/>
    <s v="T728DYR: Harsh braking has been activated. At 10.02.2026 19:07:46 it moved with speed 61 km/h near 'Iringa Road, Morogoro, Kilosa, Tanzania, 13.94 km from Igagala'."/>
    <s v="Iringa Road, Tanzania, Morogoro, Kilosa, 13.94 km from Igagala"/>
    <n v="3"/>
  </r>
  <r>
    <n v="98"/>
    <x v="73"/>
    <d v="2026-02-10T10:46:07"/>
    <x v="9"/>
    <s v="YUSUPH ZIAGA SANGA"/>
    <s v="T817EBW: Harsh braking has been activated. At 10.02.2026 10:46:07 it moved with speed 72 km/h near 'Rn39, Lualaba, Democratic Republic of the Congo, 1.27 km from Kampulu'."/>
    <s v="Rn39, Democratic Republic of the Congo, Lualaba, 1.27 km from Kampulu"/>
    <n v="10"/>
  </r>
  <r>
    <n v="99"/>
    <x v="22"/>
    <d v="2026-02-10T07:29:21"/>
    <x v="9"/>
    <s v="OMARY SAID MTAJI"/>
    <s v="T861EBY: Harsh braking has been activated. At 10.02.2026 07:29:21 it moved with speed 61 km/h near 'T3, Copperbelt Province, Zambia, 7.71 km from Tonde'."/>
    <s v="T3, Zambia, Copperbelt Province, 7.71 km from Tonde"/>
    <n v="3"/>
  </r>
  <r>
    <n v="100"/>
    <x v="44"/>
    <d v="2026-02-10T06:49:05"/>
    <x v="9"/>
    <s v="ISSACK KONRADI KASIANO"/>
    <s v="T868EBW: Harsh braking has been activated. At 10.02.2026 06:49:05 it moved with speed 63 km/h near 'Iringa Road, Lundamatwe, Iringa, Tanzania'."/>
    <s v="Lundamatwe, Iringa Road, Tanzania, Iringa"/>
    <n v="3"/>
  </r>
  <r>
    <n v="101"/>
    <x v="74"/>
    <d v="2026-02-10T07:24:57"/>
    <x v="9"/>
    <s v="MADENGE SALUM SHOMARI"/>
    <s v="T892EBW: Harsh braking has been activated. At 10.02.2026 07:24:57 it moved with speed 57 km/h near 'Great North Road, Muchinga Province, Zambia, 2.33 km from Kalonje'."/>
    <s v="Great North Road, Zambia, Muchinga Province, 2.33 km from Kalonje"/>
    <n v="5"/>
  </r>
  <r>
    <n v="102"/>
    <x v="18"/>
    <d v="2026-02-11T13:20:07"/>
    <x v="10"/>
    <s v="GODFREY JOHN ANTHONY KUNDI"/>
    <s v="T107EBX: Harsh braking has been activated. At 11.02.2026 13:20:07 it moved with speed 52 km/h near 'Rn1, Haut-Katanga, Democratic Republic of the Congo, 45.40 km from Lubumbashi'."/>
    <s v="Rn1, Democratic Republic of the Congo, Haut-Katanga, 45.40 km from Lubumbashi"/>
    <n v="7"/>
  </r>
  <r>
    <n v="103"/>
    <x v="26"/>
    <d v="2026-02-11T13:50:28"/>
    <x v="10"/>
    <s v="BAHATI ATHUMANI MDOE"/>
    <s v="T153EBX: Harsh braking has been activated. At 11.02.2026 13:50:28 it moved with speed 60 km/h near 'Rn1, Haut-Katanga, Democratic Republic of the Congo, 23.23 km from Tumbwe'."/>
    <s v="Rn1, Democratic Republic of the Congo, Haut-Katanga, 23.23 km from Tumbwe"/>
    <n v="4"/>
  </r>
  <r>
    <n v="104"/>
    <x v="75"/>
    <d v="2026-02-11T14:12:32"/>
    <x v="10"/>
    <s v="MOHAMEDI MOSHI NYANZA"/>
    <s v="T318EBX: Harsh braking has been activated. At 11.02.2026 14:12:32 it moved with speed 53 km/h near 'Rn1, Haut-Katanga, Democratic Republic of the Congo, 6.81 km from Lwisha'."/>
    <s v="Rn1, Democratic Republic of the Congo, Haut-Katanga, 6.81 km from Lwisha"/>
    <n v="3"/>
  </r>
  <r>
    <n v="105"/>
    <x v="76"/>
    <d v="2026-02-11T07:59:08"/>
    <x v="10"/>
    <s v="JEREMIAHY SIMONE MWALUKO"/>
    <s v="T378ECN: Harsh braking has been activated. At 11.02.2026 07:59:08 it moved with speed 58 km/h near 'Rn39, Lualaba, Democratic Republic of the Congo, Kamipungu'."/>
    <s v="Rn39, Democratic Republic of the Congo, Lualaba, Kamipungu"/>
    <n v="3"/>
  </r>
  <r>
    <n v="106"/>
    <x v="40"/>
    <d v="2026-02-11T12:12:25"/>
    <x v="10"/>
    <s v="JUMANNE ALLY NJECHELE"/>
    <s v="T402ECN: Harsh braking has been activated. At 11.02.2026 12:12:25 it moved with speed 51 km/h near 'Great North Road, Central Province, Zambia, 9.71 km from Chifwefwe B'."/>
    <s v="Great North Road, Zambia, Central Province, 9.71 km from Chifwefwe B"/>
    <n v="3"/>
  </r>
  <r>
    <n v="107"/>
    <x v="77"/>
    <d v="2026-02-11T07:45:02"/>
    <x v="10"/>
    <s v="LAMECK CHARLES ROMAN"/>
    <s v="T492DYR: Harsh braking has been activated. At 11.02.2026 07:45:02 it moved with speed 69 km/h near 'Iringa Road, Morogoro, Kilosa, Tanzania, 4.61 km from Igagala'."/>
    <s v="Iringa Road, Tanzania, Morogoro, Kilosa, 4.61 km from Igagala"/>
    <n v="5"/>
  </r>
  <r>
    <n v="108"/>
    <x v="78"/>
    <d v="2026-02-11T11:36:41"/>
    <x v="10"/>
    <s v="GASPER ELICHILIA KINYAHA"/>
    <s v="T528EBY: Harsh braking has been activated. At 11.02.2026 11:36:41 it moved with speed 60 km/h near 'Rn1, Haut-Katanga, Democratic Republic of the Congo, 7.90 km from Lwafu'."/>
    <s v="Rn1, Democratic Republic of the Congo, Haut-Katanga, 7.90 km from Lwafu"/>
    <n v="3"/>
  </r>
  <r>
    <n v="109"/>
    <x v="21"/>
    <d v="2026-02-11T09:04:22"/>
    <x v="10"/>
    <s v="ISMAIL KISANDU RUBASHA"/>
    <s v="T572DYR: Harsh braking has been activated. At 11.02.2026 09:04:22 it moved with speed 59 km/h near 'T1, Pwani, Bagamoyo, Tanzania, 7.06 km from Vigwaza'."/>
    <s v="T1, Tanzania, Pwani, Bagamoyo, 7.06 km from Vigwaza"/>
    <n v="4"/>
  </r>
  <r>
    <n v="110"/>
    <x v="72"/>
    <d v="2026-02-11T09:12:45"/>
    <x v="10"/>
    <s v="MANDELA WILSON MANYILIZU"/>
    <s v="T591DTQ: Harsh braking has been activated. At 11.02.2026 09:12:45 it moved with speed 52 km/h near 'Iringa Road, Lundamatwe, Iringa, Tanzania'."/>
    <s v="Lundamatwe, Iringa Road, Tanzania, Iringa"/>
    <n v="3"/>
  </r>
  <r>
    <n v="111"/>
    <x v="29"/>
    <d v="2026-02-11T10:41:39"/>
    <x v="10"/>
    <s v="EZEKIEL AIZACK KIHANZA"/>
    <s v="T734EBX: Harsh braking has been activated. At 11.02.2026 10:41:39 it moved with speed 51 km/h near 'Great North Road, Central Province, Zambia, 4.14 km from Manjolo'."/>
    <s v="Great North Road, Zambia, Central Province, 4.14 km from Manjolo"/>
    <n v="7"/>
  </r>
  <r>
    <n v="112"/>
    <x v="30"/>
    <d v="2026-02-11T10:49:44"/>
    <x v="10"/>
    <s v="GERALD RAPHAEL SALAMALA"/>
    <s v="T741EBX: Harsh braking has been activated. At 11.02.2026 10:49:44 it moved with speed 59 km/h near 'T3, Copperbelt Province, Zambia, 16.28 km from Pukota'."/>
    <s v="T3, Zambia, Copperbelt Province, 16.28 km from Pukota"/>
    <n v="6"/>
  </r>
  <r>
    <n v="113"/>
    <x v="79"/>
    <d v="2026-02-11T09:29:18"/>
    <x v="10"/>
    <s v="SUNDAY EDWIN SOKA"/>
    <s v="T755EBX: Harsh braking has been activated. At 11.02.2026 09:29:18 it moved with speed 61 km/h near 'Rn1, Haut-Katanga, Democratic Republic of the Congo, Mulungwishi'."/>
    <s v="Rn1, Democratic Republic of the Congo, Haut-Katanga, Mulungwishi"/>
    <n v="5"/>
  </r>
  <r>
    <n v="114"/>
    <x v="49"/>
    <d v="2026-02-11T09:03:16"/>
    <x v="10"/>
    <s v="ABUBAKAR JUMA YUSUPH"/>
    <s v="T772DYR: Harsh braking has been activated. At 11.02.2026 09:03:16 it moved with speed 52 km/h near 'Iringa Road, Morogoro, Kilosa, Tanzania, 13.90 km from Igagala'."/>
    <s v="Iringa Road, Tanzania, Morogoro, Kilosa, 13.90 km from Igagala"/>
    <n v="4"/>
  </r>
  <r>
    <n v="115"/>
    <x v="80"/>
    <d v="2026-02-11T09:36:47"/>
    <x v="10"/>
    <s v="JAPHARY NASSORO JAPHARY"/>
    <s v="T803EBW: Harsh braking has been activated. At 11.02.2026 09:36:47 it moved with speed 57 km/h near 'Great North Road, Central Province, Zambia, 1.87 km from Mkushi River'."/>
    <s v="Great North Road, Zambia, Central Province, 1.87 km from Mkushi River"/>
    <n v="3"/>
  </r>
  <r>
    <n v="116"/>
    <x v="73"/>
    <d v="2026-02-11T08:10:43"/>
    <x v="10"/>
    <s v="YUSUPH ZIAGA SANGA"/>
    <s v="T817EBW: Harsh braking has been activated. At 11.02.2026 08:10:43 it moved with speed 62 km/h near 'Rn1, Haut-Katanga, Democratic Republic of the Congo, Mbalaka'."/>
    <s v="Rn1, Democratic Republic of the Congo, Haut-Katanga, Mbalaka"/>
    <n v="21"/>
  </r>
  <r>
    <n v="117"/>
    <x v="81"/>
    <d v="2026-02-11T08:15:50"/>
    <x v="10"/>
    <s v="ATANASI PETRO MAGOHE"/>
    <s v="T871EBY: Harsh braking has been activated. At 11.02.2026 08:15:50 it moved with speed 59 km/h near 'Rn39, Lualaba, Democratic Republic of the Congo, 1.38 km from Fungurume'."/>
    <s v="Rn39, Democratic Republic of the Congo, Lualaba, 1.38 km from Fungurume"/>
    <n v="3"/>
  </r>
  <r>
    <n v="118"/>
    <x v="25"/>
    <d v="2026-02-11T13:45:00"/>
    <x v="10"/>
    <s v="SALIMU SAIDI KIANDIKO"/>
    <s v="T914EBW: Harsh braking has been activated. At 11.02.2026 13:45:00 it moved with speed 55 km/h near 'Rn1, Haut-Katanga, Democratic Republic of the Congo, 16.03 km from Lwisha'."/>
    <s v="Rn1, Democratic Republic of the Congo, Haut-Katanga, 16.03 km from Lwisha"/>
    <n v="3"/>
  </r>
  <r>
    <n v="119"/>
    <x v="82"/>
    <d v="2026-02-12T09:12:14"/>
    <x v="11"/>
    <s v="DAVID CHRISTOPHER KESSY"/>
    <s v="T261EBX: Harsh braking has been activated. At 12.02.2026 09:12:14 it moved with speed 53 km/h near 'Great North Road, Central Province, Zambia, 8.21 km from Serenje'."/>
    <s v="Great North Road, Zambia, Central Province, 8.21 km from Serenje"/>
    <n v="5"/>
  </r>
  <r>
    <n v="120"/>
    <x v="83"/>
    <d v="2026-02-12T07:51:43"/>
    <x v="11"/>
    <s v="RAMADHANI NASSORO KILUA"/>
    <s v="T318EBY: Harsh braking has been activated. At 12.02.2026 07:51:43 it moved with speed 58 km/h near 'Great North Road, Central Province, Zambia, 7.93 km from Godfrey Kunda'."/>
    <s v="Great North Road, Zambia, Central Province, 7.93 km from Godfrey Kunda"/>
    <n v="3"/>
  </r>
  <r>
    <n v="121"/>
    <x v="40"/>
    <d v="2026-02-12T07:08:05"/>
    <x v="11"/>
    <s v="JUMANNE ALLY NJECHELE"/>
    <s v="T402ECN: Harsh braking has been activated. At 12.02.2026 07:08:05 it moved with speed 56 km/h near 'Great North Road, Muchinga Province, Zambia, 2.11 km from Godfrey Kunda'."/>
    <s v="Great North Road, Zambia, Muchinga Province, 2.11 km from Godfrey Kunda"/>
    <n v="9"/>
  </r>
  <r>
    <n v="122"/>
    <x v="5"/>
    <d v="2026-02-12T06:34:17"/>
    <x v="11"/>
    <s v="RAJABU MOHAMED MATUA"/>
    <s v="T407DHE: Harsh braking has been activated. At 12.02.2026 06:34:17 it moved with speed 54 km/h near 'Iringa Road, Morogoro, Tanzania, 1.26 km from Melela Mlandizi'."/>
    <s v="Iringa Road, Tanzania, Morogoro, 1.26 km from Melela Mlandizi"/>
    <n v="6"/>
  </r>
  <r>
    <n v="123"/>
    <x v="84"/>
    <d v="2026-02-12T08:38:46"/>
    <x v="11"/>
    <s v="MFAUME SALUM LWAUPA"/>
    <s v="T526EBY: Harsh braking has been activated. At 12.02.2026 08:38:46 it moved with speed 52 km/h near 'Great North Road, Muchinga Province, Zambia, 3.91 km from Kaloswe'."/>
    <s v="Great North Road, Zambia, Muchinga Province, 3.91 km from Kaloswe"/>
    <n v="3"/>
  </r>
  <r>
    <n v="124"/>
    <x v="85"/>
    <d v="2026-02-12T08:45:50"/>
    <x v="11"/>
    <s v="ABUBAKARY OMARY KABAKA"/>
    <s v="T677EBX: Harsh braking has been activated. At 12.02.2026 08:45:50 it moved with speed 53 km/h near 'Great North Road, Muchinga Province, Zambia, 9.41 km from Chinkumba'."/>
    <s v="Great North Road, Zambia, Muchinga Province, 9.41 km from Chinkumba"/>
    <n v="4"/>
  </r>
  <r>
    <n v="125"/>
    <x v="86"/>
    <d v="2026-02-12T07:36:34"/>
    <x v="11"/>
    <s v="EZEKIEL MASANJA LUGANDU"/>
    <s v="T725EBX: Harsh braking has been activated. At 12.02.2026 07:36:34 it moved with speed 58 km/h near 'Great North Road, Muchinga Province, Zambia, 7.88 km from Chinunda'."/>
    <s v="Great North Road, Zambia, Muchinga Province, 7.88 km from Chinunda"/>
    <n v="3"/>
  </r>
  <r>
    <n v="126"/>
    <x v="30"/>
    <d v="2026-02-12T08:38:37"/>
    <x v="11"/>
    <s v="GERALD RAPHAEL SALAMALA"/>
    <s v="T741EBX: Harsh braking has been activated. At 12.02.2026 08:38:37 it moved with speed 53 km/h near 'Great North Road, Muchinga Province, Zambia, 3.89 km from Kaloswe'."/>
    <s v="Great North Road, Zambia, Muchinga Province, 3.89 km from Kaloswe"/>
    <n v="4"/>
  </r>
  <r>
    <n v="127"/>
    <x v="87"/>
    <d v="2026-02-12T09:08:25"/>
    <x v="11"/>
    <s v="JABU RASHIDI ISSA"/>
    <s v="T754DEB: Harsh braking has been activated. At 12.02.2026 09:08:25 it moved with speed 56 km/h near 'M4, Copperbelt Province, Zambia, 4.97 km from Mufulira'."/>
    <s v="M4, Zambia, Copperbelt Province, 4.97 km from Mufulira"/>
    <n v="5"/>
  </r>
  <r>
    <n v="128"/>
    <x v="79"/>
    <d v="2026-02-12T12:34:16"/>
    <x v="11"/>
    <s v="SUNDAY EDWIN SOKA"/>
    <s v="T755EBX: Harsh braking has been activated. At 12.02.2026 12:34:16 it moved with speed 70 km/h near 'Rn1, Haut-Katanga, Democratic Republic of the Congo, 11.54 km from Chamba'."/>
    <s v="Rn1, Democratic Republic of the Congo, Haut-Katanga, 11.54 km from Chamba"/>
    <n v="9"/>
  </r>
  <r>
    <n v="129"/>
    <x v="73"/>
    <d v="2026-02-12T16:30:18"/>
    <x v="11"/>
    <s v="YUSUPH ZIAGA SANGA"/>
    <s v="T817EBW: Harsh braking has been activated. At 12.02.2026 16:30:18 it moved with speed 58 km/h near 'Rn1, Haut-Katanga, Democratic Republic of the Congo, 6.78 km from Kasumbalesa'."/>
    <s v="Rn1, Democratic Republic of the Congo, Haut-Katanga, 6.78 km from Kasumbalesa"/>
    <n v="12"/>
  </r>
  <r>
    <n v="130"/>
    <x v="88"/>
    <d v="2026-02-12T11:28:12"/>
    <x v="11"/>
    <s v="STEPHANO ABINELI ULOMI"/>
    <s v="T873EBY: Harsh braking has been activated. At 12.02.2026 11:28:12 it moved with speed 56 km/h near 'T3, Copperbelt Province, Zambia, 14.25 km from Pukota'."/>
    <s v="T3, Zambia, Copperbelt Province, 14.25 km from Pukota"/>
    <n v="3"/>
  </r>
  <r>
    <n v="131"/>
    <x v="89"/>
    <d v="2026-02-12T14:08:10"/>
    <x v="11"/>
    <s v="RAMADHAN RAHIBU SULEIMAN"/>
    <s v="T904EBW: Harsh braking has been activated. At 12.02.2026 14:08:10 it moved with speed 54 km/h near 'Route De Kanianina, Haut-Katanga, Democratic Republic of the Congo, 2.45 km from Kakila'."/>
    <s v="Route De Kanianina, Democratic Republic of the Congo, Haut-Katanga, 2.45 km from Kakila"/>
    <n v="3"/>
  </r>
  <r>
    <n v="132"/>
    <x v="90"/>
    <d v="2026-02-13T14:18:47"/>
    <x v="12"/>
    <s v="NASSIBU MSENGESI MLASA"/>
    <s v="T102EBX: Harsh braking has been activated. At 13.02.2026 14:18:47 it moved with speed 51 km/h near 'Great North Road, Central Province, Zambia, 6.64 km from Godfrey Kunda'."/>
    <s v="Great North Road, Zambia, Central Province, 6.64 km from Godfrey Kunda"/>
    <n v="3"/>
  </r>
  <r>
    <n v="133"/>
    <x v="91"/>
    <d v="2026-02-13T09:53:46"/>
    <x v="12"/>
    <s v="ABDUL SWEDI URASA"/>
    <s v="T147EBX: Harsh braking has been activated. At 13.02.2026 09:53:46 it moved with speed 52 km/h near 'Great North Road, Muchinga Province, Zambia, 2.41 km from Mpumba'."/>
    <s v="Great North Road, Zambia, Muchinga Province, 2.41 km from Mpumba"/>
    <n v="3"/>
  </r>
  <r>
    <n v="134"/>
    <x v="92"/>
    <d v="2026-02-13T10:41:11"/>
    <x v="12"/>
    <s v="RICHARD ALOYCE MAKYAO"/>
    <s v="T178EBX: Harsh braking has been activated. At 13.02.2026 10:41:11 it moved with speed 56 km/h near 'Great North Road, Muchinga Province, Zambia, 3.92 km from Kaloswe'."/>
    <s v="Great North Road, Zambia, Muchinga Province, 3.92 km from Kaloswe"/>
    <n v="3"/>
  </r>
  <r>
    <n v="135"/>
    <x v="20"/>
    <d v="2026-02-13T09:10:34"/>
    <x v="12"/>
    <s v="ELIAH YUSUPH MPANGO"/>
    <s v="T232EBX: Harsh braking has been activated. At 13.02.2026 09:10:34 it moved with speed 60 km/h near 'Great North Road, Muchinga Province, Zambia, 19.54 km from Katibunga'."/>
    <s v="Great North Road, Zambia, Muchinga Province, 19.54 km from Katibunga"/>
    <n v="7"/>
  </r>
  <r>
    <n v="136"/>
    <x v="51"/>
    <d v="2026-02-13T13:17:19"/>
    <x v="12"/>
    <s v="MOHAMEDI IDDI KULWA"/>
    <s v="T269EBX: Harsh braking has been activated. At 13.02.2026 13:17:19 it moved with speed 56 km/h near 'Iringa Road, Lundamatwe, Iringa, Tanzania'."/>
    <s v="Lundamatwe, Iringa Road, Tanzania, Iringa"/>
    <n v="5"/>
  </r>
  <r>
    <n v="137"/>
    <x v="93"/>
    <d v="2026-02-13T16:16:45"/>
    <x v="12"/>
    <s v="SALUM ALLY MAYANGA"/>
    <s v="T308EBX: Harsh braking has been activated. At 13.02.2026 16:16:45 it moved with speed 56 km/h near 'Great North Road, Central Province, Zambia, 6.58 km from Kanona'."/>
    <s v="Great North Road, Zambia, Central Province, 6.58 km from Kanona"/>
    <n v="7"/>
  </r>
  <r>
    <n v="138"/>
    <x v="94"/>
    <d v="2026-02-13T09:28:41"/>
    <x v="12"/>
    <s v="DAUD JOSEPH GINATIO"/>
    <s v="T386ECN: Harsh braking has been activated. At 13.02.2026 09:28:41 it moved with speed 66 km/h near 'Great North Road, Central Province, Zambia, 9.97 km from Mkushi'."/>
    <s v="Great North Road, Zambia, Central Province, 9.97 km from Mkushi"/>
    <n v="3"/>
  </r>
  <r>
    <n v="139"/>
    <x v="95"/>
    <d v="2026-02-13T08:11:41"/>
    <x v="12"/>
    <s v="OMARY IDDY MACHUPPA"/>
    <s v="T390ECN: Harsh braking has been activated. At 13.02.2026 08:11:41 it moved with speed 60 km/h near 'Great North Road, Muchinga Province, Zambia, 1.14 km from Mkasi'."/>
    <s v="Great North Road, Zambia, Muchinga Province, 1.14 km from Mkasi"/>
    <n v="3"/>
  </r>
  <r>
    <n v="140"/>
    <x v="96"/>
    <d v="2026-02-13T12:34:24"/>
    <x v="12"/>
    <s v="PASTOR GASPER MCHAU"/>
    <s v="T590DTQ: Harsh braking has been activated. At 13.02.2026 12:34:24 it moved with speed 56 km/h near 'Great North Road, Muchinga Province, Zambia, 12.71 km from Mwezo'."/>
    <s v="Great North Road, Zambia, Muchinga Province, 12.71 km from Mwezo"/>
    <n v="4"/>
  </r>
  <r>
    <n v="141"/>
    <x v="97"/>
    <d v="2026-02-13T10:47:43"/>
    <x v="12"/>
    <s v="HARFANI MANENO MGAWE"/>
    <s v="T680EBX: Harsh braking has been activated. At 13.02.2026 10:47:43 it moved with speed 55 km/h near 'Great North Road, Central Province, Zambia, 3.73 km from Ndabala'."/>
    <s v="Great North Road, Zambia, Central Province, 3.73 km from Ndabala"/>
    <n v="4"/>
  </r>
  <r>
    <n v="142"/>
    <x v="98"/>
    <d v="2026-02-13T07:59:42"/>
    <x v="12"/>
    <s v="MUMBA YASSINI KHAMISI"/>
    <s v="T710EBX: Harsh braking has been activated. At 13.02.2026 07:59:42 it moved with speed 51 km/h near 'Great North Road, Central Province, Zambia, 14.57 km from Kanona'."/>
    <s v="Great North Road, Zambia, Central Province, 14.57 km from Kanona"/>
    <n v="3"/>
  </r>
  <r>
    <n v="143"/>
    <x v="87"/>
    <d v="2026-02-13T11:45:13"/>
    <x v="12"/>
    <s v="JABU RASHIDI ISSA"/>
    <s v="T754DEB: Harsh braking has been activated. At 13.02.2026 11:45:13 it moved with speed 51 km/h near 'Great North Road, Central Province, Zambia, 5.87 km from Serenje'."/>
    <s v="Great North Road, Zambia, Central Province, 5.87 km from Serenje"/>
    <n v="4"/>
  </r>
  <r>
    <n v="144"/>
    <x v="99"/>
    <d v="2026-02-13T10:54:01"/>
    <x v="12"/>
    <n v="0"/>
    <s v="T770DYR: Harsh braking has been activated. At 13.02.2026 10:54:01 it moved with speed 52 km/h near 'Great North Road, Central Province, Zambia, 10.64 km from Muchinka'."/>
    <s v="Great North Road, Zambia, Central Province, 10.64 km from Muchinka"/>
    <n v="3"/>
  </r>
  <r>
    <n v="145"/>
    <x v="100"/>
    <d v="2026-02-13T16:30:27"/>
    <x v="12"/>
    <s v="REVOCATUS LAUREAN ANATORY"/>
    <s v="T839EBY: Harsh braking has been activated. At 13.02.2026 16:30:27 it moved with speed 55 km/h near 'Great North Road, Muchinga Province, Zambia, 4.34 km from Musata'."/>
    <s v="Great North Road, Zambia, Muchinga Province, 4.34 km from Musata"/>
    <n v="5"/>
  </r>
  <r>
    <n v="146"/>
    <x v="101"/>
    <d v="2026-02-13T08:21:08"/>
    <x v="12"/>
    <s v="HAMISI SELEMAN ZITTO"/>
    <s v="T849EBY: Harsh braking has been activated. At 13.02.2026 08:21:08 it moved with speed 58 km/h near 'Great North Road, Muchinga Province, Zambia, Mkasi'."/>
    <s v="Great North Road, Zambia, Muchinga Province, Mkasi"/>
    <n v="3"/>
  </r>
  <r>
    <n v="147"/>
    <x v="102"/>
    <d v="2026-02-13T11:57:37"/>
    <x v="12"/>
    <s v="SULEIMAN RAMADHANI KILIMWENGU"/>
    <s v="T858EBY: Harsh braking has been activated. At 13.02.2026 11:57:37 it moved with speed 52 km/h near 'Great North Road, Muchinga Province, Zambia, 5.07 km from Kalonje'."/>
    <s v="Great North Road, Zambia, Muchinga Province, 5.07 km from Kalonje"/>
    <n v="4"/>
  </r>
  <r>
    <n v="148"/>
    <x v="88"/>
    <d v="2026-02-13T07:28:19"/>
    <x v="12"/>
    <s v="STEPHANO ABINELI ULOMI"/>
    <s v="T873EBY: Harsh braking has been activated. At 13.02.2026 07:28:19 it moved with speed 53 km/h near 'Great North Road, Central Province, Zambia, 19.80 km from Serenje'."/>
    <s v="Great North Road, Zambia, Central Province, 19.80 km from Serenje"/>
    <n v="3"/>
  </r>
  <r>
    <n v="149"/>
    <x v="103"/>
    <d v="2026-02-13T09:30:44"/>
    <x v="12"/>
    <s v="ISSA MOHAMED KIMWAGA"/>
    <s v="T891EBW: Harsh braking has been activated. At 13.02.2026 09:30:44 it moved with speed 56 km/h near 'Great North Road, Muchinga Province, Zambia, 6.83 km from Mkasi'."/>
    <s v="Great North Road, Zambia, Muchinga Province, 6.83 km from Mkasi"/>
    <n v="8"/>
  </r>
  <r>
    <n v="150"/>
    <x v="89"/>
    <d v="2026-02-13T17:01:43"/>
    <x v="12"/>
    <s v="RAMADHAN RAHIBU SULEIMAN"/>
    <s v="T904EBW: Harsh braking has been activated. At 13.02.2026 17:01:43 it moved with speed 58 km/h near 'Rn1, Haut-Katanga, Democratic Republic of the Congo, 4.73 km from Tshinsenda'."/>
    <s v="Rn1, Democratic Republic of the Congo, Haut-Katanga, 4.73 km from Tshinsenda"/>
    <n v="5"/>
  </r>
  <r>
    <n v="151"/>
    <x v="104"/>
    <d v="2026-02-13T15:03:23"/>
    <x v="12"/>
    <s v="HASSANI MABROUCK TUNZA"/>
    <s v="T932EBW: Harsh braking has been activated. At 13.02.2026 15:03:23 it moved with speed 56 km/h near 'Rn1, Haut-Katanga, Democratic Republic of the Congo, 1.96 km from Sumbilili'."/>
    <s v="Rn1, Democratic Republic of the Congo, Haut-Katanga, 1.96 km from Sumbilili"/>
    <n v="3"/>
  </r>
  <r>
    <n v="152"/>
    <x v="105"/>
    <d v="2026-02-14T06:53:19"/>
    <x v="13"/>
    <s v="JUMANNE ALLY MUHINA"/>
    <s v="T259EBY: Harsh braking has been activated. At 14.02.2026 06:53:19 it moved with speed 57 km/h near 'Great North Road, Muchinga Province, Zambia, 5.06 km from Mkasi'."/>
    <s v="Great North Road, Zambia, Muchinga Province, 5.06 km from Mkasi"/>
    <n v="7"/>
  </r>
  <r>
    <n v="153"/>
    <x v="95"/>
    <d v="2026-02-14T08:03:54"/>
    <x v="13"/>
    <s v="OMARY IDDY MACHUPPA"/>
    <s v="T390ECN: Harsh braking has been activated. At 14.02.2026 08:03:54 it moved with speed 55 km/h near 'Great North Road, Muchinga Province, Zambia, 1.42 km from Musata'."/>
    <s v="Great North Road, Zambia, Muchinga Province, 1.42 km from Musata"/>
    <n v="6"/>
  </r>
  <r>
    <n v="154"/>
    <x v="8"/>
    <d v="2026-02-14T11:31:51"/>
    <x v="13"/>
    <s v="GABRIEL SHIJA MAHONA"/>
    <s v="T494DYR: Harsh braking has been activated. At 14.02.2026 11:31:51 it moved with speed 58 km/h near 'Great North Road, Muchinga Province, Zambia, 17.50 km from Mukukwe'."/>
    <s v="Great North Road, Zambia, Muchinga Province, 17.50 km from Mukukwe"/>
    <n v="10"/>
  </r>
  <r>
    <n v="155"/>
    <x v="106"/>
    <d v="2026-02-14T07:49:48"/>
    <x v="13"/>
    <s v="ERASTO CHARLES MTWEVE"/>
    <s v="T512EBY: Harsh braking has been activated. At 14.02.2026 07:49:48 it moved with speed 56 km/h near 'Rue De La Kamoa Mine, Lualaba, Democratic Republic of the Congo, 6.66 km from Kapata'."/>
    <s v="Rue De La Kamoa Mine, Democratic Republic of the Congo, Lualaba, 6.66 km from Kapata"/>
    <n v="3"/>
  </r>
  <r>
    <n v="156"/>
    <x v="107"/>
    <d v="2026-02-14T15:45:49"/>
    <x v="13"/>
    <s v="STAN ENISON LULANDALA"/>
    <s v="T561DYR: Harsh braking has been activated. At 14.02.2026 15:45:49 it moved with speed 63 km/h near 'Rn1, Haut-Katanga, Democratic Republic of the Congo, 5.40 km from Lwisha'."/>
    <s v="Rn1, Democratic Republic of the Congo, Haut-Katanga, 5.40 km from Lwisha"/>
    <n v="5"/>
  </r>
  <r>
    <n v="157"/>
    <x v="108"/>
    <d v="2026-02-14T08:10:21"/>
    <x v="13"/>
    <s v="RAMADHANI SALIMU SHEDAFA"/>
    <s v="T588DTQ: Harsh braking has been activated. At 14.02.2026 08:10:21 it moved with speed 53 km/h near 'Rue De La Kamoa Mine, Lualaba, Democratic Republic of the Congo, 1.53 km from Tshizunza'."/>
    <s v="Rue De La Kamoa Mine, Democratic Republic of the Congo, Lualaba, 1.53 km from Tshizunza"/>
    <n v="3"/>
  </r>
  <r>
    <n v="158"/>
    <x v="96"/>
    <d v="2026-02-14T11:38:37"/>
    <x v="13"/>
    <s v="PASTOR GASPER MCHAU"/>
    <s v="T590DTQ: Harsh braking has been activated. At 14.02.2026 11:38:37 it moved with speed 57 km/h near 'Great North Road, Muchinga Province, Zambia, 1.33 km from Kaloswe'."/>
    <s v="Great North Road, Zambia, Muchinga Province, 1.33 km from Kaloswe"/>
    <n v="7"/>
  </r>
  <r>
    <n v="159"/>
    <x v="109"/>
    <d v="2026-02-14T08:15:41"/>
    <x v="13"/>
    <s v="CHRISTIAN NKWELA MAPUNDA"/>
    <s v="T728EBX: Harsh braking has been activated. At 14.02.2026 08:15:41 it moved with speed 55 km/h near 'Great North Road, Muchinga Province, Zambia, Chinkumba'."/>
    <s v="Great North Road, Zambia, Muchinga Province, Chinkumba"/>
    <n v="4"/>
  </r>
  <r>
    <n v="160"/>
    <x v="79"/>
    <d v="2026-02-14T09:26:21"/>
    <x v="13"/>
    <s v="SUNDAY EDWIN SOKA"/>
    <s v="T755EBX: Harsh braking has been activated. At 14.02.2026 09:26:21 it moved with speed 67 km/h near 'M16, Copperbelt Province, Zambia, 9.56 km from Kalulushi'."/>
    <s v="M16, Zambia, Copperbelt Province, 9.56 km from Kalulushi"/>
    <n v="4"/>
  </r>
  <r>
    <n v="161"/>
    <x v="73"/>
    <d v="2026-02-14T09:21:57"/>
    <x v="13"/>
    <s v="YUSUPH ZIAGA SANGA"/>
    <s v="T817EBW: Harsh braking has been activated. At 14.02.2026 09:21:57 it moved with speed 64 km/h near 'M4, Copperbelt Province, Zambia, 4.78 km from Mufulira'."/>
    <s v="M4, Zambia, Copperbelt Province, 4.78 km from Mufulira"/>
    <n v="22"/>
  </r>
  <r>
    <n v="162"/>
    <x v="22"/>
    <d v="2026-02-14T09:30:23"/>
    <x v="13"/>
    <s v="OMARY SAID MTAJI"/>
    <s v="T861EBY: Harsh braking has been activated. At 14.02.2026 09:30:23 it moved with speed 55 km/h near 'Route Manshinga, Lubumbashi, Haut-Katanga, Democratic Republic of the Congo'."/>
    <s v="Lubumbashi, Route Manshinga, Democratic Republic of the Congo, Haut-Katanga"/>
    <n v="3"/>
  </r>
  <r>
    <n v="163"/>
    <x v="103"/>
    <d v="2026-02-14T10:35:02"/>
    <x v="13"/>
    <s v="ISSA MOHAMED KIMWAGA"/>
    <s v="T891EBW: Harsh braking has been activated. At 14.02.2026 10:35:02 it moved with speed 58 km/h near 'Great North Road, Central Province, Zambia, 9.10 km from Kanona'."/>
    <s v="Great North Road, Zambia, Central Province, 9.10 km from Kanona"/>
    <n v="10"/>
  </r>
  <r>
    <n v="164"/>
    <x v="69"/>
    <d v="2026-02-14T07:14:19"/>
    <x v="13"/>
    <s v="OMARI ATHUMANI SELEMANI"/>
    <s v="T930EBW: Harsh braking has been activated. At 14.02.2026 07:14:19 it moved with speed 54 km/h near 'Iringa Road, Morogoro, Kilosa, Tanzania, 9.44 km from Igagala'."/>
    <s v="Iringa Road, Tanzania, Morogoro, Kilosa, 9.44 km from Igagala"/>
    <n v="5"/>
  </r>
  <r>
    <n v="165"/>
    <x v="110"/>
    <d v="2026-02-14T07:31:43"/>
    <x v="13"/>
    <s v="JOSEPHAT ALOYCE KAHEMELE"/>
    <s v="T946EBW: Harsh braking has been activated. At 14.02.2026 07:31:43 it moved with speed 57 km/h near 'T1, Morogoro, Tanzania, 3.28 km from Fulwe'."/>
    <s v="T1, Tanzania, Morogoro, 3.28 km from Fulwe"/>
    <n v="4"/>
  </r>
  <r>
    <n v="166"/>
    <x v="105"/>
    <d v="2026-02-15T09:10:04"/>
    <x v="14"/>
    <s v="JUMANNE ALLY MUHINA"/>
    <s v="T259EBY: Harsh braking has been activated. At 15.02.2026 09:10:04 it moved with speed 56 km/h near 'Great North Road, Central Province, Zambia, 4.86 km from Chifwefwe B'."/>
    <s v="Great North Road, Zambia, Central Province, 4.86 km from Chifwefwe B"/>
    <n v="3"/>
  </r>
  <r>
    <n v="167"/>
    <x v="111"/>
    <d v="2026-02-15T09:54:47"/>
    <x v="14"/>
    <s v="WILLIAM RICHARD MACK"/>
    <s v="T286EBY: Harsh braking has been activated. At 15.02.2026 09:54:47 it moved with speed 60 km/h near 'Great North Road, Central Province, Zambia, 4.44 km from Mkushi'."/>
    <s v="Great North Road, Zambia, Central Province, 4.44 km from Mkushi"/>
    <n v="4"/>
  </r>
  <r>
    <n v="168"/>
    <x v="112"/>
    <d v="2026-02-15T11:52:31"/>
    <x v="14"/>
    <s v="MARTIN KYEJO MARTIN"/>
    <s v="T396ECN: Harsh braking has been activated. At 15.02.2026 11:52:31 it moved with speed 52 km/h near 'T35, Pwani, Bagamoyo, Tanzania, 1.15 km from Kifudwe'."/>
    <s v="T35, Tanzania, Pwani, Bagamoyo, 1.15 km from Kifudwe"/>
    <n v="3"/>
  </r>
  <r>
    <n v="169"/>
    <x v="8"/>
    <d v="2026-02-15T18:13:21"/>
    <x v="14"/>
    <s v="GABRIEL SHIJA MAHONA"/>
    <s v="T494DYR: Harsh braking has been activated. At 15.02.2026 18:13:21 it moved with speed 56 km/h near 'Great North Road, Central Province, Zambia, 14.72 km from Ndabala'."/>
    <s v="Great North Road, Zambia, Central Province, 14.72 km from Ndabala"/>
    <n v="24"/>
  </r>
  <r>
    <n v="170"/>
    <x v="107"/>
    <d v="2026-02-15T09:14:20"/>
    <x v="14"/>
    <s v="STAN ENISON LULANDALA"/>
    <s v="T561DYR: Harsh braking has been activated. At 15.02.2026 09:14:20 it moved with speed 53 km/h near 'Rn1, Haut-Katanga, Democratic Republic of the Congo, 2.28 km from Kasumbalesa'."/>
    <s v="Rn1, Democratic Republic of the Congo, Haut-Katanga, 2.28 km from Kasumbalesa"/>
    <n v="4"/>
  </r>
  <r>
    <n v="171"/>
    <x v="113"/>
    <d v="2026-02-15T15:58:34"/>
    <x v="14"/>
    <s v="HASSAN AWADHI TAMIM"/>
    <s v="T578DYR: Harsh braking has been activated. At 15.02.2026 15:58:34 it moved with speed 52 km/h near 'Rn39, Lualaba, Democratic Republic of the Congo, 4.09 km from Kazembe'."/>
    <s v="Rn39, Democratic Republic of the Congo, Lualaba, 4.09 km from Kazembe"/>
    <n v="5"/>
  </r>
  <r>
    <n v="172"/>
    <x v="67"/>
    <d v="2026-02-15T18:05:38"/>
    <x v="14"/>
    <s v="MISTWAHI AMRI SAID"/>
    <s v="T589DYR: Harsh braking has been activated. At 15.02.2026 18:05:38 it moved with speed 67 km/h near 'Rn1, Haut-Katanga, Democratic Republic of the Congo, 1.13 km from Mulungwishi'."/>
    <s v="Rn1, Democratic Republic of the Congo, Haut-Katanga, 1.13 km from Mulungwishi"/>
    <n v="3"/>
  </r>
  <r>
    <n v="173"/>
    <x v="109"/>
    <d v="2026-02-15T08:49:04"/>
    <x v="14"/>
    <s v="CHRISTIAN NKWELA MAPUNDA"/>
    <s v="T728EBX: Harsh braking has been activated. At 15.02.2026 08:49:04 it moved with speed 65 km/h near 'Great North Road, Central Province, Zambia, 11.04 km from Muchinka'."/>
    <s v="Great North Road, Zambia, Central Province, 11.04 km from Muchinka"/>
    <n v="3"/>
  </r>
  <r>
    <n v="174"/>
    <x v="79"/>
    <d v="2026-02-15T08:30:30"/>
    <x v="14"/>
    <s v="SUNDAY EDWIN SOKA"/>
    <s v="T755EBX: Harsh braking has been activated. At 15.02.2026 08:30:30 it moved with speed 61 km/h near 'Great North Road, Central Province, Zambia, 9.94 km from Kapiri Mposhi'."/>
    <s v="Great North Road, Zambia, Central Province, 9.94 km from Kapiri Mposhi"/>
    <n v="9"/>
  </r>
  <r>
    <n v="175"/>
    <x v="80"/>
    <d v="2026-02-15T07:39:10"/>
    <x v="14"/>
    <s v="JAPHARY NASSORO JAPHARY"/>
    <s v="T803EBW: Harsh braking has been activated. At 15.02.2026 07:39:10 it moved with speed 53 km/h near 'Iringa Road, Morogoro, Kilosa, Tanzania, 3.90 km from Msimba'."/>
    <s v="Iringa Road, Tanzania, Morogoro, Kilosa, 3.90 km from Msimba"/>
    <n v="3"/>
  </r>
  <r>
    <n v="176"/>
    <x v="73"/>
    <d v="2026-02-15T09:26:03"/>
    <x v="14"/>
    <s v="YUSUPH ZIAGA SANGA"/>
    <s v="T817EBW: Harsh braking has been activated. At 15.02.2026 09:26:03 it moved with speed 77 km/h near 'Great North Road, Central Province, Zambia, 11.54 km from Chitiwa'."/>
    <s v="Great North Road, Zambia, Central Province, 11.54 km from Chitiwa"/>
    <n v="21"/>
  </r>
  <r>
    <n v="177"/>
    <x v="74"/>
    <d v="2026-02-15T08:17:54"/>
    <x v="14"/>
    <s v="MADENGE SALUM SHOMARI"/>
    <s v="T892EBW: Harsh braking has been activated. At 15.02.2026 08:17:54 it moved with speed 55 km/h near 'T1, Mbeya, Tanzania, 4.25 km from Igawa'."/>
    <s v="T1, Tanzania, Mbeya, 4.25 km from Igawa"/>
    <n v="5"/>
  </r>
  <r>
    <n v="178"/>
    <x v="64"/>
    <d v="2026-02-16T09:07:52"/>
    <x v="15"/>
    <s v="JOEL SAMSON MANDAGO"/>
    <s v="T235EBX: Harsh braking has been activated. At 16.02.2026 09:07:52 it moved with speed 53 km/h near 'Rn1, Haut-Katanga, Democratic Republic of the Congo, 7.62 km from Sumbilili'."/>
    <s v="Rn1, Democratic Republic of the Congo, Haut-Katanga, 7.62 km from Sumbilili"/>
    <n v="3"/>
  </r>
  <r>
    <n v="179"/>
    <x v="111"/>
    <d v="2026-02-16T09:58:14"/>
    <x v="15"/>
    <s v="WILLIAM RICHARD MACK"/>
    <s v="T286EBY: Harsh braking has been activated. At 16.02.2026 09:58:14 it moved with speed 52 km/h near 'Great North Road, Muchinga Province, Zambia, 3.28 km from Chisoso'."/>
    <s v="Great North Road, Zambia, Muchinga Province, 3.28 km from Chisoso"/>
    <n v="4"/>
  </r>
  <r>
    <n v="180"/>
    <x v="3"/>
    <d v="2026-02-16T08:16:48"/>
    <x v="15"/>
    <s v="YUSUFU  SAMSON NICODEMUS"/>
    <s v="T331EBX: Harsh braking has been activated. At 16.02.2026 08:16:48 it moved with speed 61 km/h near 'Great North Road, Muchinga Province, Zambia, 5.97 km from Kamangu'."/>
    <s v="Great North Road, Zambia, Muchinga Province, 5.97 km from Kamangu"/>
    <n v="3"/>
  </r>
  <r>
    <n v="181"/>
    <x v="39"/>
    <d v="2026-02-16T15:52:39"/>
    <x v="15"/>
    <s v="OMARI SALIMU MOHAMEDI"/>
    <s v="T339EBX: Harsh braking has been activated. At 16.02.2026 15:52:39 it moved with speed 60 km/h near 'Great North Road, Central Province, Zambia, 6.61 km from Kanona'."/>
    <s v="Great North Road, Zambia, Central Province, 6.61 km from Kanona"/>
    <n v="6"/>
  </r>
  <r>
    <n v="182"/>
    <x v="114"/>
    <d v="2026-02-16T19:53:41"/>
    <x v="15"/>
    <s v="JITENGENI YAHYA MZEE"/>
    <s v="T340EBX: Harsh braking has been activated. At 16.02.2026 19:53:41 it moved with speed 56 km/h near 'Rn1, Haut-Katanga, Democratic Republic of the Congo, 8.77 km from Lwambo'."/>
    <s v="Rn1, Democratic Republic of the Congo, Haut-Katanga, 8.77 km from Lwambo"/>
    <n v="3"/>
  </r>
  <r>
    <n v="183"/>
    <x v="76"/>
    <d v="2026-02-16T07:44:33"/>
    <x v="15"/>
    <s v="JEREMIAHY SIMONE MWALUKO"/>
    <s v="T378ECN: Harsh braking has been activated. At 16.02.2026 07:44:33 it moved with speed 58 km/h near 'Great North Road, Muchinga Province, Zambia, 4.50 km from Chikwanda'."/>
    <s v="Great North Road, Zambia, Muchinga Province, 4.50 km from Chikwanda"/>
    <n v="5"/>
  </r>
  <r>
    <n v="184"/>
    <x v="40"/>
    <d v="2026-02-16T07:30:44"/>
    <x v="15"/>
    <s v="JUMANNE ALLY NJECHELE"/>
    <s v="T402ECN: Harsh braking has been activated. At 16.02.2026 07:30:44 it moved with speed 55 km/h near 'Iringa Road, Morogoro, Kilosa, Tanzania, 8.73 km from Igagala'."/>
    <s v="Iringa Road, Tanzania, Morogoro, Kilosa, 8.73 km from Igagala"/>
    <n v="5"/>
  </r>
  <r>
    <n v="185"/>
    <x v="7"/>
    <d v="2026-02-16T11:37:33"/>
    <x v="15"/>
    <s v="RAMADHANI SHABANI WAGAMOYO"/>
    <s v="T482DYR: Harsh braking has been activated. At 16.02.2026 11:37:33 it moved with speed 59 km/h near 'Great North Road, Muchinga Province, Zambia, 3.10 km from Mukwikile'."/>
    <s v="Great North Road, Zambia, Muchinga Province, 3.10 km from Mukwikile"/>
    <n v="3"/>
  </r>
  <r>
    <n v="186"/>
    <x v="77"/>
    <d v="2026-02-16T01:07:44"/>
    <x v="15"/>
    <s v="LAMECK CHARLES ROMAN"/>
    <s v="T492DYR: Harsh braking has been activated. At 16.02.2026 01:07:44 it moved with speed 54 km/h near 'Kilwa Road, Dar Es Salaam, Azimio, Tanzania'."/>
    <s v="Dar Es Salaam, Kilwa Road, Tanzania, Azimio"/>
    <n v="3"/>
  </r>
  <r>
    <n v="187"/>
    <x v="8"/>
    <d v="2026-02-16T11:19:59"/>
    <x v="15"/>
    <s v="GABRIEL SHIJA MAHONA"/>
    <s v="T494DYR: Harsh braking has been activated. At 16.02.2026 11:19:59 it moved with speed 57 km/h near 'T3, Copperbelt Province, Zambia, 4.20 km from Pukota'."/>
    <s v="T3, Zambia, Copperbelt Province, 4.20 km from Pukota"/>
    <n v="3"/>
  </r>
  <r>
    <n v="188"/>
    <x v="115"/>
    <d v="2026-02-16T14:56:01"/>
    <x v="15"/>
    <s v="DAVID NICHOLAUS MASAKA"/>
    <s v="T523EBY: Harsh braking has been activated. At 16.02.2026 14:56:01 it moved with speed 57 km/h near 'Great North Road, Muchinga Province, Zambia, 4.80 km from Godfrey Kunda'."/>
    <s v="Great North Road, Zambia, Muchinga Province, 4.80 km from Godfrey Kunda"/>
    <n v="4"/>
  </r>
  <r>
    <n v="189"/>
    <x v="116"/>
    <d v="2026-02-16T14:03:20"/>
    <x v="15"/>
    <s v="OMAR RASHID CHIKUNJE"/>
    <s v="T524EBY: Harsh braking has been activated. At 16.02.2026 14:03:20 it moved with speed 51 km/h near 'M3, Northern Province, Zambia, 2.21 km from Chikoti'."/>
    <s v="M3, Zambia, Northern Province, 2.21 km from Chikoti"/>
    <n v="4"/>
  </r>
  <r>
    <n v="190"/>
    <x v="107"/>
    <d v="2026-02-16T07:44:28"/>
    <x v="15"/>
    <s v="STAN ENISON LULANDALA"/>
    <s v="T561DYR: Harsh braking has been activated. At 16.02.2026 07:44:28 it moved with speed 53 km/h near 'M3, Luapula Province, Zambia, 20.83 km from Kundamtumu'."/>
    <s v="M3, Zambia, Luapula Province, 20.83 km from Kundamtumu"/>
    <n v="4"/>
  </r>
  <r>
    <n v="191"/>
    <x v="117"/>
    <d v="2026-02-16T11:55:27"/>
    <x v="15"/>
    <s v="AHMED CONSTANTINE MAGERE"/>
    <s v="T581DTQ: Harsh braking has been activated. At 16.02.2026 11:55:27 it moved with speed 54 km/h near 'Rn1, Haut-Katanga, Democratic Republic of the Congo, 1.87 km from Kapolowe'."/>
    <s v="Rn1, Democratic Republic of the Congo, Haut-Katanga, 1.87 km from Kapolowe"/>
    <n v="3"/>
  </r>
  <r>
    <n v="192"/>
    <x v="73"/>
    <d v="2026-02-16T10:12:00"/>
    <x v="15"/>
    <s v="YUSUPH ZIAGA SANGA"/>
    <s v="T817EBW: Harsh braking has been activated. At 16.02.2026 10:12:00 it moved with speed 51 km/h near 'Great North Road, Muchinga Province, Zambia, 4.81 km from Chisoso'."/>
    <s v="Great North Road, Zambia, Muchinga Province, 4.81 km from Chisoso"/>
    <n v="12"/>
  </r>
  <r>
    <n v="193"/>
    <x v="81"/>
    <d v="2026-02-16T08:49:57"/>
    <x v="15"/>
    <s v="ATANASI PETRO MAGOHE"/>
    <s v="T871EBY: Harsh braking has been activated. At 16.02.2026 08:49:57 it moved with speed 54 km/h near 'Great North Road, Central Province, Zambia, 2.33 km from Kanona'."/>
    <s v="Great North Road, Zambia, Central Province, 2.33 km from Kanona"/>
    <n v="4"/>
  </r>
  <r>
    <n v="194"/>
    <x v="45"/>
    <d v="2026-02-16T07:39:06"/>
    <x v="15"/>
    <s v="HAMISI RAMADHANI SULTAN"/>
    <s v="T878EBY: Harsh braking has been activated. At 16.02.2026 07:39:06 it moved with speed 52 km/h near 'Great North Road, Central Province, Zambia, 5.11 km from Kapiri Mposhi'."/>
    <s v="Great North Road, Zambia, Central Province, 5.11 km from Kapiri Mposhi"/>
    <n v="3"/>
  </r>
  <r>
    <n v="195"/>
    <x v="118"/>
    <d v="2026-02-16T17:01:29"/>
    <x v="15"/>
    <s v="MUSSA ABDI OMAR"/>
    <s v="T887EBW: Harsh braking has been activated. At 16.02.2026 17:01:29 it moved with speed 53 km/h near 'Great North Road, Muchinga Province, Zambia, 8.88 km from Chilonga'."/>
    <s v="Great North Road, Zambia, Muchinga Province, 8.88 km from Chilonga"/>
    <n v="3"/>
  </r>
  <r>
    <n v="196"/>
    <x v="74"/>
    <d v="2026-02-16T11:10:59"/>
    <x v="15"/>
    <s v="MADENGE SALUM SHOMARI"/>
    <s v="T892EBW: Harsh braking has been activated. At 16.02.2026 11:10:59 it moved with speed 62 km/h near 'Iringa Road, Lundamatwe, Iringa, Tanzania'."/>
    <s v="Lundamatwe, Iringa Road, Tanzania, Iringa"/>
    <n v="5"/>
  </r>
  <r>
    <n v="197"/>
    <x v="24"/>
    <d v="2026-02-16T15:47:25"/>
    <x v="15"/>
    <s v="ALLY RASHID SAID"/>
    <s v="T905EBW: Harsh braking has been activated. At 16.02.2026 15:47:25 it moved with speed 56 km/h near 'Iringa Road, Morogoro, Tanzania, 4.80 km from Mtipule'."/>
    <s v="Iringa Road, Tanzania, Morogoro, 4.80 km from Mtipule"/>
    <n v="3"/>
  </r>
  <r>
    <n v="198"/>
    <x v="119"/>
    <d v="2026-02-17T07:36:39"/>
    <x v="16"/>
    <s v="MOHAMEDI ISSA KIBARATI"/>
    <s v="T144EBX: Harsh braking has been activated. At 17.02.2026 07:36:39 it moved with speed 55 km/h near 'Great North Road, Muchinga Province, Zambia, 9.45 km from Mukwikile'."/>
    <s v="Great North Road, Zambia, Muchinga Province, 9.45 km from Mukwikile"/>
    <n v="5"/>
  </r>
  <r>
    <n v="199"/>
    <x v="64"/>
    <d v="2026-02-17T10:12:17"/>
    <x v="16"/>
    <s v="JOEL SAMSON MANDAGO"/>
    <s v="T235EBX: Harsh braking has been activated. At 17.02.2026 10:12:17 it moved with speed 51 km/h near 'Rn36, Haut-Katanga, Democratic Republic of the Congo, 11.65 km from Kadima'."/>
    <s v="Rn36, Democratic Republic of the Congo, Haut-Katanga, 11.65 km from Kadima"/>
    <n v="13"/>
  </r>
  <r>
    <n v="200"/>
    <x v="120"/>
    <d v="2026-02-17T11:16:03"/>
    <x v="16"/>
    <s v="MUSSA RAMADHAN MITEMILIGWA"/>
    <s v="T278EBY: Harsh braking has been activated. At 17.02.2026 11:16:03 it moved with speed 63 km/h near 'T2, Tanga, Handeni, Tanzania, Kwenkwale'."/>
    <s v="T2, Tanzania, Tanga, Handeni, Kwenkwale"/>
    <n v="3"/>
  </r>
  <r>
    <n v="201"/>
    <x v="114"/>
    <d v="2026-02-17T11:58:12"/>
    <x v="16"/>
    <s v="JITENGENI YAHYA MZEE"/>
    <s v="T340EBX: Harsh braking has been activated. At 17.02.2026 11:58:12 it moved with speed 51 km/h near 'Rn1, Haut-Katanga, Democratic Republic of the Congo, 3.72 km from Sumbilili'."/>
    <s v="Rn1, Democratic Republic of the Congo, Haut-Katanga, 3.72 km from Sumbilili"/>
    <n v="3"/>
  </r>
  <r>
    <n v="202"/>
    <x v="121"/>
    <d v="2026-02-17T14:24:08"/>
    <x v="16"/>
    <s v="MUSSA OMARY HAMZA"/>
    <s v="T498DYR: Harsh braking has been activated. At 17.02.2026 14:24:08 it moved with speed 51 km/h near 'M3, Luapula Province, Zambia, 18.28 km from Chembe'."/>
    <s v="M3, Zambia, Luapula Province, 18.28 km from Chembe"/>
    <n v="3"/>
  </r>
  <r>
    <n v="203"/>
    <x v="106"/>
    <d v="2026-02-17T09:56:07"/>
    <x v="16"/>
    <s v="ERASTO CHARLES MTWEVE"/>
    <s v="T512EBY: Harsh braking has been activated. At 17.02.2026 09:56:07 it moved with speed 63 km/h near 'M3, Northern Province, Zambia, Chiwembe'."/>
    <s v="M3, Zambia, Northern Province, Chiwembe"/>
    <n v="11"/>
  </r>
  <r>
    <n v="204"/>
    <x v="122"/>
    <d v="2026-02-17T09:56:09"/>
    <x v="16"/>
    <s v="HABIBU SELEMANI NTILLA"/>
    <s v="T520EBY: Harsh braking has been activated. At 17.02.2026 09:56:09 it moved with speed 61 km/h near 'Great North Road, Muchinga Province, Zambia, 2.28 km from Mpumba'."/>
    <s v="Great North Road, Zambia, Muchinga Province, 2.28 km from Mpumba"/>
    <n v="3"/>
  </r>
  <r>
    <n v="205"/>
    <x v="78"/>
    <d v="2026-02-17T07:25:13"/>
    <x v="16"/>
    <s v="GASPER ELICHILIA KINYAHA"/>
    <s v="T528EBY: Harsh braking has been activated. At 17.02.2026 07:25:13 it moved with speed 54 km/h near 'Great North Road, Central Province, Zambia, 9.60 km from Godfrey Kunda'."/>
    <s v="Great North Road, Zambia, Central Province, 9.60 km from Godfrey Kunda"/>
    <n v="3"/>
  </r>
  <r>
    <n v="206"/>
    <x v="107"/>
    <d v="2026-02-17T13:25:00"/>
    <x v="16"/>
    <s v="STAN ENISON LULANDALA"/>
    <s v="T561DYR: Harsh braking has been activated. At 17.02.2026 13:25:00 it moved with speed 54 km/h near 'T1, Mbeya, Tanzania, 3.95 km from Makwenje'."/>
    <s v="T1, Tanzania, Mbeya, 3.95 km from Makwenje"/>
    <n v="3"/>
  </r>
  <r>
    <n v="207"/>
    <x v="67"/>
    <d v="2026-02-17T18:41:46"/>
    <x v="16"/>
    <s v="MISTWAHI AMRI SAID"/>
    <s v="T589DYR: Harsh braking has been activated. At 17.02.2026 18:41:46 it moved with speed 64 km/h near 'M3, Northern Province, Zambia, 4.32 km from Luwingu'."/>
    <s v="M3, Zambia, Northern Province, 4.32 km from Luwingu"/>
    <n v="3"/>
  </r>
  <r>
    <n v="208"/>
    <x v="123"/>
    <d v="2026-02-17T03:24:27"/>
    <x v="16"/>
    <s v="SHOMAR MOHAMED MITAWA"/>
    <s v="T661DTQ: Harsh braking has been activated. At 17.02.2026 03:24:27 it moved with speed 52 km/h near 'Rn1, Haut-Katanga, Democratic Republic of the Congo, 6.99 km from Sumbilili'."/>
    <s v="Rn1, Democratic Republic of the Congo, Haut-Katanga, 6.99 km from Sumbilili"/>
    <n v="3"/>
  </r>
  <r>
    <n v="209"/>
    <x v="124"/>
    <d v="2026-02-17T15:13:37"/>
    <x v="16"/>
    <s v="SAID ATHUMANI NONGWA"/>
    <s v="T723DYR: Harsh braking has been activated. At 17.02.2026 15:13:37 it moved with speed 57 km/h near 'M3, Luapula Province, Zambia, 14.86 km from Kundamtumu'."/>
    <s v="M3, Zambia, Luapula Province, 14.86 km from Kundamtumu"/>
    <n v="6"/>
  </r>
  <r>
    <n v="210"/>
    <x v="89"/>
    <d v="2026-02-17T10:11:11"/>
    <x v="16"/>
    <s v="RAMADHAN RAHIBU SULEIMAN"/>
    <s v="T904EBW: Harsh braking has been activated. At 17.02.2026 10:11:11 it moved with speed 53 km/h near 'Great North Road, Central Province, Zambia, 6.47 km from Kanona'."/>
    <s v="Great North Road, Zambia, Central Province, 6.47 km from Kanona"/>
    <n v="8"/>
  </r>
  <r>
    <n v="211"/>
    <x v="24"/>
    <d v="2026-02-17T07:45:30"/>
    <x v="16"/>
    <s v="ALLY RASHID SAID"/>
    <s v="T905EBW: Harsh braking has been activated. At 17.02.2026 07:45:30 it moved with speed 53 km/h near 'Iringa Road, Iringa, Tanzania, Mahenge'."/>
    <s v="Iringa Road, Tanzania, Iringa, Mahenge"/>
    <n v="4"/>
  </r>
  <r>
    <n v="212"/>
    <x v="35"/>
    <d v="2026-02-17T09:28:30"/>
    <x v="16"/>
    <s v="ELIBAS EZEKIEL KITUNGWA"/>
    <s v="T907EBW: Harsh braking has been activated. At 17.02.2026 09:28:30 it moved with speed 54 km/h near 'Iringa Road, Morogoro, Tanzania, 4.49 km from Mtipule'."/>
    <s v="Iringa Road, Tanzania, Morogoro, 4.49 km from Mtipule"/>
    <n v="4"/>
  </r>
  <r>
    <n v="213"/>
    <x v="125"/>
    <d v="2026-02-17T12:27:08"/>
    <x v="16"/>
    <s v="MARCUS AUGUSTIN MBEYA"/>
    <s v="T927EBW: Harsh braking has been activated. At 17.02.2026 12:27:08 it moved with speed 52 km/h near 'T1, Mbeya, Tanzania, Lunwa'."/>
    <s v="T1, Tanzania, Mbeya, Lunwa"/>
    <n v="3"/>
  </r>
  <r>
    <n v="214"/>
    <x v="126"/>
    <d v="2026-02-17T10:10:53"/>
    <x v="16"/>
    <s v="ELIAS SAID MTEBENE"/>
    <s v="T980EBW: Harsh braking has been activated. At 17.02.2026 10:10:53 it moved with speed 58 km/h near 'Rn1, Haut-Katanga, Democratic Republic of the Congo, Mununu'."/>
    <s v="Rn1, Democratic Republic of the Congo, Haut-Katanga, Mununu"/>
    <n v="5"/>
  </r>
  <r>
    <n v="215"/>
    <x v="127"/>
    <d v="2026-02-18T08:22:12"/>
    <x v="17"/>
    <s v="OMARY FADHILI MSANGI"/>
    <s v="T154EBX: Harsh braking has been activated. At 18.02.2026 08:22:12 it moved with speed 52 km/h near 'Great North Road, Central Province, Zambia, 2.42 km from Kanona'."/>
    <s v="Great North Road, Zambia, Central Province, 2.42 km from Kanona"/>
    <n v="6"/>
  </r>
  <r>
    <n v="216"/>
    <x v="128"/>
    <d v="2026-02-18T07:46:53"/>
    <x v="17"/>
    <s v="AMOS KASEKE KUYOKWA"/>
    <s v="T175EBX: Harsh braking has been activated. At 18.02.2026 07:46:53 it moved with speed 52 km/h near 'Great North Road, Central Province, Zambia, 12.26 km from Muchinka'."/>
    <s v="Great North Road, Zambia, Central Province, 12.26 km from Muchinka"/>
    <n v="5"/>
  </r>
  <r>
    <n v="217"/>
    <x v="20"/>
    <d v="2026-02-18T13:23:12"/>
    <x v="17"/>
    <s v="ELIAH YUSUPH MPANGO"/>
    <s v="T232EBX: Harsh braking has been activated. At 18.02.2026 13:23:12 it moved with speed 61 km/h near 'Rn1, Haut-Katanga, Democratic Republic of the Congo, 4.06 km from Tshinsenda'."/>
    <s v="Rn1, Democratic Republic of the Congo, Haut-Katanga, 4.06 km from Tshinsenda"/>
    <n v="5"/>
  </r>
  <r>
    <n v="218"/>
    <x v="64"/>
    <d v="2026-02-18T08:29:11"/>
    <x v="17"/>
    <s v="JOEL SAMSON MANDAGO"/>
    <s v="T235EBX: Harsh braking has been activated. At 18.02.2026 08:29:11 it moved with speed 51 km/h near 'M1, Northern Province, Zambia, 6.99 km from Nondo'."/>
    <s v="M1, Zambia, Northern Province, 6.99 km from Nondo"/>
    <n v="4"/>
  </r>
  <r>
    <n v="219"/>
    <x v="1"/>
    <d v="2026-02-18T12:38:58"/>
    <x v="17"/>
    <s v="ISAYA MSHUKURU MMBANDO"/>
    <s v="T271EBY: Harsh braking has been activated. At 18.02.2026 12:38:58 it moved with speed 53 km/h near 'T2, Pwani, Bagamoyo, Tanzania, 1.70 km from Mandera'."/>
    <s v="T2, Tanzania, Pwani, Bagamoyo, 1.70 km from Mandera"/>
    <n v="5"/>
  </r>
  <r>
    <n v="220"/>
    <x v="114"/>
    <d v="2026-02-18T13:41:44"/>
    <x v="17"/>
    <s v="JITENGENI YAHYA MZEE"/>
    <s v="T340EBX: Harsh braking has been activated. At 18.02.2026 13:41:44 it moved with speed 61 km/h near 'M3, Luapula Province, Zambia, 13.33 km from Mansa'."/>
    <s v="M3, Zambia, Luapula Province, 13.33 km from Mansa"/>
    <n v="8"/>
  </r>
  <r>
    <n v="221"/>
    <x v="129"/>
    <d v="2026-02-18T10:24:17"/>
    <x v="17"/>
    <s v="ALLY RAMADHANI ZANDA"/>
    <s v="T499DYR: Harsh braking has been activated. At 18.02.2026 10:24:17 it moved with speed 63 km/h near 'M4, Copperbelt Province, Zambia, 11.83 km from Chambishi'."/>
    <s v="M4, Zambia, Copperbelt Province, 11.83 km from Chambishi"/>
    <n v="5"/>
  </r>
  <r>
    <n v="222"/>
    <x v="107"/>
    <d v="2026-02-18T11:19:54"/>
    <x v="17"/>
    <s v="STAN ENISON LULANDALA"/>
    <s v="T561DYR: Harsh braking has been activated. At 18.02.2026 11:19:54 it moved with speed 65 km/h near 'Iringa Road, Iringa, Tanzania, 1.82 km from Mahenge'."/>
    <s v="Iringa Road, Tanzania, Iringa, 1.82 km from Mahenge"/>
    <n v="4"/>
  </r>
  <r>
    <n v="223"/>
    <x v="113"/>
    <d v="2026-02-18T07:42:05"/>
    <x v="17"/>
    <s v="HASSAN AWADHI TAMIM"/>
    <s v="T578DYR: Harsh braking has been activated. At 18.02.2026 07:42:05 it moved with speed 61 km/h near 'M3, Northern Province, Zambia, Chiwembe'."/>
    <s v="M3, Zambia, Northern Province, Chiwembe"/>
    <n v="5"/>
  </r>
  <r>
    <n v="224"/>
    <x v="130"/>
    <d v="2026-02-18T11:46:53"/>
    <x v="17"/>
    <s v="SAID HATIB KINGODOLO"/>
    <s v="T587DTQ: Harsh braking has been activated. At 18.02.2026 11:46:53 it moved with speed 59 km/h near 'M1, Northern Province, Zambia, 9.88 km from Sementi'."/>
    <s v="M1, Zambia, Northern Province, 9.88 km from Sementi"/>
    <n v="3"/>
  </r>
  <r>
    <n v="225"/>
    <x v="9"/>
    <d v="2026-02-18T17:12:30"/>
    <x v="17"/>
    <s v="RAMADHANI MBEZI OMARY"/>
    <s v="T634DHL: Harsh braking has been activated. At 18.02.2026 17:12:30 it moved with speed 56 km/h near 'M3, Luapula Province, Zambia, 12.81 km from Kalundu'."/>
    <s v="M3, Zambia, Luapula Province, 12.81 km from Kalundu"/>
    <n v="3"/>
  </r>
  <r>
    <n v="226"/>
    <x v="124"/>
    <d v="2026-02-18T11:25:46"/>
    <x v="17"/>
    <s v="SAID ATHUMANI NONGWA"/>
    <s v="T723DYR: Harsh braking has been activated. At 18.02.2026 11:25:46 it moved with speed 53 km/h near 'Mbala - Nakonde Road, Northern Province, Zambia, 12.38 km from Nsokolo'."/>
    <s v="Mbala - Nakonde Road, Zambia, Northern Province, 12.38 km from Nsokolo"/>
    <n v="3"/>
  </r>
  <r>
    <n v="227"/>
    <x v="131"/>
    <d v="2026-02-18T18:36:49"/>
    <x v="17"/>
    <s v="ZACHALIA JOSEPH SHIMBI"/>
    <s v="T727DYR: Harsh braking has been activated. At 18.02.2026 18:36:49 it moved with speed 56 km/h near 'M3, Northern Province, Zambia, 12.80 km from Chitoshi'."/>
    <s v="M3, Zambia, Northern Province, 12.80 km from Chitoshi"/>
    <n v="3"/>
  </r>
  <r>
    <n v="228"/>
    <x v="132"/>
    <d v="2026-02-18T15:06:50"/>
    <x v="17"/>
    <s v="AMIRI TALIB SHEIN"/>
    <s v="T793DYR: Harsh braking has been activated. At 18.02.2026 15:06:50 it moved with speed 67 km/h near 'M3, Luapula Province, Zambia, 4.45 km from Mununga'."/>
    <s v="M3, Zambia, Luapula Province, 4.45 km from Mununga"/>
    <n v="15"/>
  </r>
  <r>
    <n v="229"/>
    <x v="125"/>
    <d v="2026-02-18T10:46:47"/>
    <x v="17"/>
    <s v="MARCUS AUGUSTIN MBEYA"/>
    <s v="T927EBW: Harsh braking has been activated. At 18.02.2026 10:46:47 it moved with speed 68 km/h near 'Iringa Road, Morogoro, Kilosa, Tanzania, 8.36 km from Igagala'."/>
    <s v="Iringa Road, Tanzania, Morogoro, Kilosa, 8.36 km from Igagala"/>
    <n v="3"/>
  </r>
  <r>
    <n v="230"/>
    <x v="70"/>
    <d v="2026-02-18T14:00:39"/>
    <x v="17"/>
    <s v="SHABANI HARUNA SEMENTA"/>
    <s v="T955EBW: Harsh braking has been activated. At 18.02.2026 14:00:39 it moved with speed 52 km/h near 'Iringa Road, Morogoro, Kilosa, Tanzania, 15.01 km from Msimba'."/>
    <s v="Iringa Road, Tanzania, Morogoro, Kilosa, 15.01 km from Msimba"/>
    <n v="8"/>
  </r>
  <r>
    <n v="231"/>
    <x v="1"/>
    <d v="2026-02-19T17:17:21"/>
    <x v="18"/>
    <s v="ISAYA MSHUKURU MMBANDO"/>
    <s v="T271EBY: Harsh braking has been activated. At 19.02.2026 17:17:21 it moved with speed 55 km/h near 'T2, Tanga, Handeni, Tanzania, 1.07 km from Kwedikwazu Magha'."/>
    <s v="T2, Tanzania, Tanga, Handeni, 1.07 km from Kwedikwazu Magha"/>
    <n v="3"/>
  </r>
  <r>
    <n v="232"/>
    <x v="114"/>
    <d v="2026-02-19T08:08:45"/>
    <x v="18"/>
    <s v="JITENGENI YAHYA MZEE"/>
    <s v="T340EBX: Harsh braking has been activated. At 19.02.2026 08:08:45 it moved with speed 56 km/h near 'M1, Northern Province, Zambia, 14.60 km from Nondo'."/>
    <s v="M1, Zambia, Northern Province, 14.60 km from Nondo"/>
    <n v="5"/>
  </r>
  <r>
    <n v="233"/>
    <x v="129"/>
    <d v="2026-02-19T07:20:48"/>
    <x v="18"/>
    <s v="ALLY RAMADHANI ZANDA"/>
    <s v="T499DYR: Harsh braking has been activated. At 19.02.2026 07:20:48 it moved with speed 59 km/h near 'Great North Road, Central Province, Zambia, 5.15 km from Kapiri Mposhi'."/>
    <s v="Great North Road, Zambia, Central Province, 5.15 km from Kapiri Mposhi"/>
    <n v="6"/>
  </r>
  <r>
    <n v="234"/>
    <x v="67"/>
    <d v="2026-02-19T17:09:48"/>
    <x v="18"/>
    <s v="MISTWAHI AMRI SAID"/>
    <s v="T589DYR: Harsh braking has been activated. At 19.02.2026 17:09:48 it moved with speed 67 km/h near 'T1, Njombe, Tanzania, 6.31 km from Igomelo'."/>
    <s v="T1, Tanzania, Njombe, 6.31 km from Igomelo"/>
    <n v="4"/>
  </r>
  <r>
    <n v="235"/>
    <x v="133"/>
    <d v="2026-02-19T16:00:46"/>
    <x v="18"/>
    <s v="MONDI STANSLAUS NDAKI"/>
    <s v="T742EBX: Harsh braking has been activated. At 19.02.2026 16:00:46 it moved with speed 61 km/h near 'Rn39, Lualaba, Democratic Republic of the Congo, Kabwe Dikuku (Sud)'."/>
    <s v="Rn39, Democratic Republic of the Congo, Lualaba, Kabwe Dikuku (Sud)"/>
    <n v="3"/>
  </r>
  <r>
    <n v="236"/>
    <x v="99"/>
    <d v="2026-02-19T19:06:41"/>
    <x v="18"/>
    <n v="0"/>
    <s v="T770DYR: Harsh braking has been activated. At 19.02.2026 19:06:41 it moved with speed 64 km/h near 'T1, Morogoro, Tanzania, Maseyu'."/>
    <s v="T1, Tanzania, Morogoro, Maseyu"/>
    <n v="4"/>
  </r>
  <r>
    <n v="237"/>
    <x v="49"/>
    <d v="2026-02-19T12:15:40"/>
    <x v="18"/>
    <s v="ABUBAKAR JUMA YUSUPH"/>
    <s v="T772DYR: Harsh braking has been activated. At 19.02.2026 12:15:40 it moved with speed 54 km/h near 'Iringa Road, Morogoro, Tanzania, 3.93 km from Kipera'."/>
    <s v="Iringa Road, Tanzania, Morogoro, 3.93 km from Kipera"/>
    <n v="4"/>
  </r>
  <r>
    <n v="238"/>
    <x v="132"/>
    <d v="2026-02-19T00:04:56"/>
    <x v="18"/>
    <s v="AMIRI TALIB SHEIN"/>
    <s v="T793DYR: Harsh braking has been activated. At 19.02.2026 00:04:56 it moved with speed 61 km/h near 'Mbala - Nakonde Road, Northern Province, Zambia, 12.98 km from Chilundumuzi'."/>
    <s v="Mbala - Nakonde Road, Zambia, Northern Province, 12.98 km from Chilundumuzi"/>
    <n v="3"/>
  </r>
  <r>
    <n v="239"/>
    <x v="23"/>
    <d v="2026-02-19T12:04:04"/>
    <x v="18"/>
    <s v="ABDULHAFIDH RADMAN ALLY"/>
    <s v="T862EBY: Harsh braking has been activated. At 19.02.2026 12:04:04 it moved with speed 52 km/h near 'Tanzania To Zambia Road, Iringa, Mufindi, Tanzania, 1.74 km from Sao-Hill Forest Plantation'."/>
    <s v="Tanzania To Zambia Road, Tanzania, Iringa, Mufindi, 1.74 km from Sao-Hill Forest Plantation"/>
    <n v="3"/>
  </r>
  <r>
    <n v="240"/>
    <x v="104"/>
    <d v="2026-02-19T10:07:30"/>
    <x v="18"/>
    <s v="HASSANI MABROUCK TUNZA"/>
    <s v="T932EBW: Harsh braking has been activated. At 19.02.2026 10:07:30 it moved with speed 55 km/h near 'Great North Road, Central Province, Zambia, 15.19 km from Muchinka'."/>
    <s v="Great North Road, Zambia, Central Province, 15.19 km from Muchinka"/>
    <n v="3"/>
  </r>
  <r>
    <n v="241"/>
    <x v="134"/>
    <d v="2026-02-19T08:31:49"/>
    <x v="18"/>
    <s v="OMARY SAID KITAMBO"/>
    <s v="T942DSX: Harsh braking has been activated. At 19.02.2026 08:31:49 it moved with speed 51 km/h near 'Great North Road, Muchinga Province, Zambia, 5.45 km from Chikwanda'."/>
    <s v="Great North Road, Zambia, Muchinga Province, 5.45 km from Chikwanda"/>
    <n v="4"/>
  </r>
  <r>
    <n v="242"/>
    <x v="46"/>
    <d v="2026-02-19T06:59:57"/>
    <x v="18"/>
    <s v="YUNUS ABDILLAH SULEIMAN"/>
    <s v="T950EBW: Harsh braking has been activated. At 19.02.2026 06:59:57 it moved with speed 54 km/h near 'Nelson Mandela Road, Dar Es Salaam, Chang'ombe, Tanzania'."/>
    <s v="Dar Es Salaam, Nelson Mandela Road, Tanzania, Chang'ombe"/>
    <n v="3"/>
  </r>
  <r>
    <n v="243"/>
    <x v="135"/>
    <d v="2026-02-19T17:01:46"/>
    <x v="18"/>
    <s v="RAJABU KONGO LADISLAUS"/>
    <s v="T993EBW: Harsh braking has been activated. At 19.02.2026 17:01:46 it moved with speed 51 km/h near 'Great North Road, Muchinga Province, Zambia, Kalonje'."/>
    <s v="Great North Road, Zambia, Muchinga Province, Kalonje"/>
    <n v="3"/>
  </r>
  <r>
    <n v="244"/>
    <x v="1"/>
    <d v="2026-02-20T07:11:28"/>
    <x v="19"/>
    <s v="ISAYA MSHUKURU MMBANDO"/>
    <s v="T271EBY: Harsh braking has been activated. At 20.02.2026 07:11:28 it moved with speed 58 km/h near 'T1, Morogoro, Tanzania, 2.26 km from Mikese'."/>
    <s v="T1, Tanzania, Morogoro, 2.26 km from Mikese"/>
    <n v="10"/>
  </r>
  <r>
    <n v="245"/>
    <x v="116"/>
    <d v="2026-02-20T11:54:50"/>
    <x v="19"/>
    <s v="OMAR RASHID CHIKUNJE"/>
    <s v="T524EBY: Harsh braking has been activated. At 20.02.2026 11:54:50 it moved with speed 58 km/h near 'Iringa Road, Lundamatwe, Iringa, Tanzania'."/>
    <s v="Lundamatwe, Iringa Road, Tanzania, Iringa"/>
    <n v="5"/>
  </r>
  <r>
    <n v="246"/>
    <x v="67"/>
    <d v="2026-02-20T08:53:55"/>
    <x v="19"/>
    <s v="MISTWAHI AMRI SAID"/>
    <s v="T589DYR: Harsh braking has been activated. At 20.02.2026 08:53:55 it moved with speed 58 km/h near 'Iringa Road, Iringa, Tanzania, Matassi'."/>
    <s v="Iringa Road, Tanzania, Iringa, Matassi"/>
    <n v="3"/>
  </r>
  <r>
    <n v="247"/>
    <x v="136"/>
    <d v="2026-02-20T08:46:07"/>
    <x v="19"/>
    <s v="AHMAD ABDULRRAHMAN AMIN"/>
    <s v="T702EBX: Harsh braking has been activated. At 20.02.2026 08:46:07 it moved with speed 58 km/h near 'Great North Road, Muchinga Province, Zambia, 19.48 km from Katibunga'."/>
    <s v="Great North Road, Zambia, Muchinga Province, 19.48 km from Katibunga"/>
    <n v="4"/>
  </r>
  <r>
    <n v="248"/>
    <x v="109"/>
    <d v="2026-02-20T15:01:14"/>
    <x v="19"/>
    <s v="CHRISTIAN NKWELA MAPUNDA"/>
    <s v="T728EBX: Harsh braking has been activated. At 20.02.2026 15:01:14 it moved with speed 62 km/h near 'Rn1, Haut-Katanga, Democratic Republic of the Congo, 1.44 km from Sakania'."/>
    <s v="Rn1, Democratic Republic of the Congo, Haut-Katanga, 1.44 km from Sakania"/>
    <n v="3"/>
  </r>
  <r>
    <n v="249"/>
    <x v="137"/>
    <d v="2026-02-20T09:48:03"/>
    <x v="19"/>
    <s v="KELNALDO MATHIS JUMA"/>
    <s v="T732EBX: Harsh braking has been activated. At 20.02.2026 09:48:03 it moved with speed 52 km/h near 'Great North Road, Muchinga Province, Zambia, 3.01 km from Rumbuka'."/>
    <s v="Great North Road, Zambia, Muchinga Province, 3.01 km from Rumbuka"/>
    <n v="3"/>
  </r>
  <r>
    <n v="250"/>
    <x v="138"/>
    <d v="2026-02-20T10:55:10"/>
    <x v="19"/>
    <s v="KHERI HASSAN MILANZI"/>
    <s v="T746DEB: Harsh braking has been activated. At 20.02.2026 10:55:10 it moved with speed 61 km/h near 'Iringa Road, Morogoro, Kilosa, Tanzania, 12.87 km from Msimba'."/>
    <s v="Iringa Road, Tanzania, Morogoro, Kilosa, 12.87 km from Msimba"/>
    <n v="3"/>
  </r>
  <r>
    <n v="251"/>
    <x v="132"/>
    <d v="2026-02-20T08:50:42"/>
    <x v="19"/>
    <s v="AMIRI TALIB SHEIN"/>
    <s v="T793DYR: Harsh braking has been activated. At 20.02.2026 08:50:42 it moved with speed 56 km/h near 'T1, Mbeya, Tanzania, 2.01 km from Mangere'."/>
    <s v="T1, Tanzania, Mbeya, 2.01 km from Mangere"/>
    <n v="3"/>
  </r>
  <r>
    <n v="252"/>
    <x v="73"/>
    <d v="2026-02-20T13:55:12"/>
    <x v="19"/>
    <s v="YUSUPH ZIAGA SANGA"/>
    <s v="T817EBW: Harsh braking has been activated. At 20.02.2026 13:55:12 it moved with speed 59 km/h near 'T1, Mbeya, Mbozi, Tanzania, 2.98 km from Vwawa'."/>
    <s v="T1, Tanzania, Mbeya, Mbozi, 2.98 km from Vwawa"/>
    <n v="12"/>
  </r>
  <r>
    <n v="253"/>
    <x v="139"/>
    <d v="2026-02-20T09:55:41"/>
    <x v="19"/>
    <s v="FREDRICK LAZARO KIMARO"/>
    <s v="T998EBW: Harsh braking has been activated. At 20.02.2026 09:55:41 it moved with speed 63 km/h near 'T1, Mbeya, Tanzania, 6.85 km from Igawa'."/>
    <s v="T1, Tanzania, Mbeya, 6.85 km from Igawa"/>
    <n v="3"/>
  </r>
  <r>
    <n v="254"/>
    <x v="140"/>
    <d v="2026-02-22T09:06:39"/>
    <x v="20"/>
    <s v="KITUNDA HUSSEIN KUDEBA"/>
    <s v="T689DEB: Harsh braking has been activated. At 22.02.2026 09:06:39 it moved with speed 54 km/h near 'Rn39, Lualaba, Democratic Republic of the Congo, 1.41 km from Kabwe Maradonna'."/>
    <s v="Rn39, Democratic Republic of the Congo, Lualaba, 1.41 km from Kabwe Maradonna"/>
    <n v="3"/>
  </r>
  <r>
    <n v="255"/>
    <x v="109"/>
    <d v="2026-02-22T12:15:20"/>
    <x v="20"/>
    <s v="CHRISTIAN NKWELA MAPUNDA"/>
    <s v="T728EBX: Harsh braking has been activated. At 22.02.2026 12:15:20 it moved with speed 55 km/h near 'Biayi Prolongée Avenue, Lubumbashi, Haut-Katanga, Democratic Republic of the Congo'."/>
    <s v="Lubumbashi, Biayi Prolongée Avenue, Democratic Republic of the Congo, Haut-Katanga"/>
    <n v="7"/>
  </r>
  <r>
    <n v="256"/>
    <x v="73"/>
    <d v="2026-02-22T06:38:52"/>
    <x v="20"/>
    <s v="YUSUPH ZIAGA SANGA"/>
    <s v="T817EBW: Harsh braking has been activated. At 22.02.2026 06:38:52 it moved with speed 66 km/h near 'T1, Morogoro, Tanzania, 2.52 km from Mkambarani'."/>
    <s v="T1, Tanzania, Morogoro, 2.52 km from Mkambarani"/>
    <n v="8"/>
  </r>
  <r>
    <n v="257"/>
    <x v="45"/>
    <d v="2026-02-22T11:38:17"/>
    <x v="20"/>
    <s v="HAMISI RAMADHANI SULTAN"/>
    <s v="T878EBY: Harsh braking has been activated. At 22.02.2026 11:38:17 it moved with speed 65 km/h near 'Iringa Road, Morogoro, Kilosa, Tanzania, 1.30 km from Msosa'."/>
    <s v="Iringa Road, Tanzania, Morogoro, Kilosa, 1.30 km from Msosa"/>
    <n v="4"/>
  </r>
  <r>
    <n v="258"/>
    <x v="89"/>
    <d v="2026-02-22T09:51:17"/>
    <x v="20"/>
    <s v="RAMADHAN RAHIBU SULEIMAN"/>
    <s v="T904EBW: Harsh braking has been activated. At 22.02.2026 09:51:17 it moved with speed 60 km/h near 'T1, Mbeya, Tanzania, 5.42 km from Igawa'."/>
    <s v="T1, Tanzania, Mbeya, 5.42 km from Igawa"/>
    <n v="3"/>
  </r>
  <r>
    <n v="259"/>
    <x v="70"/>
    <d v="2026-02-22T15:29:28"/>
    <x v="20"/>
    <s v="SHABANI HARUNA SEMENTA"/>
    <s v="T955EBW: Harsh braking has been activated. At 22.02.2026 15:29:28 it moved with speed 73 km/h near 'Great North Road, Muchinga Province, Zambia, 5.59 km from Mkasi'."/>
    <s v="Great North Road, Zambia, Muchinga Province, 5.59 km from Mkasi"/>
    <n v="11"/>
  </r>
  <r>
    <n v="260"/>
    <x v="12"/>
    <d v="2026-02-23T09:13:19"/>
    <x v="21"/>
    <s v="JUMA KOBA SAID"/>
    <s v="T329ECN: Harsh braking has been activated. At 23.02.2026 09:13:19 it moved with speed 54 km/h near 'Great North Road, Muchinga Province, Zambia, Kaloswe'."/>
    <s v="Great North Road, Zambia, Muchinga Province, Kaloswe"/>
    <n v="4"/>
  </r>
  <r>
    <n v="261"/>
    <x v="141"/>
    <d v="2026-02-23T08:15:05"/>
    <x v="21"/>
    <s v="NASSORO BUSHIRI MOHAMED"/>
    <s v="T493DYR: Harsh braking has been activated. At 23.02.2026 08:15:05 it moved with speed 54 km/h near 'Great North Road, Muchinga Province, Zambia, 1.63 km from Chinkumba'."/>
    <s v="Great North Road, Zambia, Muchinga Province, 1.63 km from Chinkumba"/>
    <n v="4"/>
  </r>
  <r>
    <n v="262"/>
    <x v="8"/>
    <d v="2026-02-23T12:16:54"/>
    <x v="21"/>
    <s v="GABRIEL SHIJA MAHONA"/>
    <s v="T494DYR: Harsh braking has been activated. At 23.02.2026 12:16:54 it moved with speed 66 km/h near 'Rn1, Haut-Katanga, Democratic Republic of the Congo, 15.16 km from Lwisha'."/>
    <s v="Rn1, Democratic Republic of the Congo, Haut-Katanga, 15.16 km from Lwisha"/>
    <n v="8"/>
  </r>
  <r>
    <n v="263"/>
    <x v="42"/>
    <d v="2026-02-23T09:01:53"/>
    <x v="21"/>
    <s v="OMARI ABEDI MOKA"/>
    <s v="T513EBY: Harsh braking has been activated. At 23.02.2026 09:01:53 it moved with speed 54 km/h near 'Iringa Road, Morogoro, Tanzania, 11.70 km from Morogoro'."/>
    <s v="Iringa Road, Tanzania, Morogoro, 11.70 km from Morogoro"/>
    <n v="3"/>
  </r>
  <r>
    <n v="264"/>
    <x v="78"/>
    <d v="2026-02-23T08:17:11"/>
    <x v="21"/>
    <s v="GASPER ELICHILIA KINYAHA"/>
    <s v="T528EBY: Harsh braking has been activated. At 23.02.2026 08:17:11 it moved with speed 59 km/h near 'T1, Njombe, Tanzania, Igando'."/>
    <s v="T1, Tanzania, Njombe, Igando"/>
    <n v="4"/>
  </r>
  <r>
    <n v="265"/>
    <x v="55"/>
    <d v="2026-02-23T15:45:29"/>
    <x v="21"/>
    <s v="MRISHO WAZIRI ALLY"/>
    <s v="T568DYR: Harsh braking has been activated. At 23.02.2026 15:45:29 it moved with speed 60 km/h near 'Rn1, Haut-Katanga, Democratic Republic of the Congo, 7.15 km from Kasumbalesa'."/>
    <s v="Rn1, Democratic Republic of the Congo, Haut-Katanga, 7.15 km from Kasumbalesa"/>
    <n v="4"/>
  </r>
  <r>
    <n v="266"/>
    <x v="96"/>
    <d v="2026-02-23T11:45:42"/>
    <x v="21"/>
    <s v="PASTOR GASPER MCHAU"/>
    <s v="T590DTQ: Harsh braking has been activated. At 23.02.2026 11:45:42 it moved with speed 55 km/h near 'Rn1, Haut-Katanga, Democratic Republic of the Congo, 30.41 km from Lubumbashi'."/>
    <s v="Rn1, Democratic Republic of the Congo, Haut-Katanga, 30.41 km from Lubumbashi"/>
    <n v="11"/>
  </r>
  <r>
    <n v="267"/>
    <x v="142"/>
    <d v="2026-02-23T10:07:53"/>
    <x v="21"/>
    <s v="MICHAEL CHEYO NKINGA"/>
    <s v="T696DEB: Harsh braking has been activated. At 23.02.2026 10:07:53 it moved with speed 57 km/h near 'Iringa Road, Morogoro, Kilosa, Tanzania, 13.62 km from Igagala'."/>
    <s v="Iringa Road, Tanzania, Morogoro, Kilosa, 13.62 km from Igagala"/>
    <n v="3"/>
  </r>
  <r>
    <n v="268"/>
    <x v="15"/>
    <d v="2026-02-23T11:02:48"/>
    <x v="21"/>
    <s v="KHALIDY MOHAMEDY KIDOMO"/>
    <s v="T724DYR: Harsh braking has been activated. At 23.02.2026 11:02:48 it moved with speed 62 km/h near 'Route De Likasi, Lubumbashi, Haut-Katanga, Democratic Republic of the Congo'."/>
    <s v="Lubumbashi, Route De Likasi, Democratic Republic of the Congo, Haut-Katanga"/>
    <n v="7"/>
  </r>
  <r>
    <n v="269"/>
    <x v="87"/>
    <d v="2026-02-23T16:58:41"/>
    <x v="21"/>
    <s v="JABU RASHIDI ISSA"/>
    <s v="T754DEB: Harsh braking has been activated. At 23.02.2026 16:58:41 it moved with speed 54 km/h near 'Iringa Road, Iringa, Tanzania, 3.50 km from Matassi'."/>
    <s v="Iringa Road, Tanzania, Iringa, 3.50 km from Matassi"/>
    <n v="9"/>
  </r>
  <r>
    <n v="270"/>
    <x v="89"/>
    <d v="2026-02-23T07:00:39"/>
    <x v="21"/>
    <s v="RAMADHAN RAHIBU SULEIMAN"/>
    <s v="T904EBW: Harsh braking has been activated. At 23.02.2026 07:00:39 it moved with speed 57 km/h near 'Iringa Road, Iringa, Tanzania, 1.19 km from Mahenge'."/>
    <s v="Iringa Road, Tanzania, Iringa, 1.19 km from Mahenge"/>
    <n v="14"/>
  </r>
  <r>
    <n v="271"/>
    <x v="24"/>
    <d v="2026-02-23T07:03:28"/>
    <x v="21"/>
    <s v="ALLY RASHID SAID"/>
    <s v="T905EBW: Harsh braking has been activated. At 23.02.2026 07:03:28 it moved with speed 63 km/h near 'Great North Road, Muchinga Province, Zambia, 5.73 km from Kamangu'."/>
    <s v="Great North Road, Zambia, Muchinga Province, 5.73 km from Kamangu"/>
    <n v="6"/>
  </r>
  <r>
    <n v="272"/>
    <x v="35"/>
    <d v="2026-02-23T10:22:53"/>
    <x v="21"/>
    <s v="ELIBAS EZEKIEL KITUNGWA"/>
    <s v="T907EBW: Harsh braking has been activated. At 23.02.2026 10:22:53 it moved with speed 69 km/h near 'Great North Road, Muchinga Province, Zambia, 3.04 km from Isoka'."/>
    <s v="Great North Road, Zambia, Muchinga Province, 3.04 km from Isoka"/>
    <n v="4"/>
  </r>
  <r>
    <n v="273"/>
    <x v="143"/>
    <d v="2026-02-23T13:47:48"/>
    <x v="21"/>
    <s v="ALPHONCE ADRIAN MAIGE"/>
    <s v="T933EBW: Harsh braking has been activated. At 23.02.2026 13:47:48 it moved with speed 53 km/h near 'Great North Road, Muchinga Province, Zambia, Chinunda'."/>
    <s v="Great North Road, Zambia, Muchinga Province, Chinunda"/>
    <n v="4"/>
  </r>
  <r>
    <n v="274"/>
    <x v="144"/>
    <d v="2026-02-23T08:06:00"/>
    <x v="21"/>
    <s v="ALLY MBARAKA ALLY"/>
    <s v="T934EBW: Harsh braking has been activated. At 23.02.2026 08:06:00 it moved with speed 53 km/h near 'Great North Road, Muchinga Province, Zambia, 13.21 km from Chifumbula'."/>
    <s v="Great North Road, Zambia, Muchinga Province, 13.21 km from Chifumbula"/>
    <n v="3"/>
  </r>
  <r>
    <n v="275"/>
    <x v="145"/>
    <d v="2026-02-24T14:59:41"/>
    <x v="22"/>
    <s v="JOSEPH PETRO JAMES"/>
    <s v="T233EBX: Harsh braking has been activated. At 24.02.2026 14:59:41 it moved with speed 67 km/h near 'T1, Morogoro, Kingolwira Ward, Morogoro Region, Tanzania'."/>
    <s v="Morogoro, T1, Tanzania, Kingolwira Ward, Morogoro Region"/>
    <n v="4"/>
  </r>
  <r>
    <n v="276"/>
    <x v="146"/>
    <d v="2026-02-24T15:36:34"/>
    <x v="22"/>
    <s v="STEVEN OCTAVIAN MILANZI"/>
    <s v="T375DHG: Harsh braking has been activated. At 24.02.2026 15:36:34 it moved with speed 73 km/h near 'Ndola - Kitwe Dual-Carriageway, Ndola, Copperbelt Province, Zambia'."/>
    <s v="Ndola, Ndola - Kitwe Dual-Carriageway, Zambia, Copperbelt Province"/>
    <n v="4"/>
  </r>
  <r>
    <n v="277"/>
    <x v="129"/>
    <d v="2026-02-24T08:26:42"/>
    <x v="22"/>
    <s v="ALLY RAMADHANI ZANDA"/>
    <s v="T499DYR: Harsh braking has been activated. At 24.02.2026 08:26:42 it moved with speed 54 km/h near 'T1, Njombe, Tanzania, 7.75 km from Nzivi'."/>
    <s v="Mafinga TC, T1, Tanzania, Sao Hill Ward, Iringa Region"/>
    <n v="3"/>
  </r>
  <r>
    <n v="278"/>
    <x v="87"/>
    <d v="2026-02-24T12:40:11"/>
    <x v="22"/>
    <s v="JABU RASHIDI ISSA"/>
    <s v="T754DEB: Harsh braking has been activated. At 24.02.2026 12:40:11 it moved with speed 68 km/h near 'Doma, Doma Ward, Mvomero DC, Morogoro Region, Tanzania'."/>
    <s v="Doma, Tanzania, Doma Ward, Mvomero DC, Morogoro Region"/>
    <n v="5"/>
  </r>
  <r>
    <n v="279"/>
    <x v="44"/>
    <d v="2026-02-24T07:29:53"/>
    <x v="22"/>
    <s v="ISSACK KONRADI KASIANO"/>
    <s v="T868EBW: Harsh braking has been activated. At 24.02.2026 07:29:53 it moved with speed 55 km/h near 'Great North Road, Muchinga Province, Zambia, 12.35 km from Mwezo'."/>
    <s v="Great North Road, Zambia, Muchinga Province, 12.35 km from Mwezo"/>
    <n v="8"/>
  </r>
  <r>
    <n v="280"/>
    <x v="35"/>
    <d v="2026-02-24T11:12:00"/>
    <x v="22"/>
    <s v="ELIBAS EZEKIEL KITUNGWA"/>
    <s v="T907EBW: Harsh braking has been activated. At 24.02.2026 11:12:00 it moved with speed 54 km/h near 'Great North Road, Central Province, Zambia, 11.79 km from Bwale'."/>
    <s v="Great North Road, Zambia, Central Province, 11.79 km from Bwale"/>
    <n v="3"/>
  </r>
  <r>
    <n v="281"/>
    <x v="147"/>
    <d v="2026-02-25T10:41:24"/>
    <x v="23"/>
    <s v="ALLY MARICK SEIF"/>
    <s v="T220EBX: Harsh braking has been activated. At 25.02.2026 10:41:24 it moved with speed 56 km/h near 'T3, Copperbelt Province, Zambia, 8.51 km from Tonde'."/>
    <s v="T3, Zambia, Copperbelt Province, 8.51 km from Tonde"/>
    <n v="3"/>
  </r>
  <r>
    <n v="282"/>
    <x v="51"/>
    <d v="2026-02-25T06:00:57"/>
    <x v="23"/>
    <s v="MOHAMEDI IDDI KULWA"/>
    <s v="T269EBX: Harsh braking has been activated. At 25.02.2026 06:00:57 it moved with speed 59 km/h near 'Msimba, Mikumi Ward, Kilosa DC, Morogoro Region, Tanzania'."/>
    <s v="Msimba, Tanzania, Mikumi Ward, Kilosa DC, Morogoro Region"/>
    <n v="3"/>
  </r>
  <r>
    <n v="283"/>
    <x v="5"/>
    <d v="2026-02-25T17:46:02"/>
    <x v="23"/>
    <s v="RAJABU MOHAMED MATUA"/>
    <s v="T407DHE: Harsh braking has been activated. At 25.02.2026 17:46:02 it moved with speed 52 km/h near 'Great North Road, Muchinga Province, Zambia, 4.68 km from Mukwikile'."/>
    <s v="Great North Road, Zambia, Muchinga Province, 4.68 km from Mukwikile"/>
    <n v="3"/>
  </r>
  <r>
    <n v="284"/>
    <x v="148"/>
    <d v="2026-02-25T13:08:44"/>
    <x v="23"/>
    <s v="MIKIDADI RASHIDI MGEZA"/>
    <s v="T600DTQ: Harsh braking has been activated. At 25.02.2026 13:08:44 it moved with speed 52 km/h near 'Rn39, Lualaba, Democratic Republic of the Congo, 2.93 km from Pumpi Route'."/>
    <s v="Rn39, Democratic Republic of the Congo, Lualaba, 2.93 km from Pumpi Route"/>
    <n v="4"/>
  </r>
  <r>
    <n v="285"/>
    <x v="149"/>
    <d v="2026-02-25T09:07:53"/>
    <x v="23"/>
    <s v="EMANUEL AGRICOLA MKENDA"/>
    <s v="T604DTQ: Harsh braking has been activated. At 25.02.2026 09:07:53 it moved with speed 52 km/h near 'Rn1, Haut-Katanga, Democratic Republic of the Congo, 4.05 km from Tshinsenda'."/>
    <s v="Rn1, Democratic Republic of the Congo, Haut-Katanga, 4.05 km from Tshinsenda"/>
    <n v="5"/>
  </r>
  <r>
    <n v="286"/>
    <x v="140"/>
    <d v="2026-02-25T09:30:09"/>
    <x v="23"/>
    <s v="KITUNDA HUSSEIN KUDEBA"/>
    <s v="T689DEB: Harsh braking has been activated. At 25.02.2026 09:30:09 it moved with speed 58 km/h near 'M3, Northern Province, Zambia, 1.26 km from Shikasenge'."/>
    <s v="M3, Zambia, Northern Province, 1.26 km from Shikasenge"/>
    <n v="3"/>
  </r>
  <r>
    <n v="287"/>
    <x v="44"/>
    <d v="2026-02-25T08:25:37"/>
    <x v="23"/>
    <s v="ISSACK KONRADI KASIANO"/>
    <s v="T868EBW: Harsh braking has been activated. At 25.02.2026 08:25:37 it moved with speed 52 km/h near 'Great North Road, Muchinga Province, Zambia, 1.14 km from Chinunda'."/>
    <s v="Great North Road, Zambia, Muchinga Province, 1.14 km from Chinunda"/>
    <n v="9"/>
  </r>
  <r>
    <n v="288"/>
    <x v="150"/>
    <d v="2026-02-25T07:20:20"/>
    <x v="23"/>
    <s v="TWAHIR RASHID MSAKA"/>
    <s v="T890EBW: Harsh braking has been activated. At 25.02.2026 07:20:20 it moved with speed 55 km/h near 'Great North Road, Central Province, Zambia, 9.67 km from Chifwefwe B'."/>
    <s v="Great North Road, Zambia, Central Province, 9.67 km from Chifwefwe B"/>
    <n v="6"/>
  </r>
  <r>
    <n v="289"/>
    <x v="35"/>
    <d v="2026-02-25T11:50:05"/>
    <x v="23"/>
    <s v="ELIBAS EZEKIEL KITUNGWA"/>
    <s v="T907EBW: Harsh braking has been activated. At 25.02.2026 11:50:05 it moved with speed 60 km/h near 'Ndola - Kitwe Dual-Carriageway, Copperbelt Province, Zambia, Ndola'."/>
    <s v="Ndola - Kitwe Dual-Carriageway, Zambia, Copperbelt Province, Ndola"/>
    <n v="3"/>
  </r>
  <r>
    <n v="290"/>
    <x v="151"/>
    <d v="2026-02-25T10:33:26"/>
    <x v="23"/>
    <s v="APOLO PETER MSIGWA"/>
    <s v="T945EBW: Harsh braking has been activated. At 25.02.2026 10:33:26 it moved with speed 57 km/h near 'Great North Road, Central Province, Zambia, 17.10 km from Muchinka'."/>
    <s v="Great North Road, Zambia, Central Province, 17.10 km from Muchinka"/>
    <n v="5"/>
  </r>
  <r>
    <n v="291"/>
    <x v="152"/>
    <d v="2026-02-26T07:23:34"/>
    <x v="24"/>
    <s v="ABDUL NASSORO SELEMANI"/>
    <s v="T259EBX: Harsh braking has been activated. At 26.02.2026 07:23:34 it moved with speed 54 km/h near 'Great North Road, Muchinga Province, Zambia, Kalonje'."/>
    <s v="Great North Road, Zambia, Muchinga Province, Kalonje"/>
    <n v="3"/>
  </r>
  <r>
    <n v="292"/>
    <x v="28"/>
    <d v="2026-02-26T12:55:09"/>
    <x v="24"/>
    <s v="HAMADI RASHID DOWILE"/>
    <s v="T392ECN: Harsh braking has been activated. At 26.02.2026 12:55:09 it moved with speed 60 km/h near 'Great North Road, Muchinga Province, Zambia, Chifumbula'."/>
    <s v="Great North Road, Zambia, Muchinga Province, Chifumbula"/>
    <n v="3"/>
  </r>
  <r>
    <n v="293"/>
    <x v="5"/>
    <d v="2026-02-26T10:19:36"/>
    <x v="24"/>
    <s v="RAJABU MOHAMED MATUA"/>
    <s v="T407DHE: Harsh braking has been activated. At 26.02.2026 10:19:36 it moved with speed 56 km/h near 'Great North Road, Central Province, Zambia, 5.70 km from Godfrey Kunda'."/>
    <s v="Great North Road, Zambia, Central Province, 5.70 km from Godfrey Kunda"/>
    <n v="3"/>
  </r>
  <r>
    <n v="294"/>
    <x v="153"/>
    <d v="2026-02-26T08:55:15"/>
    <x v="24"/>
    <s v="HASSAN MZEE BOHERO"/>
    <s v="T514EBY: Harsh braking has been activated. At 26.02.2026 08:55:15 it moved with speed 58 km/h near 'Great North Road, Muchinga Province, Zambia, 9.04 km from Mwezo'."/>
    <s v="Great North Road, Zambia, Muchinga Province, 9.04 km from Mwezo"/>
    <n v="3"/>
  </r>
  <r>
    <n v="295"/>
    <x v="154"/>
    <d v="2026-02-26T12:37:41"/>
    <x v="24"/>
    <s v="KELVIN JOSEPH MWAMI"/>
    <s v="T517EBY: Harsh braking has been activated. At 26.02.2026 12:37:41 it moved with speed 51 km/h near 'Great North Road, Central Province, Zambia, 16.64 km from Chitiwa'."/>
    <s v="Great North Road, Zambia, Central Province, 16.64 km from Chitiwa"/>
    <n v="10"/>
  </r>
  <r>
    <n v="296"/>
    <x v="88"/>
    <d v="2026-02-26T10:15:20"/>
    <x v="24"/>
    <s v="STEPHANO ABINELI ULOMI"/>
    <s v="T873EBY: Harsh braking has been activated. At 26.02.2026 10:15:20 it moved with speed 54 km/h near 'Nyerere Road, Dar es Salaam, Kiwalani Ward, Ilala, Dar es Salaam Region, Tanzania'."/>
    <s v="Dar es Salaam, Nyerere Road, Tanzania, Kiwalani Ward, Ilala, Dar es Salaam Region"/>
    <n v="3"/>
  </r>
  <r>
    <n v="297"/>
    <x v="155"/>
    <d v="2026-02-26T08:22:01"/>
    <x v="24"/>
    <s v="BOSCO BONIFACE KOMBA"/>
    <s v="T912EBW: Harsh braking has been activated. At 26.02.2026 08:22:01 it moved with speed 60 km/h near 'Great North Road, Muchinga Province, Zambia, 8.79 km from Godfrey Kunda'."/>
    <s v="Great North Road, Zambia, Muchinga Province, 8.79 km from Godfrey Kunda"/>
    <n v="3"/>
  </r>
  <r>
    <n v="298"/>
    <x v="154"/>
    <d v="2026-02-27T12:40:11"/>
    <x v="25"/>
    <s v="KELVIN JOSEPH MWAMI"/>
    <s v="T517EBY: Harsh braking has been activated. At 27.02.2026 12:40:11 it moved with speed 63 km/h near 'Great North Road, Muchinga Province, Zambia, 5.43 km from Chisoso'."/>
    <s v="Great North Road, Zambia, Muchinga Province, 5.43 km from Chisoso"/>
    <n v="6"/>
  </r>
  <r>
    <n v="299"/>
    <x v="55"/>
    <d v="2026-02-27T09:48:49"/>
    <x v="25"/>
    <s v="MRISHO WAZIRI ALLY"/>
    <s v="T568DYR: Harsh braking has been activated. At 27.02.2026 09:48:49 it moved with speed 53 km/h near 'T3, Copperbelt Province, Zambia, 18.27 km from Tonde'."/>
    <s v="T3, Zambia, Copperbelt Province, 18.27 km from Tonde"/>
    <n v="8"/>
  </r>
  <r>
    <n v="300"/>
    <x v="156"/>
    <d v="2026-02-27T11:51:35"/>
    <x v="25"/>
    <s v="MATHIAS ISDORY MGOMBE"/>
    <s v="T586DYR: Harsh braking has been activated. At 27.02.2026 11:51:35 it moved with speed 54 km/h near 'Rn1, Haut-Katanga, Democratic Republic of the Congo, 17.60 km from Lwisha'."/>
    <s v="Rn1, Democratic Republic of the Congo, Haut-Katanga, 17.60 km from Lwisha"/>
    <n v="3"/>
  </r>
  <r>
    <n v="301"/>
    <x v="157"/>
    <d v="2026-02-27T18:43:54"/>
    <x v="25"/>
    <s v="DAUDI ISSA NJUMITE"/>
    <s v="T638DHL: Harsh braking has been activated. At 27.02.2026 18:43:54 it moved with speed 51 km/h near 'Great North Road, Muchinga Province, Zambia, 5.17 km from Kalonje'."/>
    <s v="Great North Road, Zambia, Muchinga Province, 5.17 km from Kalonje"/>
    <n v="4"/>
  </r>
  <r>
    <n v="302"/>
    <x v="158"/>
    <d v="2026-02-27T11:43:01"/>
    <x v="25"/>
    <s v="ZUBERI HATIBU MJAHIDI"/>
    <s v="T768EBW: Harsh braking has been activated. At 27.02.2026 11:43:01 it moved with speed 54 km/h near 'Great North Road, Central Province, Zambia, 5.40 km from Manjolo'."/>
    <s v="Great North Road, Zambia, Central Province, 5.40 km from Manjolo"/>
    <n v="6"/>
  </r>
  <r>
    <n v="303"/>
    <x v="57"/>
    <d v="2026-02-27T07:29:58"/>
    <x v="25"/>
    <s v="ABDALLAH BAKARI ABDALLAH"/>
    <s v="T793EBW: Harsh braking has been activated. At 27.02.2026 07:29:58 it moved with speed 57 km/h near 'T3, Ndola, Copperbelt Province, Zambia'."/>
    <s v="Ndola, T3, Zambia, Copperbelt Province"/>
    <n v="3"/>
  </r>
  <r>
    <n v="304"/>
    <x v="159"/>
    <d v="2026-02-28T08:49:09"/>
    <x v="26"/>
    <s v="ISMAIL NASSORO SAID"/>
    <s v="T425DHG: Harsh braking has been activated. At 28.02.2026 08:49:09 it moved with speed 53 km/h near 'T3, Copperbelt Province, Zambia, 52.98 km from Ndola'."/>
    <s v="T3, Zambia, Copperbelt Province, 52.98 km from Ndola"/>
    <n v="5"/>
  </r>
  <r>
    <n v="305"/>
    <x v="160"/>
    <d v="2026-02-28T13:48:58"/>
    <x v="26"/>
    <s v="OTHUMAN SALUM MSIKA"/>
    <s v="T435DHG: Harsh braking has been activated. At 28.02.2026 13:48:58 it moved with speed 55 km/h near 'Ipolo, Utengule Usangu Ward, Mbarali DC, Mbeya Region, Tanzania'."/>
    <s v="Ipolo, Tanzania, Utengule Usangu Ward, Mbarali DC, Mbeya Region"/>
    <n v="3"/>
  </r>
  <r>
    <n v="306"/>
    <x v="161"/>
    <d v="2026-02-28T13:24:00"/>
    <x v="26"/>
    <s v="MOHAMED SELEMANI LUZUA"/>
    <s v="T511EBY: Harsh braking has been activated. At 28.02.2026 13:24:00 it moved with speed 62 km/h near 'Rn1, Haut-Katanga, Democratic Republic of the Congo, 2.09 km from Dikula'."/>
    <s v="Rn1, Democratic Republic of the Congo, Haut-Katanga, 2.09 km from Dikula"/>
    <n v="3"/>
  </r>
  <r>
    <n v="307"/>
    <x v="74"/>
    <d v="2026-02-28T06:42:05"/>
    <x v="26"/>
    <s v="MADENGE SALUM SHOMARI"/>
    <s v="T892EBW: Harsh braking has been activated. At 28.02.2026 06:42:05 it moved with speed 65 km/h near 'Wenda, Mseke Ward, Iringa DC, Iringa Region, Tanzania'."/>
    <s v="Wenda, Tanzania, Mseke Ward, Iringa DC, Iringa Region"/>
    <n v="6"/>
  </r>
  <r>
    <n v="308"/>
    <x v="36"/>
    <d v="2026-02-28T07:34:15"/>
    <x v="26"/>
    <s v="GODFREY FRANK MBOJA"/>
    <s v="T915EBW: Harsh braking has been activated. At 28.02.2026 07:34:15 it moved with speed 63 km/h near 'Rn39, Lualaba, Democratic Republic of the Congo, 1.34 km from Kampulu'."/>
    <s v="Rn39, Democratic Republic of the Congo, Lualaba, 1.34 km from Kampulu"/>
    <n v="4"/>
  </r>
  <r>
    <n v="309"/>
    <x v="69"/>
    <d v="2026-02-28T13:32:02"/>
    <x v="26"/>
    <s v="OMARI ATHUMANI SELEMANI"/>
    <s v="T930EBW: Harsh braking has been activated. At 28.02.2026 13:32:02 it moved with speed 56 km/h near 'Kidayi 'A', Malolo Ward, Kilosa DC, Morogoro Region, Tanzania'."/>
    <s v="Kidayi 'A', Tanzania, Malolo Ward, Kilosa DC, Morogoro Region"/>
    <n v="3"/>
  </r>
  <r>
    <n v="310"/>
    <x v="162"/>
    <d v="2026-02-28T10:06:39"/>
    <x v="26"/>
    <s v="SAMSONI JOSEPH USEGA"/>
    <s v="T952DSX: Harsh braking has been activated. At 28.02.2026 10:06:39 it moved with speed 62 km/h near 'Great North Road, Muchinga Province, Zambia, 10.01 km from Isoka'."/>
    <s v="Great North Road, Zambia, Muchinga Province, 10.01 km from Isoka"/>
    <n v="4"/>
  </r>
</pivotCacheRecords>
</file>

<file path=xl/pivotCache/pivotCacheRecords3.xml><?xml version="1.0" encoding="utf-8"?>
<pivotCacheRecords xmlns="http://schemas.openxmlformats.org/spreadsheetml/2006/main" count="310">
  <r>
    <n v="1"/>
    <x v="0"/>
    <d v="2026-02-01T11:48:04"/>
    <x v="0"/>
    <s v="OMAR SWALEH CHANINGA"/>
    <s v="T127EBX: Harsh braking has been activated. At 01.02.2026 11:48:04 it moved with speed 55 km/h near 'Great North Road, Muchinga Province, Zambia, 7.84 km from Chinunda'."/>
    <s v="Great North Road, Zambia, Muchinga Province, 7.84 km from Chinunda"/>
    <n v="3"/>
  </r>
  <r>
    <n v="2"/>
    <x v="1"/>
    <d v="2026-02-01T17:02:24"/>
    <x v="0"/>
    <s v="ISAYA MSHUKURU MMBANDO"/>
    <s v="T271EBY: Harsh braking has been activated. At 01.02.2026 17:02:24 it moved with speed 66 km/h near 'Rn1, Haut-Katanga, Democratic Republic of the Congo, 11.59 km from Sumbilili'."/>
    <s v="Rn1, Democratic Republic of the Congo, Haut-Katanga, 11.59 km from Sumbilili"/>
    <n v="3"/>
  </r>
  <r>
    <n v="3"/>
    <x v="2"/>
    <d v="2026-02-01T06:36:58"/>
    <x v="0"/>
    <s v="SAID RAJABU RAJABU"/>
    <s v="T282EBY: Harsh braking has been activated. At 01.02.2026 06:36:58 it moved with speed 54 km/h near 'Iringa Road, Lundamatwe, Iringa, Tanzania'."/>
    <s v="Lundamatwe, Iringa Road, Tanzania, Iringa"/>
    <n v="4"/>
  </r>
  <r>
    <n v="4"/>
    <x v="3"/>
    <d v="2026-02-01T13:23:51"/>
    <x v="0"/>
    <s v="YUSUFU  SAMSON NICODEMUS"/>
    <s v="T331EBX: Harsh braking has been activated. At 01.02.2026 13:23:51 it moved with speed 52 km/h near 'T1, Mswiswi, Mbeya, Tanzania'."/>
    <s v="Mswiswi, T1, Tanzania, Mbeya"/>
    <n v="3"/>
  </r>
  <r>
    <n v="5"/>
    <x v="4"/>
    <d v="2026-02-01T09:26:45"/>
    <x v="0"/>
    <s v="JAMES JOSEPH NJAU"/>
    <s v="T341EBX: Harsh braking has been activated. At 01.02.2026 09:26:45 it moved with speed 51 km/h near 'Tanzania To Zambia Road, Iringa, Mufindi, Tanzania, 2.46 km from Ihemi'."/>
    <s v="Tanzania To Zambia Road, Tanzania, Iringa, Mufindi, 2.46 km from Ihemi"/>
    <n v="4"/>
  </r>
  <r>
    <n v="6"/>
    <x v="5"/>
    <d v="2026-02-01T12:34:53"/>
    <x v="0"/>
    <s v="RAJABU MOHAMED MATUA"/>
    <s v="T407DHE: Harsh braking has been activated. At 01.02.2026 12:34:53 it moved with speed 56 km/h near 'Iringa Road, Morogoro, Kilosa, Tanzania, 2.90 km from Kidayi 'B''."/>
    <s v="Iringa Road, Tanzania, Morogoro, Kilosa, 2.90 km from Kidayi 'B'"/>
    <n v="11"/>
  </r>
  <r>
    <n v="7"/>
    <x v="6"/>
    <d v="2026-02-01T12:45:14"/>
    <x v="0"/>
    <s v="BASHIRU ABDALLA HUSSEIN"/>
    <s v="T413DHG: Harsh braking has been activated. At 01.02.2026 12:45:14 it moved with speed 58 km/h near 'Great North Road, Central Province, Zambia, 2.83 km from Chifwefwe B'."/>
    <s v="Great North Road, Zambia, Central Province, 2.83 km from Chifwefwe B"/>
    <n v="6"/>
  </r>
  <r>
    <n v="8"/>
    <x v="7"/>
    <d v="2026-02-01T09:20:37"/>
    <x v="0"/>
    <s v="RAMADHANI SHABANI WAGAMOYO"/>
    <s v="T482DYR: Harsh braking has been activated. At 01.02.2026 09:20:37 it moved with speed 55 km/h near 'M3, Northern Province, Zambia, 11.39 km from Makungwe'."/>
    <s v="M3, Zambia, Northern Province, 11.39 km from Makungwe"/>
    <n v="3"/>
  </r>
  <r>
    <n v="9"/>
    <x v="8"/>
    <d v="2026-02-01T14:26:44"/>
    <x v="0"/>
    <s v="GABRIEL SHIJA MAHONA"/>
    <s v="T494DYR: Harsh braking has been activated. At 01.02.2026 14:26:44 it moved with speed 63 km/h near 'T1, Njombe, Tanzania, 10.30 km from Sao-Hill Forest Plantation'."/>
    <s v="T1, Tanzania, Njombe, 10.30 km from Sao-Hill Forest Plantation"/>
    <n v="5"/>
  </r>
  <r>
    <n v="10"/>
    <x v="9"/>
    <d v="2026-02-01T13:09:19"/>
    <x v="0"/>
    <s v="RAMADHANI MBEZI OMARY"/>
    <s v="T634DHL: Harsh braking has been activated. At 01.02.2026 13:09:19 it moved with speed 65 km/h near 'Route De Lubumbashi, Haut-Katanga, Democratic Republic of the Congo, 2.29 km from Kapulwa'."/>
    <s v="Route De Lubumbashi, Democratic Republic of the Congo, Haut-Katanga, 2.29 km from Kapulwa"/>
    <n v="3"/>
  </r>
  <r>
    <n v="11"/>
    <x v="10"/>
    <d v="2026-02-01T09:00:59"/>
    <x v="0"/>
    <s v="RAJABU HUSSEIN AHMAD"/>
    <s v="T712DYR: Harsh braking has been activated. At 01.02.2026 09:00:59 it moved with speed 52 km/h near 'T1, Mswiswi, Mbeya, Tanzania'."/>
    <s v="Mswiswi, T1, Tanzania, Mbeya"/>
    <n v="4"/>
  </r>
  <r>
    <n v="12"/>
    <x v="11"/>
    <d v="2026-02-02T11:33:39"/>
    <x v="1"/>
    <s v="FRANCIS ERNEST KIBULA"/>
    <s v="T250EBX: Harsh braking has been activated. At 02.02.2026 11:33:39 it moved with speed 68 km/h near 'Iringa Road, Iringa, Tanzania, Mtandika 'B''."/>
    <s v="Iringa Road, Tanzania, Iringa, Mtandika 'B'"/>
    <n v="27"/>
  </r>
  <r>
    <n v="13"/>
    <x v="12"/>
    <d v="2026-02-02T13:35:40"/>
    <x v="1"/>
    <s v="JUMA KOBA SAID"/>
    <s v="T329ECN: Harsh braking has been activated. At 02.02.2026 13:35:40 it moved with speed 59 km/h near 'T3, Copperbelt Province, Zambia, 12.39 km from Ndola'."/>
    <s v="T3, Zambia, Copperbelt Province, 12.39 km from Ndola"/>
    <n v="3"/>
  </r>
  <r>
    <n v="14"/>
    <x v="3"/>
    <d v="2026-02-02T09:29:56"/>
    <x v="1"/>
    <s v="YUSUFU  SAMSON NICODEMUS"/>
    <s v="T331EBX: Harsh braking has been activated. At 02.02.2026 09:29:56 it moved with speed 51 km/h near 'Iringa Road, Lundamatwe, Iringa, Tanzania'."/>
    <s v="Lundamatwe, Iringa Road, Tanzania, Iringa"/>
    <n v="4"/>
  </r>
  <r>
    <n v="15"/>
    <x v="13"/>
    <d v="2026-02-02T14:41:53"/>
    <x v="1"/>
    <s v="CHARLES LONGIN MASESA"/>
    <s v="T385ECN: Harsh braking has been activated. At 02.02.2026 14:41:53 it moved with speed 51 km/h near 'T3, Copperbelt Province, Zambia, 23.12 km from Pukota'."/>
    <s v="T3, Zambia, Copperbelt Province, 23.12 km from Pukota"/>
    <n v="3"/>
  </r>
  <r>
    <n v="16"/>
    <x v="14"/>
    <d v="2026-02-02T07:47:42"/>
    <x v="1"/>
    <s v="FRENK PETER SIMBEYE"/>
    <s v="T512DTR: Harsh braking has been activated. At 02.02.2026 07:47:42 it moved with speed 52 km/h near 'T1, Njombe, Makete, Tanzania, 3.98 km from Mabadaga'."/>
    <s v="T1, Tanzania, Njombe, Makete, 3.98 km from Mabadaga"/>
    <n v="3"/>
  </r>
  <r>
    <n v="17"/>
    <x v="15"/>
    <d v="2026-02-02T08:02:35"/>
    <x v="1"/>
    <s v="KHALIDY MOHAMEDY KIDOMO"/>
    <s v="T724DYR: Harsh braking has been activated. At 02.02.2026 08:02:35 it moved with speed 65 km/h near 'Great North Road, Central Province, Zambia, 9.81 km from Chitiwa'."/>
    <s v="Great North Road, Zambia, Central Province, 9.81 km from Chitiwa"/>
    <n v="4"/>
  </r>
  <r>
    <n v="18"/>
    <x v="16"/>
    <d v="2026-02-02T06:20:27"/>
    <x v="1"/>
    <s v="ELIA JUMA NZOWA"/>
    <s v="T728DYR: Harsh braking has been activated. At 02.02.2026 06:20:27 it moved with speed 70 km/h near 'T1, Njombe, Tanzania, Maguvani'."/>
    <s v="T1, Tanzania, Njombe, Maguvani"/>
    <n v="31"/>
  </r>
  <r>
    <n v="19"/>
    <x v="17"/>
    <d v="2026-02-02T09:53:00"/>
    <x v="1"/>
    <s v="MAKERE GACHUMA MAKERE"/>
    <s v="T774EBW: Harsh braking has been activated. At 02.02.2026 09:53:00 it moved with speed 63 km/h near 'Great North Road, Muchinga Province, Zambia, 18.58 km from Katibunga'."/>
    <s v="Great North Road, Zambia, Muchinga Province, 18.58 km from Katibunga"/>
    <n v="3"/>
  </r>
  <r>
    <n v="20"/>
    <x v="18"/>
    <d v="2026-02-03T11:58:49"/>
    <x v="2"/>
    <s v="GODFREY JOHN ANTHONY KUNDI"/>
    <s v="T107EBX: Harsh braking has been activated. At 03.02.2026 11:58:49 it moved with speed 56 km/h near 'Great North Road, Central Province, Zambia, 3.45 km from Kanona'."/>
    <s v="Great North Road, Zambia, Central Province, 3.45 km from Kanona"/>
    <n v="4"/>
  </r>
  <r>
    <n v="21"/>
    <x v="19"/>
    <d v="2026-02-03T08:06:44"/>
    <x v="2"/>
    <s v="ISAYA JOHN MSENA"/>
    <m/>
    <s v="Great North Road, Zambia, Central Province, 11.27 km from Kanona"/>
    <n v="4"/>
  </r>
  <r>
    <n v="22"/>
    <x v="20"/>
    <d v="2026-02-03T08:42:03"/>
    <x v="2"/>
    <s v="ELIAH YUSUPH MPANGO"/>
    <s v="T191EBX: Harsh braking has been activated. At 03.02.2026 08:06:44 it moved with speed 60 km/h near 'Great North Road, Central Province, Zambia, 11.27 km from Kanona'."/>
    <s v="Iringa Road, Tanzania, Morogoro, Kilosa, 2.06 km from Mikumi"/>
    <n v="5"/>
  </r>
  <r>
    <n v="23"/>
    <x v="12"/>
    <d v="2026-02-03T08:59:41"/>
    <x v="2"/>
    <s v="JUMA KOBA SAID"/>
    <s v="T329ECN: Harsh braking has been activated. At 03.02.2026 08:59:41 it moved with speed 53 km/h near 'Great North Road, Muchinga Province, Zambia, 7.88 km from Chinunda'."/>
    <s v="Great North Road, Zambia, Muchinga Province, 7.88 km from Chinunda"/>
    <n v="5"/>
  </r>
  <r>
    <n v="24"/>
    <x v="13"/>
    <d v="2026-02-03T07:32:27"/>
    <x v="2"/>
    <s v="CHARLES LONGIN MASESA"/>
    <s v="T329ECN: Harsh braking has been activated. At 03.02.2026 08:59:41 it moved with speed 53 km/h near 'Great North Road, Muchinga Province, Zambia, 7.88 km from Chinunda'."/>
    <s v="Great North Road, Zambia, Central Province, 11.79 km from Kanona"/>
    <n v="3"/>
  </r>
  <r>
    <n v="25"/>
    <x v="21"/>
    <d v="2026-02-03T06:23:26"/>
    <x v="2"/>
    <s v="ISMAIL KISANDU RUBASHA"/>
    <s v="T572DYR: Harsh braking has been activated. At 03.02.2026 06:23:26 it moved with speed 61 km/h near 'Iringa Road, Morogoro, Kilosa, Tanzania, Kidayi 'B''."/>
    <s v="Iringa Road, Tanzania, Morogoro, Kilosa, Kidayi 'B'"/>
    <n v="3"/>
  </r>
  <r>
    <n v="26"/>
    <x v="16"/>
    <d v="2026-02-03T06:32:10"/>
    <x v="2"/>
    <s v="ELIA JUMA NZOWA"/>
    <s v="T728DYR: Harsh braking has been activated. At 03.02.2026 06:32:10 it moved with speed 60 km/h near 'T1, Pwani, Bagamoyo, Tanzania, Msolwa'."/>
    <s v="T1, Tanzania, Pwani, Bagamoyo, Msolwa"/>
    <n v="4"/>
  </r>
  <r>
    <n v="27"/>
    <x v="22"/>
    <d v="2026-02-03T11:37:55"/>
    <x v="2"/>
    <s v="OMARY SAID MTAJI"/>
    <s v="T861EBY: Harsh braking has been activated. At 03.02.2026 11:37:55 it moved with speed 53 km/h near 'Morogoro Main Road, Pwani, Kibaha, Tanzania, Ruvu Darajani'."/>
    <s v="Morogoro Main Road, Tanzania, Pwani, Kibaha, Ruvu Darajani"/>
    <n v="4"/>
  </r>
  <r>
    <n v="28"/>
    <x v="23"/>
    <d v="2026-02-03T07:35:58"/>
    <x v="2"/>
    <s v="ABDULHAFIDH RADMAN ALLY"/>
    <s v="T862EBY: Harsh braking has been activated. At 03.02.2026 07:35:58 it moved with speed 58 km/h near 'Great North Road, Central Province, Zambia, 13.65 km from Kanona'."/>
    <s v="Great North Road, Zambia, Central Province, 13.65 km from Kanona"/>
    <n v="3"/>
  </r>
  <r>
    <n v="29"/>
    <x v="24"/>
    <d v="2026-02-03T10:09:11"/>
    <x v="2"/>
    <s v="ALLY RASHID SAID"/>
    <s v="T862EBY: Harsh braking has been activated. At 03.02.2026 07:35:58 it moved with speed 58 km/h near 'Great North Road, Central Province, Zambia, 13.65 km from Kanona'."/>
    <s v="Great North Road, Zambia, Central Province, 17.50 km from Ndabala"/>
    <n v="4"/>
  </r>
  <r>
    <n v="30"/>
    <x v="25"/>
    <d v="2026-02-03T12:18:09"/>
    <x v="2"/>
    <s v="SALIMU SAIDI KIANDIKO"/>
    <s v="T862EBY: Harsh braking has been activated. At 03.02.2026 07:35:58 it moved with speed 58 km/h near 'Great North Road, Central Province, Zambia, 13.65 km from Kanona'."/>
    <s v="Great North Road, Zambia, Central Province, 13.38 km from Muchinka"/>
    <n v="3"/>
  </r>
  <r>
    <n v="31"/>
    <x v="26"/>
    <d v="2026-02-04T07:27:23"/>
    <x v="3"/>
    <s v="BAHATI ATHUMANI MDOE"/>
    <s v="T153EBX: Harsh braking has been activated. At 04.02.2026 07:27:23 it moved with speed 57 km/h near 'Great North Road, Muchinga Province, Zambia, 8.67 km from Mwezo'."/>
    <s v="Great North Road, Zambia, Muchinga Province, 8.67 km from Mwezo"/>
    <n v="4"/>
  </r>
  <r>
    <n v="32"/>
    <x v="27"/>
    <d v="2026-02-04T06:16:25"/>
    <x v="3"/>
    <s v="BAKARI MOHAMEDI SAIDI"/>
    <s v="T263EBX: Harsh braking has been activated. At 04.02.2026 06:16:25 it moved with speed 62 km/h near 'Great North Road, Central Province, Zambia, 12.06 km from Muchinka'."/>
    <s v="Great North Road, Zambia, Central Province, 12.06 km from Muchinka"/>
    <n v="4"/>
  </r>
  <r>
    <n v="33"/>
    <x v="1"/>
    <d v="2026-02-04T07:49:55"/>
    <x v="3"/>
    <s v="ISAYA MSHUKURU MMBANDO"/>
    <s v="T271EBY: Harsh braking has been activated. At 04.02.2026 07:49:55 it moved with speed 52 km/h near 'T3, Copperbelt Province, Zambia, Ndola'."/>
    <s v="T3, Zambia, Copperbelt Province, Ndola"/>
    <n v="3"/>
  </r>
  <r>
    <n v="34"/>
    <x v="28"/>
    <d v="2026-02-04T09:17:10"/>
    <x v="3"/>
    <s v="HAMADI RASHID DOWILE"/>
    <s v="T392ECN: Harsh braking has been activated. At 04.02.2026 09:17:10 it moved with speed 56 km/h near 'T3, Copperbelt Province, Zambia, 30.60 km from Ndola'."/>
    <s v="T3, Zambia, Copperbelt Province, 30.60 km from Ndola"/>
    <n v="3"/>
  </r>
  <r>
    <n v="35"/>
    <x v="7"/>
    <d v="2026-02-04T06:19:55"/>
    <x v="3"/>
    <s v="RAMADHANI SHABANI WAGAMOYO"/>
    <s v="T482DYR: Harsh braking has been activated. At 04.02.2026 06:19:55 it moved with speed 63 km/h near 'Tanzania To Zambia Road, Iringa, Mufindi, Tanzania, Kinyanambo'."/>
    <s v="Tanzania To Zambia Road, Tanzania, Iringa, Mufindi, Kinyanambo"/>
    <n v="4"/>
  </r>
  <r>
    <n v="36"/>
    <x v="29"/>
    <d v="2026-02-04T18:36:45"/>
    <x v="3"/>
    <s v="EZEKIEL AIZACK KIHANZA"/>
    <s v="T734EBX: Harsh braking has been activated. At 04.02.2026 18:36:45 it moved with speed 53 km/h near 'Rn39, Kolwezi, Lualaba, Democratic Republic of the Congo'."/>
    <s v="Kolwezi, Rn39, Democratic Republic of the Congo, Lualaba"/>
    <n v="3"/>
  </r>
  <r>
    <n v="37"/>
    <x v="30"/>
    <d v="2026-02-04T08:42:17"/>
    <x v="3"/>
    <s v="GERALD RAPHAEL SALAMALA"/>
    <s v="T741EBX: Harsh braking has been activated. At 04.02.2026 08:42:17 it moved with speed 61 km/h near 'Rn39, Lualaba, Democratic Republic of the Congo, Kampulu'."/>
    <s v="Rn39, Democratic Republic of the Congo, Lualaba, Kampulu"/>
    <n v="3"/>
  </r>
  <r>
    <n v="38"/>
    <x v="31"/>
    <d v="2026-02-04T11:00:56"/>
    <x v="3"/>
    <s v="ATHUMANI SHABAN KAUNDU"/>
    <s v="T798EBW: Harsh braking has been activated. At 04.02.2026 11:00:56 it moved with speed 55 km/h near 'Great North Road, Central Province, Zambia, 13.64 km from Kanona'."/>
    <s v="Great North Road, Zambia, Central Province, 13.64 km from Kanona"/>
    <n v="3"/>
  </r>
  <r>
    <n v="39"/>
    <x v="32"/>
    <d v="2026-02-04T15:21:50"/>
    <x v="3"/>
    <s v="NIZAR HASHAM TIMBILI"/>
    <s v="T820DDS: Harsh braking has been activated. At 04.02.2026 15:21:50 it moved with speed 63 km/h near 'T1, Mbeya, Tanzania, 7.58 km from Msesule'."/>
    <s v="T1, Tanzania, Mbeya, 7.58 km from Msesule"/>
    <n v="3"/>
  </r>
  <r>
    <n v="40"/>
    <x v="33"/>
    <d v="2026-02-04T10:32:28"/>
    <x v="3"/>
    <s v="ABDUL HASSAN SADICK"/>
    <s v="T821EBW: Harsh braking has been activated. At 04.02.2026 10:32:28 it moved with speed 56 km/h near 'Great North Road, Muchinga Province, Zambia, 17.68 km from Isoka'."/>
    <s v="Great North Road, Zambia, Muchinga Province, 17.68 km from Isoka"/>
    <n v="3"/>
  </r>
  <r>
    <n v="41"/>
    <x v="22"/>
    <d v="2026-02-04T11:15:54"/>
    <x v="3"/>
    <s v="OMARY SAID MTAJI"/>
    <s v="T861EBY: Harsh braking has been activated. At 04.02.2026 11:15:54 it moved with speed 67 km/h near 'Iringa Road, Lundamatwe, Iringa, Tanzania'."/>
    <s v="Lundamatwe, Iringa Road, Tanzania, Iringa"/>
    <n v="3"/>
  </r>
  <r>
    <n v="42"/>
    <x v="34"/>
    <d v="2026-02-04T10:21:09"/>
    <x v="3"/>
    <s v="PATRICK MSONGWA MWANJIBILI"/>
    <s v="T875EBY: Harsh braking has been activated. At 04.02.2026 10:21:09 it moved with speed 56 km/h near 'Great North Road, Central Province, Zambia, 13.87 km from Serenje'."/>
    <s v="Great North Road, Zambia, Central Province, 13.87 km from Serenje"/>
    <n v="4"/>
  </r>
  <r>
    <n v="43"/>
    <x v="35"/>
    <d v="2026-02-04T09:08:03"/>
    <x v="3"/>
    <s v="ELIBAS EZEKIEL KITUNGWA"/>
    <s v="T907EBW: Harsh braking has been activated. At 04.02.2026 09:08:03 it moved with speed 51 km/h near 'T3, Ndola, Copperbelt Province, Zambia'."/>
    <s v="Ndola, T3, Zambia, Copperbelt Province"/>
    <n v="8"/>
  </r>
  <r>
    <n v="44"/>
    <x v="36"/>
    <d v="2026-02-04T09:55:29"/>
    <x v="3"/>
    <s v="GODFREY FRANK MBOJA"/>
    <s v="T915EBW: Harsh braking has been activated. At 04.02.2026 09:55:29 it moved with speed 52 km/h near 'Great North Road, Muchinga Province, Zambia, 7.15 km from Chilonga'."/>
    <s v="Great North Road, Zambia, Muchinga Province, 7.15 km from Chilonga"/>
    <n v="5"/>
  </r>
  <r>
    <n v="45"/>
    <x v="37"/>
    <d v="2026-02-04T17:48:20"/>
    <x v="3"/>
    <s v="CHRISTOPHER SAMWEL TITO "/>
    <s v="T967EBW: Harsh braking has been activated. At 04.02.2026 17:48:20 it moved with speed 69 km/h near 'Great North Road, Central Province, Zambia, 11.79 km from Bwale'."/>
    <s v="Great North Road, Zambia, Central Province, 11.79 km from Bwale"/>
    <n v="3"/>
  </r>
  <r>
    <n v="46"/>
    <x v="26"/>
    <d v="2026-02-05T09:29:12"/>
    <x v="4"/>
    <s v="BAHATI ATHUMANI MDOE"/>
    <s v="T153EBX: Harsh braking has been activated. At 05.02.2026 09:29:12 it moved with speed 60 km/h near 'Great North Road, Muchinga Province, Zambia, 5.69 km from Musata'."/>
    <s v="Great North Road, Zambia, Muchinga Province, 5.69 km from Musata"/>
    <n v="5"/>
  </r>
  <r>
    <n v="47"/>
    <x v="1"/>
    <d v="2026-02-05T07:57:56"/>
    <x v="4"/>
    <s v="ISAYA MSHUKURU MMBANDO"/>
    <s v="T271EBY: Harsh braking has been activated. At 05.02.2026 07:57:56 it moved with speed 61 km/h near 'Great North Road, Muchinga Province, Zambia, 4.44 km from Musata'."/>
    <s v="Great North Road, Zambia, Muchinga Province, 4.44 km from Musata"/>
    <n v="8"/>
  </r>
  <r>
    <n v="48"/>
    <x v="38"/>
    <d v="2026-02-05T11:42:54"/>
    <x v="4"/>
    <s v="IDD HUSSEIN KAZUBA"/>
    <s v="T312EBX: Harsh braking has been activated. At 05.02.2026 11:42:54 it moved with speed 53 km/h near 'Great North Road, Muchinga Province, Zambia, 3.17 km from Kalonje'."/>
    <s v="Great North Road, Zambia, Muchinga Province, 3.17 km from Kalonje"/>
    <n v="3"/>
  </r>
  <r>
    <n v="49"/>
    <x v="39"/>
    <d v="2026-02-05T08:26:33"/>
    <x v="4"/>
    <s v="OMARI SALIMU MOHAMEDI"/>
    <s v="T339EBX: Harsh braking has been activated. At 05.02.2026 08:26:33 it moved with speed 62 km/h near 'Rn39, Lualaba, Democratic Republic of the Congo, Zakeo'."/>
    <s v="Rn39, Democratic Republic of the Congo, Lualaba, Zakeo"/>
    <n v="3"/>
  </r>
  <r>
    <n v="50"/>
    <x v="40"/>
    <d v="2026-02-05T08:08:45"/>
    <x v="4"/>
    <s v="JUMANNE ALLY NJECHELE"/>
    <s v="T402ECN: Harsh braking has been activated. At 05.02.2026 08:08:45 it moved with speed 55 km/h near 'Rn39, Lualaba, Democratic Republic of the Congo, 1.24 km from Kampulu'."/>
    <s v="Rn39, Democratic Republic of the Congo, Lualaba, 1.24 km from Kampulu"/>
    <n v="3"/>
  </r>
  <r>
    <n v="51"/>
    <x v="41"/>
    <d v="2026-02-05T09:49:11"/>
    <x v="4"/>
    <s v="FADHILI SAIDI MTULILA"/>
    <s v="T417DHE: Harsh braking has been activated. At 05.02.2026 09:49:11 it moved with speed 60 km/h near 'Iringa Road, Morogoro, Kilosa, Tanzania, Igagala'."/>
    <s v="Iringa Road, Tanzania, Morogoro, Kilosa, Igagala"/>
    <n v="6"/>
  </r>
  <r>
    <n v="52"/>
    <x v="42"/>
    <d v="2026-02-05T07:47:33"/>
    <x v="4"/>
    <s v="OMARI ABEDI MOKA"/>
    <s v="T513EBY: Harsh braking has been activated. At 05.02.2026 07:47:33 it moved with speed 56 km/h near 'Great North Road, Muchinga Province, Zambia, Kaloswe'."/>
    <s v="Great North Road, Zambia, Muchinga Province, Kaloswe"/>
    <n v="3"/>
  </r>
  <r>
    <n v="53"/>
    <x v="43"/>
    <d v="2026-02-05T10:29:34"/>
    <x v="4"/>
    <s v="AHMED SAID LUWANDA"/>
    <s v="T703EBX: Harsh braking has been activated. At 05.02.2026 10:29:34 it moved with speed 53 km/h near 'Great North Road, Central Province, Zambia, 3.96 km from Godfrey Kunda'."/>
    <s v="Great North Road, Zambia, Central Province, 3.96 km from Godfrey Kunda"/>
    <n v="4"/>
  </r>
  <r>
    <n v="54"/>
    <x v="29"/>
    <d v="2026-02-05T08:11:34"/>
    <x v="4"/>
    <s v="EZEKIEL AIZACK KIHANZA"/>
    <s v="T734EBX: Harsh braking has been activated. At 05.02.2026 08:11:34 it moved with speed 57 km/h near 'Rn39, Lualaba, Democratic Republic of the Congo, Kabwe Dikuku (Sud)'."/>
    <s v="Rn39, Democratic Republic of the Congo, Lualaba, Kabwe Dikuku (Sud)"/>
    <n v="3"/>
  </r>
  <r>
    <n v="55"/>
    <x v="32"/>
    <d v="2026-02-05T08:57:41"/>
    <x v="4"/>
    <s v="NIZAR HASHAM TIMBILI"/>
    <s v="T820DDS: Harsh braking has been activated. At 05.02.2026 08:57:41 it moved with speed 52 km/h near 'Iringa Road, Iringa, Tanzania, 1.08 km from Ikokoto'."/>
    <s v="Iringa Road, Tanzania, Iringa, 1.08 km from Ikokoto"/>
    <n v="9"/>
  </r>
  <r>
    <n v="56"/>
    <x v="44"/>
    <d v="2026-02-05T08:47:07"/>
    <x v="4"/>
    <s v="ISSACK KONRADI KASIANO"/>
    <s v="T868EBW: Harsh braking has been activated. At 05.02.2026 08:47:07 it moved with speed 65 km/h near 'Great North Road, Muchinga Province, Zambia, 2.27 km from Chilonga'."/>
    <s v="Great North Road, Zambia, Muchinga Province, 2.27 km from Chilonga"/>
    <n v="5"/>
  </r>
  <r>
    <n v="57"/>
    <x v="45"/>
    <d v="2026-02-05T13:36:57"/>
    <x v="4"/>
    <s v="HAMISI RAMADHANI SULTAN"/>
    <s v="T878EBY: Harsh braking has been activated. At 05.02.2026 13:36:57 it moved with speed 67 km/h near 'Rn1, Haut-Katanga, Democratic Republic of the Congo, Kapolowe'."/>
    <s v="Rn1, Democratic Republic of the Congo, Haut-Katanga, Kapolowe"/>
    <n v="5"/>
  </r>
  <r>
    <n v="58"/>
    <x v="35"/>
    <d v="2026-02-05T11:40:17"/>
    <x v="4"/>
    <s v="ELIBAS EZEKIEL KITUNGWA"/>
    <s v="T907EBW: Harsh braking has been activated. At 05.02.2026 11:40:17 it moved with speed 53 km/h near 'Great North Road, Muchinga Province, Zambia, 20.24 km from Katibunga'."/>
    <s v="Great North Road, Zambia, Muchinga Province, 20.24 km from Katibunga"/>
    <n v="4"/>
  </r>
  <r>
    <n v="59"/>
    <x v="46"/>
    <d v="2026-02-05T15:08:10"/>
    <x v="4"/>
    <s v="YUNUS ABDILLAH SULEIMAN"/>
    <s v="T950EBW: Harsh braking has been activated. At 05.02.2026 15:08:10 it moved with speed 55 km/h near 'Great North Road, Muchinga Province, Zambia, 11.23 km from Amosi Pumba'."/>
    <s v="Great North Road, Zambia, Muchinga Province, 11.23 km from Amosi Pumba"/>
    <n v="3"/>
  </r>
  <r>
    <n v="60"/>
    <x v="47"/>
    <d v="2026-02-05T07:29:19"/>
    <x v="4"/>
    <s v="RAJABU ISSA OMARI"/>
    <s v="T975EBW: Harsh braking has been activated. At 05.02.2026 07:29:19 it moved with speed 55 km/h near 'Great North Road, Muchinga Province, Zambia, 7.37 km from Sebuloni'."/>
    <s v="Great North Road, Zambia, Muchinga Province, 7.37 km from Sebuloni"/>
    <n v="6"/>
  </r>
  <r>
    <n v="61"/>
    <x v="26"/>
    <d v="2026-02-06T10:42:47"/>
    <x v="5"/>
    <s v="BAHATI ATHUMANI MDOE"/>
    <s v="T153EBX: Harsh braking has been activated. At 06.02.2026 10:42:47 it moved with speed 53 km/h near 'Fisenge Bypass, Ndola, Copperbelt Province, Zambia'."/>
    <s v="Ndola, Fisenge Bypass, Zambia, Copperbelt Province"/>
    <n v="3"/>
  </r>
  <r>
    <n v="62"/>
    <x v="12"/>
    <d v="2026-02-06T08:28:30"/>
    <x v="5"/>
    <s v="JUMA KOBA SAID"/>
    <s v="T329ECN: Harsh braking has been activated. At 06.02.2026 08:28:30 it moved with speed 61 km/h near 'Iringa Road, Iringa, Tanzania, Matassi'."/>
    <s v="Iringa Road, Tanzania, Iringa, Matassi"/>
    <n v="4"/>
  </r>
  <r>
    <n v="63"/>
    <x v="48"/>
    <d v="2026-02-06T09:22:38"/>
    <x v="5"/>
    <s v="MANASE JOHSON YINDI"/>
    <s v="T748EBX: Harsh braking has been activated. At 06.02.2026 09:22:38 it moved with speed 53 km/h near 'Great North Road, Muchinga Province, Zambia, 6.90 km from Rumbuka'."/>
    <s v="Great North Road, Zambia, Muchinga Province, 6.90 km from Rumbuka"/>
    <n v="3"/>
  </r>
  <r>
    <n v="64"/>
    <x v="49"/>
    <d v="2026-02-06T17:08:28"/>
    <x v="5"/>
    <s v="ABUBAKAR JUMA YUSUPH"/>
    <s v="T772DYR: Harsh braking has been activated. At 06.02.2026 17:08:28 it moved with speed 52 km/h near 'Great North Road, Central Province, Zambia, 14.56 km from Kanona'."/>
    <s v="Great North Road, Zambia, Central Province, 14.56 km from Kanona"/>
    <n v="3"/>
  </r>
  <r>
    <n v="65"/>
    <x v="23"/>
    <d v="2026-02-06T08:37:22"/>
    <x v="5"/>
    <s v="ABDULHAFIDH RADMAN ALLY"/>
    <s v="T862EBY: Harsh braking has been activated. At 06.02.2026 08:37:22 it moved with speed 52 km/h near 'T1, Mbeya, Tanzania, 1.07 km from Makwenje'."/>
    <s v="T1, Tanzania, Mbeya, 1.07 km from Makwenje"/>
    <n v="3"/>
  </r>
  <r>
    <n v="66"/>
    <x v="50"/>
    <d v="2026-02-06T09:11:26"/>
    <x v="5"/>
    <s v="ATHONNY PAULO MDEDE"/>
    <s v="T873EBW: Harsh braking has been activated. At 06.02.2026 09:11:26 it moved with speed 52 km/h near 'Great North Road, Muchinga Province, Zambia, Chilonga'."/>
    <s v="Great North Road, Zambia, Muchinga Province, Chilonga"/>
    <n v="3"/>
  </r>
  <r>
    <n v="67"/>
    <x v="36"/>
    <d v="2026-02-06T09:22:16"/>
    <x v="5"/>
    <s v="GODFREY FRANK MBOJA"/>
    <s v="T915EBW: Harsh braking has been activated. At 06.02.2026 09:22:16 it moved with speed 61 km/h near 'M16, Copperbelt Province, Zambia, 1.87 km from Kalulushi'."/>
    <s v="M16, Zambia, Copperbelt Province, 1.87 km from Kalulushi"/>
    <n v="3"/>
  </r>
  <r>
    <n v="68"/>
    <x v="51"/>
    <d v="2026-02-07T07:31:06"/>
    <x v="6"/>
    <s v="MOHAMEDI IDDI KULWA"/>
    <s v="T269EBX: Harsh braking has been activated. At 07.02.2026 07:31:06 it moved with speed 63 km/h near 'Great North Road, Central Province, Zambia, 8.01 km from Tanemeka'."/>
    <s v="Great North Road, Zambia, Central Province, 8.01 km from Tanemeka"/>
    <n v="8"/>
  </r>
  <r>
    <n v="69"/>
    <x v="52"/>
    <d v="2026-02-07T15:44:23"/>
    <x v="6"/>
    <s v="RASUL ZUBERY KAONDO"/>
    <s v="T327EBX: Harsh braking has been activated. At 07.02.2026 15:44:23 it moved with speed 54 km/h near 'Great North Road, Muchinga Province, Zambia, 10.37 km from Godfrey Kunda'."/>
    <s v="Great North Road, Zambia, Muchinga Province, 10.37 km from Godfrey Kunda"/>
    <n v="3"/>
  </r>
  <r>
    <n v="70"/>
    <x v="53"/>
    <d v="2026-02-07T12:45:58"/>
    <x v="6"/>
    <s v="SAID ASUMAN MUHOGO"/>
    <s v="T438DHG: Harsh braking has been activated. At 07.02.2026 12:45:58 it moved with speed 82 km/h near 'Rn1, Haut-Katanga, Democratic Republic of the Congo, 9.55 km from Kikula'."/>
    <s v="Rn1, Democratic Republic of the Congo, Haut-Katanga, 9.55 km from Kikula"/>
    <n v="4"/>
  </r>
  <r>
    <n v="71"/>
    <x v="54"/>
    <d v="2026-02-07T13:15:23"/>
    <x v="6"/>
    <s v="NUHU MOHAMED NTILA"/>
    <s v="T496DYR: Harsh braking has been activated. At 07.02.2026 13:15:23 it moved with speed 62 km/h near 'Great North Road, Central Province, Zambia, 9.89 km from Kanona'."/>
    <s v="Great North Road, Zambia, Central Province, 9.89 km from Kanona"/>
    <n v="6"/>
  </r>
  <r>
    <n v="72"/>
    <x v="55"/>
    <d v="2026-02-07T10:46:09"/>
    <x v="6"/>
    <s v="MRISHO WAZIRI ALLY"/>
    <s v="T568DYR: Harsh braking has been activated. At 07.02.2026 10:46:09 it moved with speed 65 km/h near 'Rn1, Haut-Katanga, Democratic Republic of the Congo, 15.02 km from Tumbwe'."/>
    <s v="Rn1, Democratic Republic of the Congo, Haut-Katanga, 15.02 km from Tumbwe"/>
    <n v="12"/>
  </r>
  <r>
    <n v="73"/>
    <x v="56"/>
    <d v="2026-02-07T08:02:41"/>
    <x v="6"/>
    <s v="HAMUDU MAJID MARUZUKU"/>
    <s v="T583DYR: Harsh braking has been activated. At 07.02.2026 08:02:41 it moved with speed 58 km/h near 'Great North Road, Muchinga Province, Zambia, Kalonje'."/>
    <s v="Great North Road, Zambia, Muchinga Province, Kalonje"/>
    <n v="3"/>
  </r>
  <r>
    <n v="74"/>
    <x v="57"/>
    <d v="2026-02-07T11:16:15"/>
    <x v="6"/>
    <s v="ABDALLAH BAKARI ABDALLAH"/>
    <s v="T793EBW: Harsh braking has been activated. At 07.02.2026 11:16:15 it moved with speed 58 km/h near 'Rn1, Haut-Katanga, Democratic Republic of the Congo, 4.02 km from Lwisha'."/>
    <s v="Rn1, Democratic Republic of the Congo, Haut-Katanga, 4.02 km from Lwisha"/>
    <n v="4"/>
  </r>
  <r>
    <n v="75"/>
    <x v="58"/>
    <d v="2026-02-07T14:12:58"/>
    <x v="6"/>
    <s v="SELEIMANI MNGODO  SELEMAINI"/>
    <s v="T954DSX: Harsh braking has been activated. At 07.02.2026 14:12:58 it moved with speed 56 km/h near 'Rn39, Lualaba, Democratic Republic of the Congo, Lutanda'."/>
    <s v="Rn39, Democratic Republic of the Congo, Lualaba, Lutanda"/>
    <n v="3"/>
  </r>
  <r>
    <n v="76"/>
    <x v="59"/>
    <d v="2026-02-08T06:57:38"/>
    <x v="7"/>
    <n v="0"/>
    <s v="T315EBX: Harsh braking has been activated. At 08.02.2026 06:57:38 it moved with speed 51 km/h near 'Great North Road, Central Province, Zambia, 4.77 km from Godfrey Kunda'."/>
    <s v="Great North Road, Zambia, Central Province, 4.77 km from Godfrey Kunda"/>
    <n v="6"/>
  </r>
  <r>
    <n v="77"/>
    <x v="60"/>
    <d v="2026-02-08T07:31:59"/>
    <x v="7"/>
    <s v="AMIRI HAMISI MIKURU"/>
    <s v="T713DYR: Harsh braking has been activated. At 08.02.2026 07:31:59 it moved with speed 51 km/h near 'T1, Njombe, Tanzania, 6.54 km from Nyololo'."/>
    <s v="T1, Tanzania, Njombe, 6.54 km from Nyololo"/>
    <n v="4"/>
  </r>
  <r>
    <n v="78"/>
    <x v="61"/>
    <d v="2026-02-08T08:57:44"/>
    <x v="7"/>
    <s v="ZAKARIA RAJABU KINANA"/>
    <s v="T840EBY: Harsh braking has been activated. At 08.02.2026 08:57:44 it moved with speed 51 km/h near 'Great North Road, Central Province, Zambia, 5.23 km from Mkushi'."/>
    <s v="Great North Road, Zambia, Central Province, 5.23 km from Mkushi"/>
    <n v="4"/>
  </r>
  <r>
    <n v="79"/>
    <x v="62"/>
    <d v="2026-02-08T16:27:34"/>
    <x v="7"/>
    <s v="MUSSA JUMA MOHAMED"/>
    <s v="T842EBY: Harsh braking has been activated. At 08.02.2026 16:27:34 it moved with speed 54 km/h near 'T3, Ndola, Copperbelt Province, Zambia'."/>
    <s v="Ndola, T3, Zambia, Copperbelt Province"/>
    <n v="3"/>
  </r>
  <r>
    <n v="80"/>
    <x v="34"/>
    <d v="2026-02-08T06:25:52"/>
    <x v="7"/>
    <s v="PATRICK MSONGWA MWANJIBILI"/>
    <s v="T875EBY: Harsh braking has been activated. At 08.02.2026 06:25:52 it moved with speed 55 km/h near 'Iringa Road, Morogoro, Kilosa, Tanzania, Kidayi 'A''."/>
    <s v="Iringa Road, Tanzania, Morogoro, Kilosa, Kidayi 'A'"/>
    <n v="3"/>
  </r>
  <r>
    <n v="81"/>
    <x v="24"/>
    <d v="2026-02-08T09:58:46"/>
    <x v="7"/>
    <s v="ALLY RASHID SAID"/>
    <s v="T905EBW: Harsh braking has been activated. At 08.02.2026 09:58:46 it moved with speed 60 km/h near 'T1, Mbeya, Tanzania, 1.79 km from Mfumbi'."/>
    <s v="T1, Tanzania, Mbeya, 1.79 km from Mfumbi"/>
    <n v="3"/>
  </r>
  <r>
    <n v="82"/>
    <x v="35"/>
    <d v="2026-02-08T14:55:04"/>
    <x v="7"/>
    <s v="ELIBAS EZEKIEL KITUNGWA"/>
    <s v="T907EBW: Harsh braking has been activated. At 08.02.2026 14:55:04 it moved with speed 66 km/h near 'T1, Njombe, Tanzania, 6.32 km from Nyololo'."/>
    <s v="T1, Tanzania, Njombe, 6.32 km from Nyololo"/>
    <n v="4"/>
  </r>
  <r>
    <n v="83"/>
    <x v="63"/>
    <d v="2026-02-09T10:55:21"/>
    <x v="8"/>
    <s v="HASSAN ABDALLAH JUMA"/>
    <s v="T146EBX: Harsh braking has been activated. At 09.02.2026 10:55:21 it moved with speed 54 km/h near 'Great North Road, Central Province, Zambia, 3.98 km from Serenje'."/>
    <s v="Great North Road, Zambia, Central Province, 3.98 km from Serenje"/>
    <n v="6"/>
  </r>
  <r>
    <n v="84"/>
    <x v="64"/>
    <d v="2026-02-09T12:02:09"/>
    <x v="8"/>
    <s v="JOEL SAMSON MANDAGO"/>
    <s v="T235EBX: Harsh braking has been activated. At 09.02.2026 12:02:09 it moved with speed 55 km/h near 'Avenue Kawama, Katuba, Congo (Democratic Republic of the)'."/>
    <s v="Katuba, Avenue Kawama, Congo (Democratic Republic of the)"/>
    <n v="5"/>
  </r>
  <r>
    <n v="85"/>
    <x v="1"/>
    <d v="2026-02-09T06:14:16"/>
    <x v="8"/>
    <s v="ISAYA MSHUKURU MMBANDO"/>
    <s v="T271EBY: Harsh braking has been activated. At 09.02.2026 06:14:16 it moved with speed 56 km/h near 'T1, Njombe, Tanzania, 2.30 km from Idofi'."/>
    <s v="T1, Tanzania, Njombe, 2.30 km from Idofi"/>
    <n v="4"/>
  </r>
  <r>
    <n v="86"/>
    <x v="65"/>
    <d v="2026-02-09T11:28:33"/>
    <x v="8"/>
    <s v="HOSEA MRINGI MACHA "/>
    <s v="T497DYR: Harsh braking has been activated. At 09.02.2026 11:28:33 it moved with speed 54 km/h near 'Iringa Road, Morogoro, Kilosa, Tanzania, 13.14 km from Msimba'."/>
    <s v="Iringa Road, Tanzania, Morogoro, Kilosa, 13.14 km from Msimba"/>
    <n v="13"/>
  </r>
  <r>
    <n v="87"/>
    <x v="66"/>
    <d v="2026-02-09T10:29:45"/>
    <x v="8"/>
    <s v="SAID SALUM MOHAMED"/>
    <s v="T521EBY: Harsh braking has been activated. At 09.02.2026 10:29:45 it moved with speed 51 km/h near 'Great North Road, Muchinga Province, Zambia, 2.18 km from Kaole'."/>
    <s v="Great North Road, Zambia, Muchinga Province, 2.18 km from Kaole"/>
    <n v="3"/>
  </r>
  <r>
    <n v="88"/>
    <x v="67"/>
    <d v="2026-02-09T07:17:27"/>
    <x v="8"/>
    <s v="MISTWAHI AMRI SAID"/>
    <s v="T589DYR: Harsh braking has been activated. At 09.02.2026 07:17:27 it moved with speed 53 km/h near 'Rn1, Haut-Katanga, Democratic Republic of the Congo, 11.61 km from Chamba'."/>
    <s v="Rn1, Democratic Republic of the Congo, Haut-Katanga, 11.61 km from Chamba"/>
    <n v="3"/>
  </r>
  <r>
    <n v="89"/>
    <x v="62"/>
    <d v="2026-02-09T15:23:42"/>
    <x v="8"/>
    <s v="MUSSA JUMA MOHAMED"/>
    <s v="T842EBY: Harsh braking has been activated. At 09.02.2026 15:23:42 it moved with speed 58 km/h near 'Great North Road, Muchinga Province, Zambia, 3.88 km from Kaloswe'."/>
    <s v="Great North Road, Zambia, Muchinga Province, 3.88 km from Kaloswe"/>
    <n v="3"/>
  </r>
  <r>
    <n v="90"/>
    <x v="22"/>
    <d v="2026-02-09T08:09:30"/>
    <x v="8"/>
    <s v="OMARY SAID MTAJI"/>
    <s v="T861EBY: Harsh braking has been activated. At 09.02.2026 08:09:30 it moved with speed 51 km/h near 'Great North Road, Central Province, Zambia, 11.84 km from Bwale'."/>
    <s v="Great North Road, Zambia, Central Province, 11.84 km from Bwale"/>
    <n v="3"/>
  </r>
  <r>
    <n v="91"/>
    <x v="68"/>
    <d v="2026-02-09T13:51:30"/>
    <x v="8"/>
    <s v="YAHAYA MWINCHUMU ZUBERI"/>
    <s v="T899EBW: Harsh braking has been activated. At 09.02.2026 13:51:30 it moved with speed 60 km/h near 'Great North Road, Muchinga Province, Zambia, 3.50 km from Isoka'."/>
    <s v="Great North Road, Zambia, Muchinga Province, 3.50 km from Isoka"/>
    <n v="3"/>
  </r>
  <r>
    <n v="92"/>
    <x v="35"/>
    <d v="2026-02-09T10:36:37"/>
    <x v="8"/>
    <s v="ELIBAS EZEKIEL KITUNGWA"/>
    <s v="T907EBW: Harsh braking has been activated. At 09.02.2026 10:36:37 it moved with speed 54 km/h near 'Iringa Road, Morogoro, Kilosa, Tanzania, 11.87 km from Msimba'."/>
    <s v="Iringa Road, Tanzania, Morogoro, Kilosa, 11.87 km from Msimba"/>
    <n v="9"/>
  </r>
  <r>
    <n v="93"/>
    <x v="69"/>
    <d v="2026-02-09T12:35:21"/>
    <x v="8"/>
    <s v="OMARI ATHUMANI SELEMANI"/>
    <s v="T930EBW: Harsh braking has been activated. At 09.02.2026 12:35:21 it moved with speed 55 km/h near 'Great North Road, Central Province, Zambia, 10.50 km from Tanemeka'."/>
    <s v="Great North Road, Zambia, Central Province, 10.50 km from Tanemeka"/>
    <n v="8"/>
  </r>
  <r>
    <n v="94"/>
    <x v="70"/>
    <d v="2026-02-09T10:07:48"/>
    <x v="8"/>
    <s v="SHABANI HARUNA SEMENTA"/>
    <s v="T955EBW: Harsh braking has been activated. At 09.02.2026 10:07:48 it moved with speed 68 km/h near 'Iringa Road, Iringa, Tanzania, Matassi'."/>
    <s v="Iringa Road, Tanzania, Iringa, Matassi"/>
    <n v="5"/>
  </r>
  <r>
    <n v="95"/>
    <x v="71"/>
    <d v="2026-02-10T10:02:50"/>
    <x v="9"/>
    <s v="MANENO MOHAMED KAKIMA"/>
    <s v="T379ECN: Harsh braking has been activated. At 10.02.2026 10:02:50 it moved with speed 52 km/h near 'Iringa Road, Morogoro, Kilosa, Tanzania, 12.29 km from Msimba'."/>
    <s v="Iringa Road, Tanzania, Morogoro, Kilosa, 12.29 km from Msimba"/>
    <n v="5"/>
  </r>
  <r>
    <n v="96"/>
    <x v="72"/>
    <d v="2026-02-10T12:12:44"/>
    <x v="9"/>
    <s v="MANDELA WILSON MANYILIZU"/>
    <s v="T591DTQ: Harsh braking has been activated. At 10.02.2026 12:12:44 it moved with speed 64 km/h near 'T1, Morogoro, Tanzania, 4.00 km from Fulwe'."/>
    <s v="T1, Tanzania, Morogoro, 4.00 km from Fulwe"/>
    <n v="6"/>
  </r>
  <r>
    <n v="97"/>
    <x v="16"/>
    <d v="2026-02-10T19:07:46"/>
    <x v="9"/>
    <s v="ELIA JUMA NZOWA"/>
    <s v="T728DYR: Harsh braking has been activated. At 10.02.2026 19:07:46 it moved with speed 61 km/h near 'Iringa Road, Morogoro, Kilosa, Tanzania, 13.94 km from Igagala'."/>
    <s v="Iringa Road, Tanzania, Morogoro, Kilosa, 13.94 km from Igagala"/>
    <n v="3"/>
  </r>
  <r>
    <n v="98"/>
    <x v="73"/>
    <d v="2026-02-10T10:46:07"/>
    <x v="9"/>
    <s v="YUSUPH ZIAGA SANGA"/>
    <s v="T817EBW: Harsh braking has been activated. At 10.02.2026 10:46:07 it moved with speed 72 km/h near 'Rn39, Lualaba, Democratic Republic of the Congo, 1.27 km from Kampulu'."/>
    <s v="Rn39, Democratic Republic of the Congo, Lualaba, 1.27 km from Kampulu"/>
    <n v="10"/>
  </r>
  <r>
    <n v="99"/>
    <x v="22"/>
    <d v="2026-02-10T07:29:21"/>
    <x v="9"/>
    <s v="OMARY SAID MTAJI"/>
    <s v="T861EBY: Harsh braking has been activated. At 10.02.2026 07:29:21 it moved with speed 61 km/h near 'T3, Copperbelt Province, Zambia, 7.71 km from Tonde'."/>
    <s v="T3, Zambia, Copperbelt Province, 7.71 km from Tonde"/>
    <n v="3"/>
  </r>
  <r>
    <n v="100"/>
    <x v="44"/>
    <d v="2026-02-10T06:49:05"/>
    <x v="9"/>
    <s v="ISSACK KONRADI KASIANO"/>
    <s v="T868EBW: Harsh braking has been activated. At 10.02.2026 06:49:05 it moved with speed 63 km/h near 'Iringa Road, Lundamatwe, Iringa, Tanzania'."/>
    <s v="Lundamatwe, Iringa Road, Tanzania, Iringa"/>
    <n v="3"/>
  </r>
  <r>
    <n v="101"/>
    <x v="74"/>
    <d v="2026-02-10T07:24:57"/>
    <x v="9"/>
    <s v="MADENGE SALUM SHOMARI"/>
    <s v="T892EBW: Harsh braking has been activated. At 10.02.2026 07:24:57 it moved with speed 57 km/h near 'Great North Road, Muchinga Province, Zambia, 2.33 km from Kalonje'."/>
    <s v="Great North Road, Zambia, Muchinga Province, 2.33 km from Kalonje"/>
    <n v="5"/>
  </r>
  <r>
    <n v="102"/>
    <x v="18"/>
    <d v="2026-02-11T13:20:07"/>
    <x v="10"/>
    <s v="GODFREY JOHN ANTHONY KUNDI"/>
    <s v="T107EBX: Harsh braking has been activated. At 11.02.2026 13:20:07 it moved with speed 52 km/h near 'Rn1, Haut-Katanga, Democratic Republic of the Congo, 45.40 km from Lubumbashi'."/>
    <s v="Rn1, Democratic Republic of the Congo, Haut-Katanga, 45.40 km from Lubumbashi"/>
    <n v="7"/>
  </r>
  <r>
    <n v="103"/>
    <x v="26"/>
    <d v="2026-02-11T13:50:28"/>
    <x v="10"/>
    <s v="BAHATI ATHUMANI MDOE"/>
    <s v="T153EBX: Harsh braking has been activated. At 11.02.2026 13:50:28 it moved with speed 60 km/h near 'Rn1, Haut-Katanga, Democratic Republic of the Congo, 23.23 km from Tumbwe'."/>
    <s v="Rn1, Democratic Republic of the Congo, Haut-Katanga, 23.23 km from Tumbwe"/>
    <n v="4"/>
  </r>
  <r>
    <n v="104"/>
    <x v="75"/>
    <d v="2026-02-11T14:12:32"/>
    <x v="10"/>
    <s v="MOHAMEDI MOSHI NYANZA"/>
    <s v="T318EBX: Harsh braking has been activated. At 11.02.2026 14:12:32 it moved with speed 53 km/h near 'Rn1, Haut-Katanga, Democratic Republic of the Congo, 6.81 km from Lwisha'."/>
    <s v="Rn1, Democratic Republic of the Congo, Haut-Katanga, 6.81 km from Lwisha"/>
    <n v="3"/>
  </r>
  <r>
    <n v="105"/>
    <x v="76"/>
    <d v="2026-02-11T07:59:08"/>
    <x v="10"/>
    <s v="JEREMIAHY SIMONE MWALUKO"/>
    <s v="T378ECN: Harsh braking has been activated. At 11.02.2026 07:59:08 it moved with speed 58 km/h near 'Rn39, Lualaba, Democratic Republic of the Congo, Kamipungu'."/>
    <s v="Rn39, Democratic Republic of the Congo, Lualaba, Kamipungu"/>
    <n v="3"/>
  </r>
  <r>
    <n v="106"/>
    <x v="40"/>
    <d v="2026-02-11T12:12:25"/>
    <x v="10"/>
    <s v="JUMANNE ALLY NJECHELE"/>
    <s v="T402ECN: Harsh braking has been activated. At 11.02.2026 12:12:25 it moved with speed 51 km/h near 'Great North Road, Central Province, Zambia, 9.71 km from Chifwefwe B'."/>
    <s v="Great North Road, Zambia, Central Province, 9.71 km from Chifwefwe B"/>
    <n v="3"/>
  </r>
  <r>
    <n v="107"/>
    <x v="77"/>
    <d v="2026-02-11T07:45:02"/>
    <x v="10"/>
    <s v="LAMECK CHARLES ROMAN"/>
    <s v="T492DYR: Harsh braking has been activated. At 11.02.2026 07:45:02 it moved with speed 69 km/h near 'Iringa Road, Morogoro, Kilosa, Tanzania, 4.61 km from Igagala'."/>
    <s v="Iringa Road, Tanzania, Morogoro, Kilosa, 4.61 km from Igagala"/>
    <n v="5"/>
  </r>
  <r>
    <n v="108"/>
    <x v="78"/>
    <d v="2026-02-11T11:36:41"/>
    <x v="10"/>
    <s v="GASPER ELICHILIA KINYAHA"/>
    <s v="T528EBY: Harsh braking has been activated. At 11.02.2026 11:36:41 it moved with speed 60 km/h near 'Rn1, Haut-Katanga, Democratic Republic of the Congo, 7.90 km from Lwafu'."/>
    <s v="Rn1, Democratic Republic of the Congo, Haut-Katanga, 7.90 km from Lwafu"/>
    <n v="3"/>
  </r>
  <r>
    <n v="109"/>
    <x v="21"/>
    <d v="2026-02-11T09:04:22"/>
    <x v="10"/>
    <s v="ISMAIL KISANDU RUBASHA"/>
    <s v="T572DYR: Harsh braking has been activated. At 11.02.2026 09:04:22 it moved with speed 59 km/h near 'T1, Pwani, Bagamoyo, Tanzania, 7.06 km from Vigwaza'."/>
    <s v="T1, Tanzania, Pwani, Bagamoyo, 7.06 km from Vigwaza"/>
    <n v="4"/>
  </r>
  <r>
    <n v="110"/>
    <x v="72"/>
    <d v="2026-02-11T09:12:45"/>
    <x v="10"/>
    <s v="MANDELA WILSON MANYILIZU"/>
    <s v="T591DTQ: Harsh braking has been activated. At 11.02.2026 09:12:45 it moved with speed 52 km/h near 'Iringa Road, Lundamatwe, Iringa, Tanzania'."/>
    <s v="Lundamatwe, Iringa Road, Tanzania, Iringa"/>
    <n v="3"/>
  </r>
  <r>
    <n v="111"/>
    <x v="29"/>
    <d v="2026-02-11T10:41:39"/>
    <x v="10"/>
    <s v="EZEKIEL AIZACK KIHANZA"/>
    <s v="T734EBX: Harsh braking has been activated. At 11.02.2026 10:41:39 it moved with speed 51 km/h near 'Great North Road, Central Province, Zambia, 4.14 km from Manjolo'."/>
    <s v="Great North Road, Zambia, Central Province, 4.14 km from Manjolo"/>
    <n v="7"/>
  </r>
  <r>
    <n v="112"/>
    <x v="30"/>
    <d v="2026-02-11T10:49:44"/>
    <x v="10"/>
    <s v="GERALD RAPHAEL SALAMALA"/>
    <s v="T741EBX: Harsh braking has been activated. At 11.02.2026 10:49:44 it moved with speed 59 km/h near 'T3, Copperbelt Province, Zambia, 16.28 km from Pukota'."/>
    <s v="T3, Zambia, Copperbelt Province, 16.28 km from Pukota"/>
    <n v="6"/>
  </r>
  <r>
    <n v="113"/>
    <x v="79"/>
    <d v="2026-02-11T09:29:18"/>
    <x v="10"/>
    <s v="SUNDAY EDWIN SOKA"/>
    <s v="T755EBX: Harsh braking has been activated. At 11.02.2026 09:29:18 it moved with speed 61 km/h near 'Rn1, Haut-Katanga, Democratic Republic of the Congo, Mulungwishi'."/>
    <s v="Rn1, Democratic Republic of the Congo, Haut-Katanga, Mulungwishi"/>
    <n v="5"/>
  </r>
  <r>
    <n v="114"/>
    <x v="49"/>
    <d v="2026-02-11T09:03:16"/>
    <x v="10"/>
    <s v="ABUBAKAR JUMA YUSUPH"/>
    <s v="T772DYR: Harsh braking has been activated. At 11.02.2026 09:03:16 it moved with speed 52 km/h near 'Iringa Road, Morogoro, Kilosa, Tanzania, 13.90 km from Igagala'."/>
    <s v="Iringa Road, Tanzania, Morogoro, Kilosa, 13.90 km from Igagala"/>
    <n v="4"/>
  </r>
  <r>
    <n v="115"/>
    <x v="80"/>
    <d v="2026-02-11T09:36:47"/>
    <x v="10"/>
    <s v="JAPHARY NASSORO JAPHARY"/>
    <s v="T803EBW: Harsh braking has been activated. At 11.02.2026 09:36:47 it moved with speed 57 km/h near 'Great North Road, Central Province, Zambia, 1.87 km from Mkushi River'."/>
    <s v="Great North Road, Zambia, Central Province, 1.87 km from Mkushi River"/>
    <n v="3"/>
  </r>
  <r>
    <n v="116"/>
    <x v="73"/>
    <d v="2026-02-11T08:10:43"/>
    <x v="10"/>
    <s v="YUSUPH ZIAGA SANGA"/>
    <s v="T817EBW: Harsh braking has been activated. At 11.02.2026 08:10:43 it moved with speed 62 km/h near 'Rn1, Haut-Katanga, Democratic Republic of the Congo, Mbalaka'."/>
    <s v="Rn1, Democratic Republic of the Congo, Haut-Katanga, Mbalaka"/>
    <n v="21"/>
  </r>
  <r>
    <n v="117"/>
    <x v="81"/>
    <d v="2026-02-11T08:15:50"/>
    <x v="10"/>
    <s v="ATANASI PETRO MAGOHE"/>
    <s v="T871EBY: Harsh braking has been activated. At 11.02.2026 08:15:50 it moved with speed 59 km/h near 'Rn39, Lualaba, Democratic Republic of the Congo, 1.38 km from Fungurume'."/>
    <s v="Rn39, Democratic Republic of the Congo, Lualaba, 1.38 km from Fungurume"/>
    <n v="3"/>
  </r>
  <r>
    <n v="118"/>
    <x v="25"/>
    <d v="2026-02-11T13:45:00"/>
    <x v="10"/>
    <s v="SALIMU SAIDI KIANDIKO"/>
    <s v="T914EBW: Harsh braking has been activated. At 11.02.2026 13:45:00 it moved with speed 55 km/h near 'Rn1, Haut-Katanga, Democratic Republic of the Congo, 16.03 km from Lwisha'."/>
    <s v="Rn1, Democratic Republic of the Congo, Haut-Katanga, 16.03 km from Lwisha"/>
    <n v="3"/>
  </r>
  <r>
    <n v="119"/>
    <x v="82"/>
    <d v="2026-02-12T09:12:14"/>
    <x v="11"/>
    <s v="DAVID CHRISTOPHER KESSY"/>
    <s v="T261EBX: Harsh braking has been activated. At 12.02.2026 09:12:14 it moved with speed 53 km/h near 'Great North Road, Central Province, Zambia, 8.21 km from Serenje'."/>
    <s v="Great North Road, Zambia, Central Province, 8.21 km from Serenje"/>
    <n v="5"/>
  </r>
  <r>
    <n v="120"/>
    <x v="83"/>
    <d v="2026-02-12T07:51:43"/>
    <x v="11"/>
    <s v="RAMADHANI NASSORO KILUA"/>
    <s v="T318EBY: Harsh braking has been activated. At 12.02.2026 07:51:43 it moved with speed 58 km/h near 'Great North Road, Central Province, Zambia, 7.93 km from Godfrey Kunda'."/>
    <s v="Great North Road, Zambia, Central Province, 7.93 km from Godfrey Kunda"/>
    <n v="3"/>
  </r>
  <r>
    <n v="121"/>
    <x v="40"/>
    <d v="2026-02-12T07:08:05"/>
    <x v="11"/>
    <s v="JUMANNE ALLY NJECHELE"/>
    <s v="T402ECN: Harsh braking has been activated. At 12.02.2026 07:08:05 it moved with speed 56 km/h near 'Great North Road, Muchinga Province, Zambia, 2.11 km from Godfrey Kunda'."/>
    <s v="Great North Road, Zambia, Muchinga Province, 2.11 km from Godfrey Kunda"/>
    <n v="9"/>
  </r>
  <r>
    <n v="122"/>
    <x v="5"/>
    <d v="2026-02-12T06:34:17"/>
    <x v="11"/>
    <s v="RAJABU MOHAMED MATUA"/>
    <s v="T407DHE: Harsh braking has been activated. At 12.02.2026 06:34:17 it moved with speed 54 km/h near 'Iringa Road, Morogoro, Tanzania, 1.26 km from Melela Mlandizi'."/>
    <s v="Iringa Road, Tanzania, Morogoro, 1.26 km from Melela Mlandizi"/>
    <n v="6"/>
  </r>
  <r>
    <n v="123"/>
    <x v="84"/>
    <d v="2026-02-12T08:38:46"/>
    <x v="11"/>
    <s v="MFAUME SALUM LWAUPA"/>
    <s v="T526EBY: Harsh braking has been activated. At 12.02.2026 08:38:46 it moved with speed 52 km/h near 'Great North Road, Muchinga Province, Zambia, 3.91 km from Kaloswe'."/>
    <s v="Great North Road, Zambia, Muchinga Province, 3.91 km from Kaloswe"/>
    <n v="3"/>
  </r>
  <r>
    <n v="124"/>
    <x v="85"/>
    <d v="2026-02-12T08:45:50"/>
    <x v="11"/>
    <s v="ABUBAKARY OMARY KABAKA"/>
    <s v="T677EBX: Harsh braking has been activated. At 12.02.2026 08:45:50 it moved with speed 53 km/h near 'Great North Road, Muchinga Province, Zambia, 9.41 km from Chinkumba'."/>
    <s v="Great North Road, Zambia, Muchinga Province, 9.41 km from Chinkumba"/>
    <n v="4"/>
  </r>
  <r>
    <n v="125"/>
    <x v="86"/>
    <d v="2026-02-12T07:36:34"/>
    <x v="11"/>
    <s v="EZEKIEL MASANJA LUGANDU"/>
    <s v="T725EBX: Harsh braking has been activated. At 12.02.2026 07:36:34 it moved with speed 58 km/h near 'Great North Road, Muchinga Province, Zambia, 7.88 km from Chinunda'."/>
    <s v="Great North Road, Zambia, Muchinga Province, 7.88 km from Chinunda"/>
    <n v="3"/>
  </r>
  <r>
    <n v="126"/>
    <x v="30"/>
    <d v="2026-02-12T08:38:37"/>
    <x v="11"/>
    <s v="GERALD RAPHAEL SALAMALA"/>
    <s v="T741EBX: Harsh braking has been activated. At 12.02.2026 08:38:37 it moved with speed 53 km/h near 'Great North Road, Muchinga Province, Zambia, 3.89 km from Kaloswe'."/>
    <s v="Great North Road, Zambia, Muchinga Province, 3.89 km from Kaloswe"/>
    <n v="4"/>
  </r>
  <r>
    <n v="127"/>
    <x v="87"/>
    <d v="2026-02-12T09:08:25"/>
    <x v="11"/>
    <s v="JABU RASHIDI ISSA"/>
    <s v="T754DEB: Harsh braking has been activated. At 12.02.2026 09:08:25 it moved with speed 56 km/h near 'M4, Copperbelt Province, Zambia, 4.97 km from Mufulira'."/>
    <s v="M4, Zambia, Copperbelt Province, 4.97 km from Mufulira"/>
    <n v="5"/>
  </r>
  <r>
    <n v="128"/>
    <x v="79"/>
    <d v="2026-02-12T12:34:16"/>
    <x v="11"/>
    <s v="SUNDAY EDWIN SOKA"/>
    <s v="T755EBX: Harsh braking has been activated. At 12.02.2026 12:34:16 it moved with speed 70 km/h near 'Rn1, Haut-Katanga, Democratic Republic of the Congo, 11.54 km from Chamba'."/>
    <s v="Rn1, Democratic Republic of the Congo, Haut-Katanga, 11.54 km from Chamba"/>
    <n v="9"/>
  </r>
  <r>
    <n v="129"/>
    <x v="73"/>
    <d v="2026-02-12T16:30:18"/>
    <x v="11"/>
    <s v="YUSUPH ZIAGA SANGA"/>
    <s v="T817EBW: Harsh braking has been activated. At 12.02.2026 16:30:18 it moved with speed 58 km/h near 'Rn1, Haut-Katanga, Democratic Republic of the Congo, 6.78 km from Kasumbalesa'."/>
    <s v="Rn1, Democratic Republic of the Congo, Haut-Katanga, 6.78 km from Kasumbalesa"/>
    <n v="12"/>
  </r>
  <r>
    <n v="130"/>
    <x v="88"/>
    <d v="2026-02-12T11:28:12"/>
    <x v="11"/>
    <s v="STEPHANO ABINELI ULOMI"/>
    <s v="T873EBY: Harsh braking has been activated. At 12.02.2026 11:28:12 it moved with speed 56 km/h near 'T3, Copperbelt Province, Zambia, 14.25 km from Pukota'."/>
    <s v="T3, Zambia, Copperbelt Province, 14.25 km from Pukota"/>
    <n v="3"/>
  </r>
  <r>
    <n v="131"/>
    <x v="89"/>
    <d v="2026-02-12T14:08:10"/>
    <x v="11"/>
    <s v="RAMADHAN RAHIBU SULEIMAN"/>
    <s v="T904EBW: Harsh braking has been activated. At 12.02.2026 14:08:10 it moved with speed 54 km/h near 'Route De Kanianina, Haut-Katanga, Democratic Republic of the Congo, 2.45 km from Kakila'."/>
    <s v="Route De Kanianina, Democratic Republic of the Congo, Haut-Katanga, 2.45 km from Kakila"/>
    <n v="3"/>
  </r>
  <r>
    <n v="132"/>
    <x v="90"/>
    <d v="2026-02-13T14:18:47"/>
    <x v="12"/>
    <s v="NASSIBU MSENGESI MLASA"/>
    <s v="T102EBX: Harsh braking has been activated. At 13.02.2026 14:18:47 it moved with speed 51 km/h near 'Great North Road, Central Province, Zambia, 6.64 km from Godfrey Kunda'."/>
    <s v="Great North Road, Zambia, Central Province, 6.64 km from Godfrey Kunda"/>
    <n v="3"/>
  </r>
  <r>
    <n v="133"/>
    <x v="91"/>
    <d v="2026-02-13T09:53:46"/>
    <x v="12"/>
    <s v="ABDUL SWEDI URASA"/>
    <s v="T147EBX: Harsh braking has been activated. At 13.02.2026 09:53:46 it moved with speed 52 km/h near 'Great North Road, Muchinga Province, Zambia, 2.41 km from Mpumba'."/>
    <s v="Great North Road, Zambia, Muchinga Province, 2.41 km from Mpumba"/>
    <n v="3"/>
  </r>
  <r>
    <n v="134"/>
    <x v="92"/>
    <d v="2026-02-13T10:41:11"/>
    <x v="12"/>
    <s v="RICHARD ALOYCE MAKYAO"/>
    <s v="T178EBX: Harsh braking has been activated. At 13.02.2026 10:41:11 it moved with speed 56 km/h near 'Great North Road, Muchinga Province, Zambia, 3.92 km from Kaloswe'."/>
    <s v="Great North Road, Zambia, Muchinga Province, 3.92 km from Kaloswe"/>
    <n v="3"/>
  </r>
  <r>
    <n v="135"/>
    <x v="20"/>
    <d v="2026-02-13T09:10:34"/>
    <x v="12"/>
    <s v="ELIAH YUSUPH MPANGO"/>
    <s v="T232EBX: Harsh braking has been activated. At 13.02.2026 09:10:34 it moved with speed 60 km/h near 'Great North Road, Muchinga Province, Zambia, 19.54 km from Katibunga'."/>
    <s v="Great North Road, Zambia, Muchinga Province, 19.54 km from Katibunga"/>
    <n v="7"/>
  </r>
  <r>
    <n v="136"/>
    <x v="51"/>
    <d v="2026-02-13T13:17:19"/>
    <x v="12"/>
    <s v="MOHAMEDI IDDI KULWA"/>
    <s v="T269EBX: Harsh braking has been activated. At 13.02.2026 13:17:19 it moved with speed 56 km/h near 'Iringa Road, Lundamatwe, Iringa, Tanzania'."/>
    <s v="Lundamatwe, Iringa Road, Tanzania, Iringa"/>
    <n v="5"/>
  </r>
  <r>
    <n v="137"/>
    <x v="93"/>
    <d v="2026-02-13T16:16:45"/>
    <x v="12"/>
    <s v="SALUM ALLY MAYANGA"/>
    <s v="T308EBX: Harsh braking has been activated. At 13.02.2026 16:16:45 it moved with speed 56 km/h near 'Great North Road, Central Province, Zambia, 6.58 km from Kanona'."/>
    <s v="Great North Road, Zambia, Central Province, 6.58 km from Kanona"/>
    <n v="7"/>
  </r>
  <r>
    <n v="138"/>
    <x v="94"/>
    <d v="2026-02-13T09:28:41"/>
    <x v="12"/>
    <s v="DAUD JOSEPH GINATIO"/>
    <s v="T386ECN: Harsh braking has been activated. At 13.02.2026 09:28:41 it moved with speed 66 km/h near 'Great North Road, Central Province, Zambia, 9.97 km from Mkushi'."/>
    <s v="Great North Road, Zambia, Central Province, 9.97 km from Mkushi"/>
    <n v="3"/>
  </r>
  <r>
    <n v="139"/>
    <x v="95"/>
    <d v="2026-02-13T08:11:41"/>
    <x v="12"/>
    <s v="OMARY IDDY MACHUPPA"/>
    <s v="T390ECN: Harsh braking has been activated. At 13.02.2026 08:11:41 it moved with speed 60 km/h near 'Great North Road, Muchinga Province, Zambia, 1.14 km from Mkasi'."/>
    <s v="Great North Road, Zambia, Muchinga Province, 1.14 km from Mkasi"/>
    <n v="3"/>
  </r>
  <r>
    <n v="140"/>
    <x v="96"/>
    <d v="2026-02-13T12:34:24"/>
    <x v="12"/>
    <s v="PASTOR GASPER MCHAU"/>
    <s v="T590DTQ: Harsh braking has been activated. At 13.02.2026 12:34:24 it moved with speed 56 km/h near 'Great North Road, Muchinga Province, Zambia, 12.71 km from Mwezo'."/>
    <s v="Great North Road, Zambia, Muchinga Province, 12.71 km from Mwezo"/>
    <n v="4"/>
  </r>
  <r>
    <n v="141"/>
    <x v="97"/>
    <d v="2026-02-13T10:47:43"/>
    <x v="12"/>
    <s v="HARFANI MANENO MGAWE"/>
    <s v="T680EBX: Harsh braking has been activated. At 13.02.2026 10:47:43 it moved with speed 55 km/h near 'Great North Road, Central Province, Zambia, 3.73 km from Ndabala'."/>
    <s v="Great North Road, Zambia, Central Province, 3.73 km from Ndabala"/>
    <n v="4"/>
  </r>
  <r>
    <n v="142"/>
    <x v="98"/>
    <d v="2026-02-13T07:59:42"/>
    <x v="12"/>
    <s v="MUMBA YASSINI KHAMISI"/>
    <s v="T710EBX: Harsh braking has been activated. At 13.02.2026 07:59:42 it moved with speed 51 km/h near 'Great North Road, Central Province, Zambia, 14.57 km from Kanona'."/>
    <s v="Great North Road, Zambia, Central Province, 14.57 km from Kanona"/>
    <n v="3"/>
  </r>
  <r>
    <n v="143"/>
    <x v="87"/>
    <d v="2026-02-13T11:45:13"/>
    <x v="12"/>
    <s v="JABU RASHIDI ISSA"/>
    <s v="T754DEB: Harsh braking has been activated. At 13.02.2026 11:45:13 it moved with speed 51 km/h near 'Great North Road, Central Province, Zambia, 5.87 km from Serenje'."/>
    <s v="Great North Road, Zambia, Central Province, 5.87 km from Serenje"/>
    <n v="4"/>
  </r>
  <r>
    <n v="144"/>
    <x v="99"/>
    <d v="2026-02-13T10:54:01"/>
    <x v="12"/>
    <n v="0"/>
    <s v="T770DYR: Harsh braking has been activated. At 13.02.2026 10:54:01 it moved with speed 52 km/h near 'Great North Road, Central Province, Zambia, 10.64 km from Muchinka'."/>
    <s v="Great North Road, Zambia, Central Province, 10.64 km from Muchinka"/>
    <n v="3"/>
  </r>
  <r>
    <n v="145"/>
    <x v="100"/>
    <d v="2026-02-13T16:30:27"/>
    <x v="12"/>
    <s v="REVOCATUS LAUREAN ANATORY"/>
    <s v="T839EBY: Harsh braking has been activated. At 13.02.2026 16:30:27 it moved with speed 55 km/h near 'Great North Road, Muchinga Province, Zambia, 4.34 km from Musata'."/>
    <s v="Great North Road, Zambia, Muchinga Province, 4.34 km from Musata"/>
    <n v="5"/>
  </r>
  <r>
    <n v="146"/>
    <x v="101"/>
    <d v="2026-02-13T08:21:08"/>
    <x v="12"/>
    <s v="HAMISI SELEMAN ZITTO"/>
    <s v="T849EBY: Harsh braking has been activated. At 13.02.2026 08:21:08 it moved with speed 58 km/h near 'Great North Road, Muchinga Province, Zambia, Mkasi'."/>
    <s v="Great North Road, Zambia, Muchinga Province, Mkasi"/>
    <n v="3"/>
  </r>
  <r>
    <n v="147"/>
    <x v="102"/>
    <d v="2026-02-13T11:57:37"/>
    <x v="12"/>
    <s v="SULEIMAN RAMADHANI KILIMWENGU"/>
    <s v="T858EBY: Harsh braking has been activated. At 13.02.2026 11:57:37 it moved with speed 52 km/h near 'Great North Road, Muchinga Province, Zambia, 5.07 km from Kalonje'."/>
    <s v="Great North Road, Zambia, Muchinga Province, 5.07 km from Kalonje"/>
    <n v="4"/>
  </r>
  <r>
    <n v="148"/>
    <x v="88"/>
    <d v="2026-02-13T07:28:19"/>
    <x v="12"/>
    <s v="STEPHANO ABINELI ULOMI"/>
    <s v="T873EBY: Harsh braking has been activated. At 13.02.2026 07:28:19 it moved with speed 53 km/h near 'Great North Road, Central Province, Zambia, 19.80 km from Serenje'."/>
    <s v="Great North Road, Zambia, Central Province, 19.80 km from Serenje"/>
    <n v="3"/>
  </r>
  <r>
    <n v="149"/>
    <x v="103"/>
    <d v="2026-02-13T09:30:44"/>
    <x v="12"/>
    <s v="ISSA MOHAMED KIMWAGA"/>
    <s v="T891EBW: Harsh braking has been activated. At 13.02.2026 09:30:44 it moved with speed 56 km/h near 'Great North Road, Muchinga Province, Zambia, 6.83 km from Mkasi'."/>
    <s v="Great North Road, Zambia, Muchinga Province, 6.83 km from Mkasi"/>
    <n v="8"/>
  </r>
  <r>
    <n v="150"/>
    <x v="89"/>
    <d v="2026-02-13T17:01:43"/>
    <x v="12"/>
    <s v="RAMADHAN RAHIBU SULEIMAN"/>
    <s v="T904EBW: Harsh braking has been activated. At 13.02.2026 17:01:43 it moved with speed 58 km/h near 'Rn1, Haut-Katanga, Democratic Republic of the Congo, 4.73 km from Tshinsenda'."/>
    <s v="Rn1, Democratic Republic of the Congo, Haut-Katanga, 4.73 km from Tshinsenda"/>
    <n v="5"/>
  </r>
  <r>
    <n v="151"/>
    <x v="104"/>
    <d v="2026-02-13T15:03:23"/>
    <x v="12"/>
    <s v="HASSANI MABROUCK TUNZA"/>
    <s v="T932EBW: Harsh braking has been activated. At 13.02.2026 15:03:23 it moved with speed 56 km/h near 'Rn1, Haut-Katanga, Democratic Republic of the Congo, 1.96 km from Sumbilili'."/>
    <s v="Rn1, Democratic Republic of the Congo, Haut-Katanga, 1.96 km from Sumbilili"/>
    <n v="3"/>
  </r>
  <r>
    <n v="152"/>
    <x v="105"/>
    <d v="2026-02-14T06:53:19"/>
    <x v="13"/>
    <s v="JUMANNE ALLY MUHINA"/>
    <s v="T259EBY: Harsh braking has been activated. At 14.02.2026 06:53:19 it moved with speed 57 km/h near 'Great North Road, Muchinga Province, Zambia, 5.06 km from Mkasi'."/>
    <s v="Great North Road, Zambia, Muchinga Province, 5.06 km from Mkasi"/>
    <n v="7"/>
  </r>
  <r>
    <n v="153"/>
    <x v="95"/>
    <d v="2026-02-14T08:03:54"/>
    <x v="13"/>
    <s v="OMARY IDDY MACHUPPA"/>
    <s v="T390ECN: Harsh braking has been activated. At 14.02.2026 08:03:54 it moved with speed 55 km/h near 'Great North Road, Muchinga Province, Zambia, 1.42 km from Musata'."/>
    <s v="Great North Road, Zambia, Muchinga Province, 1.42 km from Musata"/>
    <n v="6"/>
  </r>
  <r>
    <n v="154"/>
    <x v="8"/>
    <d v="2026-02-14T11:31:51"/>
    <x v="13"/>
    <s v="GABRIEL SHIJA MAHONA"/>
    <s v="T494DYR: Harsh braking has been activated. At 14.02.2026 11:31:51 it moved with speed 58 km/h near 'Great North Road, Muchinga Province, Zambia, 17.50 km from Mukukwe'."/>
    <s v="Great North Road, Zambia, Muchinga Province, 17.50 km from Mukukwe"/>
    <n v="10"/>
  </r>
  <r>
    <n v="155"/>
    <x v="106"/>
    <d v="2026-02-14T07:49:48"/>
    <x v="13"/>
    <s v="ERASTO CHARLES MTWEVE"/>
    <s v="T512EBY: Harsh braking has been activated. At 14.02.2026 07:49:48 it moved with speed 56 km/h near 'Rue De La Kamoa Mine, Lualaba, Democratic Republic of the Congo, 6.66 km from Kapata'."/>
    <s v="Rue De La Kamoa Mine, Democratic Republic of the Congo, Lualaba, 6.66 km from Kapata"/>
    <n v="3"/>
  </r>
  <r>
    <n v="156"/>
    <x v="107"/>
    <d v="2026-02-14T15:45:49"/>
    <x v="13"/>
    <s v="STAN ENISON LULANDALA"/>
    <s v="T561DYR: Harsh braking has been activated. At 14.02.2026 15:45:49 it moved with speed 63 km/h near 'Rn1, Haut-Katanga, Democratic Republic of the Congo, 5.40 km from Lwisha'."/>
    <s v="Rn1, Democratic Republic of the Congo, Haut-Katanga, 5.40 km from Lwisha"/>
    <n v="5"/>
  </r>
  <r>
    <n v="157"/>
    <x v="108"/>
    <d v="2026-02-14T08:10:21"/>
    <x v="13"/>
    <s v="RAMADHANI SALIMU SHEDAFA"/>
    <s v="T588DTQ: Harsh braking has been activated. At 14.02.2026 08:10:21 it moved with speed 53 km/h near 'Rue De La Kamoa Mine, Lualaba, Democratic Republic of the Congo, 1.53 km from Tshizunza'."/>
    <s v="Rue De La Kamoa Mine, Democratic Republic of the Congo, Lualaba, 1.53 km from Tshizunza"/>
    <n v="3"/>
  </r>
  <r>
    <n v="158"/>
    <x v="96"/>
    <d v="2026-02-14T11:38:37"/>
    <x v="13"/>
    <s v="PASTOR GASPER MCHAU"/>
    <s v="T590DTQ: Harsh braking has been activated. At 14.02.2026 11:38:37 it moved with speed 57 km/h near 'Great North Road, Muchinga Province, Zambia, 1.33 km from Kaloswe'."/>
    <s v="Great North Road, Zambia, Muchinga Province, 1.33 km from Kaloswe"/>
    <n v="7"/>
  </r>
  <r>
    <n v="159"/>
    <x v="109"/>
    <d v="2026-02-14T08:15:41"/>
    <x v="13"/>
    <s v="CHRISTIAN NKWELA MAPUNDA"/>
    <s v="T728EBX: Harsh braking has been activated. At 14.02.2026 08:15:41 it moved with speed 55 km/h near 'Great North Road, Muchinga Province, Zambia, Chinkumba'."/>
    <s v="Great North Road, Zambia, Muchinga Province, Chinkumba"/>
    <n v="4"/>
  </r>
  <r>
    <n v="160"/>
    <x v="79"/>
    <d v="2026-02-14T09:26:21"/>
    <x v="13"/>
    <s v="SUNDAY EDWIN SOKA"/>
    <s v="T755EBX: Harsh braking has been activated. At 14.02.2026 09:26:21 it moved with speed 67 km/h near 'M16, Copperbelt Province, Zambia, 9.56 km from Kalulushi'."/>
    <s v="M16, Zambia, Copperbelt Province, 9.56 km from Kalulushi"/>
    <n v="4"/>
  </r>
  <r>
    <n v="161"/>
    <x v="73"/>
    <d v="2026-02-14T09:21:57"/>
    <x v="13"/>
    <s v="YUSUPH ZIAGA SANGA"/>
    <s v="T817EBW: Harsh braking has been activated. At 14.02.2026 09:21:57 it moved with speed 64 km/h near 'M4, Copperbelt Province, Zambia, 4.78 km from Mufulira'."/>
    <s v="M4, Zambia, Copperbelt Province, 4.78 km from Mufulira"/>
    <n v="22"/>
  </r>
  <r>
    <n v="162"/>
    <x v="22"/>
    <d v="2026-02-14T09:30:23"/>
    <x v="13"/>
    <s v="OMARY SAID MTAJI"/>
    <s v="T861EBY: Harsh braking has been activated. At 14.02.2026 09:30:23 it moved with speed 55 km/h near 'Route Manshinga, Lubumbashi, Haut-Katanga, Democratic Republic of the Congo'."/>
    <s v="Lubumbashi, Route Manshinga, Democratic Republic of the Congo, Haut-Katanga"/>
    <n v="3"/>
  </r>
  <r>
    <n v="163"/>
    <x v="103"/>
    <d v="2026-02-14T10:35:02"/>
    <x v="13"/>
    <s v="ISSA MOHAMED KIMWAGA"/>
    <s v="T891EBW: Harsh braking has been activated. At 14.02.2026 10:35:02 it moved with speed 58 km/h near 'Great North Road, Central Province, Zambia, 9.10 km from Kanona'."/>
    <s v="Great North Road, Zambia, Central Province, 9.10 km from Kanona"/>
    <n v="10"/>
  </r>
  <r>
    <n v="164"/>
    <x v="69"/>
    <d v="2026-02-14T07:14:19"/>
    <x v="13"/>
    <s v="OMARI ATHUMANI SELEMANI"/>
    <s v="T930EBW: Harsh braking has been activated. At 14.02.2026 07:14:19 it moved with speed 54 km/h near 'Iringa Road, Morogoro, Kilosa, Tanzania, 9.44 km from Igagala'."/>
    <s v="Iringa Road, Tanzania, Morogoro, Kilosa, 9.44 km from Igagala"/>
    <n v="5"/>
  </r>
  <r>
    <n v="165"/>
    <x v="110"/>
    <d v="2026-02-14T07:31:43"/>
    <x v="13"/>
    <s v="JOSEPHAT ALOYCE KAHEMELE"/>
    <s v="T946EBW: Harsh braking has been activated. At 14.02.2026 07:31:43 it moved with speed 57 km/h near 'T1, Morogoro, Tanzania, 3.28 km from Fulwe'."/>
    <s v="T1, Tanzania, Morogoro, 3.28 km from Fulwe"/>
    <n v="4"/>
  </r>
  <r>
    <n v="166"/>
    <x v="105"/>
    <d v="2026-02-15T09:10:04"/>
    <x v="14"/>
    <s v="JUMANNE ALLY MUHINA"/>
    <s v="T259EBY: Harsh braking has been activated. At 15.02.2026 09:10:04 it moved with speed 56 km/h near 'Great North Road, Central Province, Zambia, 4.86 km from Chifwefwe B'."/>
    <s v="Great North Road, Zambia, Central Province, 4.86 km from Chifwefwe B"/>
    <n v="3"/>
  </r>
  <r>
    <n v="167"/>
    <x v="111"/>
    <d v="2026-02-15T09:54:47"/>
    <x v="14"/>
    <s v="WILLIAM RICHARD MACK"/>
    <s v="T286EBY: Harsh braking has been activated. At 15.02.2026 09:54:47 it moved with speed 60 km/h near 'Great North Road, Central Province, Zambia, 4.44 km from Mkushi'."/>
    <s v="Great North Road, Zambia, Central Province, 4.44 km from Mkushi"/>
    <n v="4"/>
  </r>
  <r>
    <n v="168"/>
    <x v="112"/>
    <d v="2026-02-15T11:52:31"/>
    <x v="14"/>
    <s v="MARTIN KYEJO MARTIN"/>
    <s v="T396ECN: Harsh braking has been activated. At 15.02.2026 11:52:31 it moved with speed 52 km/h near 'T35, Pwani, Bagamoyo, Tanzania, 1.15 km from Kifudwe'."/>
    <s v="T35, Tanzania, Pwani, Bagamoyo, 1.15 km from Kifudwe"/>
    <n v="3"/>
  </r>
  <r>
    <n v="169"/>
    <x v="8"/>
    <d v="2026-02-15T18:13:21"/>
    <x v="14"/>
    <s v="GABRIEL SHIJA MAHONA"/>
    <s v="T494DYR: Harsh braking has been activated. At 15.02.2026 18:13:21 it moved with speed 56 km/h near 'Great North Road, Central Province, Zambia, 14.72 km from Ndabala'."/>
    <s v="Great North Road, Zambia, Central Province, 14.72 km from Ndabala"/>
    <n v="24"/>
  </r>
  <r>
    <n v="170"/>
    <x v="107"/>
    <d v="2026-02-15T09:14:20"/>
    <x v="14"/>
    <s v="STAN ENISON LULANDALA"/>
    <s v="T561DYR: Harsh braking has been activated. At 15.02.2026 09:14:20 it moved with speed 53 km/h near 'Rn1, Haut-Katanga, Democratic Republic of the Congo, 2.28 km from Kasumbalesa'."/>
    <s v="Rn1, Democratic Republic of the Congo, Haut-Katanga, 2.28 km from Kasumbalesa"/>
    <n v="4"/>
  </r>
  <r>
    <n v="171"/>
    <x v="113"/>
    <d v="2026-02-15T15:58:34"/>
    <x v="14"/>
    <s v="HASSAN AWADHI TAMIM"/>
    <s v="T578DYR: Harsh braking has been activated. At 15.02.2026 15:58:34 it moved with speed 52 km/h near 'Rn39, Lualaba, Democratic Republic of the Congo, 4.09 km from Kazembe'."/>
    <s v="Rn39, Democratic Republic of the Congo, Lualaba, 4.09 km from Kazembe"/>
    <n v="5"/>
  </r>
  <r>
    <n v="172"/>
    <x v="67"/>
    <d v="2026-02-15T18:05:38"/>
    <x v="14"/>
    <s v="MISTWAHI AMRI SAID"/>
    <s v="T589DYR: Harsh braking has been activated. At 15.02.2026 18:05:38 it moved with speed 67 km/h near 'Rn1, Haut-Katanga, Democratic Republic of the Congo, 1.13 km from Mulungwishi'."/>
    <s v="Rn1, Democratic Republic of the Congo, Haut-Katanga, 1.13 km from Mulungwishi"/>
    <n v="3"/>
  </r>
  <r>
    <n v="173"/>
    <x v="109"/>
    <d v="2026-02-15T08:49:04"/>
    <x v="14"/>
    <s v="CHRISTIAN NKWELA MAPUNDA"/>
    <s v="T728EBX: Harsh braking has been activated. At 15.02.2026 08:49:04 it moved with speed 65 km/h near 'Great North Road, Central Province, Zambia, 11.04 km from Muchinka'."/>
    <s v="Great North Road, Zambia, Central Province, 11.04 km from Muchinka"/>
    <n v="3"/>
  </r>
  <r>
    <n v="174"/>
    <x v="79"/>
    <d v="2026-02-15T08:30:30"/>
    <x v="14"/>
    <s v="SUNDAY EDWIN SOKA"/>
    <s v="T755EBX: Harsh braking has been activated. At 15.02.2026 08:30:30 it moved with speed 61 km/h near 'Great North Road, Central Province, Zambia, 9.94 km from Kapiri Mposhi'."/>
    <s v="Great North Road, Zambia, Central Province, 9.94 km from Kapiri Mposhi"/>
    <n v="9"/>
  </r>
  <r>
    <n v="175"/>
    <x v="80"/>
    <d v="2026-02-15T07:39:10"/>
    <x v="14"/>
    <s v="JAPHARY NASSORO JAPHARY"/>
    <s v="T803EBW: Harsh braking has been activated. At 15.02.2026 07:39:10 it moved with speed 53 km/h near 'Iringa Road, Morogoro, Kilosa, Tanzania, 3.90 km from Msimba'."/>
    <s v="Iringa Road, Tanzania, Morogoro, Kilosa, 3.90 km from Msimba"/>
    <n v="3"/>
  </r>
  <r>
    <n v="176"/>
    <x v="73"/>
    <d v="2026-02-15T09:26:03"/>
    <x v="14"/>
    <s v="YUSUPH ZIAGA SANGA"/>
    <s v="T817EBW: Harsh braking has been activated. At 15.02.2026 09:26:03 it moved with speed 77 km/h near 'Great North Road, Central Province, Zambia, 11.54 km from Chitiwa'."/>
    <s v="Great North Road, Zambia, Central Province, 11.54 km from Chitiwa"/>
    <n v="21"/>
  </r>
  <r>
    <n v="177"/>
    <x v="74"/>
    <d v="2026-02-15T08:17:54"/>
    <x v="14"/>
    <s v="MADENGE SALUM SHOMARI"/>
    <s v="T892EBW: Harsh braking has been activated. At 15.02.2026 08:17:54 it moved with speed 55 km/h near 'T1, Mbeya, Tanzania, 4.25 km from Igawa'."/>
    <s v="T1, Tanzania, Mbeya, 4.25 km from Igawa"/>
    <n v="5"/>
  </r>
  <r>
    <n v="178"/>
    <x v="64"/>
    <d v="2026-02-16T09:07:52"/>
    <x v="15"/>
    <s v="JOEL SAMSON MANDAGO"/>
    <s v="T235EBX: Harsh braking has been activated. At 16.02.2026 09:07:52 it moved with speed 53 km/h near 'Rn1, Haut-Katanga, Democratic Republic of the Congo, 7.62 km from Sumbilili'."/>
    <s v="Rn1, Democratic Republic of the Congo, Haut-Katanga, 7.62 km from Sumbilili"/>
    <n v="3"/>
  </r>
  <r>
    <n v="179"/>
    <x v="111"/>
    <d v="2026-02-16T09:58:14"/>
    <x v="15"/>
    <s v="WILLIAM RICHARD MACK"/>
    <s v="T286EBY: Harsh braking has been activated. At 16.02.2026 09:58:14 it moved with speed 52 km/h near 'Great North Road, Muchinga Province, Zambia, 3.28 km from Chisoso'."/>
    <s v="Great North Road, Zambia, Muchinga Province, 3.28 km from Chisoso"/>
    <n v="4"/>
  </r>
  <r>
    <n v="180"/>
    <x v="3"/>
    <d v="2026-02-16T08:16:48"/>
    <x v="15"/>
    <s v="YUSUFU  SAMSON NICODEMUS"/>
    <s v="T331EBX: Harsh braking has been activated. At 16.02.2026 08:16:48 it moved with speed 61 km/h near 'Great North Road, Muchinga Province, Zambia, 5.97 km from Kamangu'."/>
    <s v="Great North Road, Zambia, Muchinga Province, 5.97 km from Kamangu"/>
    <n v="3"/>
  </r>
  <r>
    <n v="181"/>
    <x v="39"/>
    <d v="2026-02-16T15:52:39"/>
    <x v="15"/>
    <s v="OMARI SALIMU MOHAMEDI"/>
    <s v="T339EBX: Harsh braking has been activated. At 16.02.2026 15:52:39 it moved with speed 60 km/h near 'Great North Road, Central Province, Zambia, 6.61 km from Kanona'."/>
    <s v="Great North Road, Zambia, Central Province, 6.61 km from Kanona"/>
    <n v="6"/>
  </r>
  <r>
    <n v="182"/>
    <x v="114"/>
    <d v="2026-02-16T19:53:41"/>
    <x v="15"/>
    <s v="JITENGENI YAHYA MZEE"/>
    <s v="T340EBX: Harsh braking has been activated. At 16.02.2026 19:53:41 it moved with speed 56 km/h near 'Rn1, Haut-Katanga, Democratic Republic of the Congo, 8.77 km from Lwambo'."/>
    <s v="Rn1, Democratic Republic of the Congo, Haut-Katanga, 8.77 km from Lwambo"/>
    <n v="3"/>
  </r>
  <r>
    <n v="183"/>
    <x v="76"/>
    <d v="2026-02-16T07:44:33"/>
    <x v="15"/>
    <s v="JEREMIAHY SIMONE MWALUKO"/>
    <s v="T378ECN: Harsh braking has been activated. At 16.02.2026 07:44:33 it moved with speed 58 km/h near 'Great North Road, Muchinga Province, Zambia, 4.50 km from Chikwanda'."/>
    <s v="Great North Road, Zambia, Muchinga Province, 4.50 km from Chikwanda"/>
    <n v="5"/>
  </r>
  <r>
    <n v="184"/>
    <x v="40"/>
    <d v="2026-02-16T07:30:44"/>
    <x v="15"/>
    <s v="JUMANNE ALLY NJECHELE"/>
    <s v="T402ECN: Harsh braking has been activated. At 16.02.2026 07:30:44 it moved with speed 55 km/h near 'Iringa Road, Morogoro, Kilosa, Tanzania, 8.73 km from Igagala'."/>
    <s v="Iringa Road, Tanzania, Morogoro, Kilosa, 8.73 km from Igagala"/>
    <n v="5"/>
  </r>
  <r>
    <n v="185"/>
    <x v="7"/>
    <d v="2026-02-16T11:37:33"/>
    <x v="15"/>
    <s v="RAMADHANI SHABANI WAGAMOYO"/>
    <s v="T482DYR: Harsh braking has been activated. At 16.02.2026 11:37:33 it moved with speed 59 km/h near 'Great North Road, Muchinga Province, Zambia, 3.10 km from Mukwikile'."/>
    <s v="Great North Road, Zambia, Muchinga Province, 3.10 km from Mukwikile"/>
    <n v="3"/>
  </r>
  <r>
    <n v="186"/>
    <x v="77"/>
    <d v="2026-02-16T01:07:44"/>
    <x v="15"/>
    <s v="LAMECK CHARLES ROMAN"/>
    <s v="T492DYR: Harsh braking has been activated. At 16.02.2026 01:07:44 it moved with speed 54 km/h near 'Kilwa Road, Dar Es Salaam, Azimio, Tanzania'."/>
    <s v="Dar Es Salaam, Kilwa Road, Tanzania, Azimio"/>
    <n v="3"/>
  </r>
  <r>
    <n v="187"/>
    <x v="8"/>
    <d v="2026-02-16T11:19:59"/>
    <x v="15"/>
    <s v="GABRIEL SHIJA MAHONA"/>
    <s v="T494DYR: Harsh braking has been activated. At 16.02.2026 11:19:59 it moved with speed 57 km/h near 'T3, Copperbelt Province, Zambia, 4.20 km from Pukota'."/>
    <s v="T3, Zambia, Copperbelt Province, 4.20 km from Pukota"/>
    <n v="3"/>
  </r>
  <r>
    <n v="188"/>
    <x v="115"/>
    <d v="2026-02-16T14:56:01"/>
    <x v="15"/>
    <s v="DAVID NICHOLAUS MASAKA"/>
    <s v="T523EBY: Harsh braking has been activated. At 16.02.2026 14:56:01 it moved with speed 57 km/h near 'Great North Road, Muchinga Province, Zambia, 4.80 km from Godfrey Kunda'."/>
    <s v="Great North Road, Zambia, Muchinga Province, 4.80 km from Godfrey Kunda"/>
    <n v="4"/>
  </r>
  <r>
    <n v="189"/>
    <x v="116"/>
    <d v="2026-02-16T14:03:20"/>
    <x v="15"/>
    <s v="OMAR RASHID CHIKUNJE"/>
    <s v="T524EBY: Harsh braking has been activated. At 16.02.2026 14:03:20 it moved with speed 51 km/h near 'M3, Northern Province, Zambia, 2.21 km from Chikoti'."/>
    <s v="M3, Zambia, Northern Province, 2.21 km from Chikoti"/>
    <n v="4"/>
  </r>
  <r>
    <n v="190"/>
    <x v="107"/>
    <d v="2026-02-16T07:44:28"/>
    <x v="15"/>
    <s v="STAN ENISON LULANDALA"/>
    <s v="T561DYR: Harsh braking has been activated. At 16.02.2026 07:44:28 it moved with speed 53 km/h near 'M3, Luapula Province, Zambia, 20.83 km from Kundamtumu'."/>
    <s v="M3, Zambia, Luapula Province, 20.83 km from Kundamtumu"/>
    <n v="4"/>
  </r>
  <r>
    <n v="191"/>
    <x v="117"/>
    <d v="2026-02-16T11:55:27"/>
    <x v="15"/>
    <s v="AHMED CONSTANTINE MAGERE"/>
    <s v="T581DTQ: Harsh braking has been activated. At 16.02.2026 11:55:27 it moved with speed 54 km/h near 'Rn1, Haut-Katanga, Democratic Republic of the Congo, 1.87 km from Kapolowe'."/>
    <s v="Rn1, Democratic Republic of the Congo, Haut-Katanga, 1.87 km from Kapolowe"/>
    <n v="3"/>
  </r>
  <r>
    <n v="192"/>
    <x v="73"/>
    <d v="2026-02-16T10:12:00"/>
    <x v="15"/>
    <s v="YUSUPH ZIAGA SANGA"/>
    <s v="T817EBW: Harsh braking has been activated. At 16.02.2026 10:12:00 it moved with speed 51 km/h near 'Great North Road, Muchinga Province, Zambia, 4.81 km from Chisoso'."/>
    <s v="Great North Road, Zambia, Muchinga Province, 4.81 km from Chisoso"/>
    <n v="12"/>
  </r>
  <r>
    <n v="193"/>
    <x v="81"/>
    <d v="2026-02-16T08:49:57"/>
    <x v="15"/>
    <s v="ATANASI PETRO MAGOHE"/>
    <s v="T871EBY: Harsh braking has been activated. At 16.02.2026 08:49:57 it moved with speed 54 km/h near 'Great North Road, Central Province, Zambia, 2.33 km from Kanona'."/>
    <s v="Great North Road, Zambia, Central Province, 2.33 km from Kanona"/>
    <n v="4"/>
  </r>
  <r>
    <n v="194"/>
    <x v="45"/>
    <d v="2026-02-16T07:39:06"/>
    <x v="15"/>
    <s v="HAMISI RAMADHANI SULTAN"/>
    <s v="T878EBY: Harsh braking has been activated. At 16.02.2026 07:39:06 it moved with speed 52 km/h near 'Great North Road, Central Province, Zambia, 5.11 km from Kapiri Mposhi'."/>
    <s v="Great North Road, Zambia, Central Province, 5.11 km from Kapiri Mposhi"/>
    <n v="3"/>
  </r>
  <r>
    <n v="195"/>
    <x v="118"/>
    <d v="2026-02-16T17:01:29"/>
    <x v="15"/>
    <s v="MUSSA ABDI OMAR"/>
    <s v="T887EBW: Harsh braking has been activated. At 16.02.2026 17:01:29 it moved with speed 53 km/h near 'Great North Road, Muchinga Province, Zambia, 8.88 km from Chilonga'."/>
    <s v="Great North Road, Zambia, Muchinga Province, 8.88 km from Chilonga"/>
    <n v="3"/>
  </r>
  <r>
    <n v="196"/>
    <x v="74"/>
    <d v="2026-02-16T11:10:59"/>
    <x v="15"/>
    <s v="MADENGE SALUM SHOMARI"/>
    <s v="T892EBW: Harsh braking has been activated. At 16.02.2026 11:10:59 it moved with speed 62 km/h near 'Iringa Road, Lundamatwe, Iringa, Tanzania'."/>
    <s v="Lundamatwe, Iringa Road, Tanzania, Iringa"/>
    <n v="5"/>
  </r>
  <r>
    <n v="197"/>
    <x v="24"/>
    <d v="2026-02-16T15:47:25"/>
    <x v="15"/>
    <s v="ALLY RASHID SAID"/>
    <s v="T905EBW: Harsh braking has been activated. At 16.02.2026 15:47:25 it moved with speed 56 km/h near 'Iringa Road, Morogoro, Tanzania, 4.80 km from Mtipule'."/>
    <s v="Iringa Road, Tanzania, Morogoro, 4.80 km from Mtipule"/>
    <n v="3"/>
  </r>
  <r>
    <n v="198"/>
    <x v="119"/>
    <d v="2026-02-17T07:36:39"/>
    <x v="16"/>
    <s v="MOHAMEDI ISSA KIBARATI"/>
    <s v="T144EBX: Harsh braking has been activated. At 17.02.2026 07:36:39 it moved with speed 55 km/h near 'Great North Road, Muchinga Province, Zambia, 9.45 km from Mukwikile'."/>
    <s v="Great North Road, Zambia, Muchinga Province, 9.45 km from Mukwikile"/>
    <n v="5"/>
  </r>
  <r>
    <n v="199"/>
    <x v="64"/>
    <d v="2026-02-17T10:12:17"/>
    <x v="16"/>
    <s v="JOEL SAMSON MANDAGO"/>
    <s v="T235EBX: Harsh braking has been activated. At 17.02.2026 10:12:17 it moved with speed 51 km/h near 'Rn36, Haut-Katanga, Democratic Republic of the Congo, 11.65 km from Kadima'."/>
    <s v="Rn36, Democratic Republic of the Congo, Haut-Katanga, 11.65 km from Kadima"/>
    <n v="13"/>
  </r>
  <r>
    <n v="200"/>
    <x v="120"/>
    <d v="2026-02-17T11:16:03"/>
    <x v="16"/>
    <s v="MUSSA RAMADHAN MITEMILIGWA"/>
    <s v="T278EBY: Harsh braking has been activated. At 17.02.2026 11:16:03 it moved with speed 63 km/h near 'T2, Tanga, Handeni, Tanzania, Kwenkwale'."/>
    <s v="T2, Tanzania, Tanga, Handeni, Kwenkwale"/>
    <n v="3"/>
  </r>
  <r>
    <n v="201"/>
    <x v="114"/>
    <d v="2026-02-17T11:58:12"/>
    <x v="16"/>
    <s v="JITENGENI YAHYA MZEE"/>
    <s v="T340EBX: Harsh braking has been activated. At 17.02.2026 11:58:12 it moved with speed 51 km/h near 'Rn1, Haut-Katanga, Democratic Republic of the Congo, 3.72 km from Sumbilili'."/>
    <s v="Rn1, Democratic Republic of the Congo, Haut-Katanga, 3.72 km from Sumbilili"/>
    <n v="3"/>
  </r>
  <r>
    <n v="202"/>
    <x v="121"/>
    <d v="2026-02-17T14:24:08"/>
    <x v="16"/>
    <s v="MUSSA OMARY HAMZA"/>
    <s v="T498DYR: Harsh braking has been activated. At 17.02.2026 14:24:08 it moved with speed 51 km/h near 'M3, Luapula Province, Zambia, 18.28 km from Chembe'."/>
    <s v="M3, Zambia, Luapula Province, 18.28 km from Chembe"/>
    <n v="3"/>
  </r>
  <r>
    <n v="203"/>
    <x v="106"/>
    <d v="2026-02-17T09:56:07"/>
    <x v="16"/>
    <s v="ERASTO CHARLES MTWEVE"/>
    <s v="T512EBY: Harsh braking has been activated. At 17.02.2026 09:56:07 it moved with speed 63 km/h near 'M3, Northern Province, Zambia, Chiwembe'."/>
    <s v="M3, Zambia, Northern Province, Chiwembe"/>
    <n v="11"/>
  </r>
  <r>
    <n v="204"/>
    <x v="122"/>
    <d v="2026-02-17T09:56:09"/>
    <x v="16"/>
    <s v="HABIBU SELEMANI NTILLA"/>
    <s v="T520EBY: Harsh braking has been activated. At 17.02.2026 09:56:09 it moved with speed 61 km/h near 'Great North Road, Muchinga Province, Zambia, 2.28 km from Mpumba'."/>
    <s v="Great North Road, Zambia, Muchinga Province, 2.28 km from Mpumba"/>
    <n v="3"/>
  </r>
  <r>
    <n v="205"/>
    <x v="78"/>
    <d v="2026-02-17T07:25:13"/>
    <x v="16"/>
    <s v="GASPER ELICHILIA KINYAHA"/>
    <s v="T528EBY: Harsh braking has been activated. At 17.02.2026 07:25:13 it moved with speed 54 km/h near 'Great North Road, Central Province, Zambia, 9.60 km from Godfrey Kunda'."/>
    <s v="Great North Road, Zambia, Central Province, 9.60 km from Godfrey Kunda"/>
    <n v="3"/>
  </r>
  <r>
    <n v="206"/>
    <x v="107"/>
    <d v="2026-02-17T13:25:00"/>
    <x v="16"/>
    <s v="STAN ENISON LULANDALA"/>
    <s v="T561DYR: Harsh braking has been activated. At 17.02.2026 13:25:00 it moved with speed 54 km/h near 'T1, Mbeya, Tanzania, 3.95 km from Makwenje'."/>
    <s v="T1, Tanzania, Mbeya, 3.95 km from Makwenje"/>
    <n v="3"/>
  </r>
  <r>
    <n v="207"/>
    <x v="67"/>
    <d v="2026-02-17T18:41:46"/>
    <x v="16"/>
    <s v="MISTWAHI AMRI SAID"/>
    <s v="T589DYR: Harsh braking has been activated. At 17.02.2026 18:41:46 it moved with speed 64 km/h near 'M3, Northern Province, Zambia, 4.32 km from Luwingu'."/>
    <s v="M3, Zambia, Northern Province, 4.32 km from Luwingu"/>
    <n v="3"/>
  </r>
  <r>
    <n v="208"/>
    <x v="123"/>
    <d v="2026-02-17T03:24:27"/>
    <x v="16"/>
    <s v="SHOMAR MOHAMED MITAWA"/>
    <s v="T661DTQ: Harsh braking has been activated. At 17.02.2026 03:24:27 it moved with speed 52 km/h near 'Rn1, Haut-Katanga, Democratic Republic of the Congo, 6.99 km from Sumbilili'."/>
    <s v="Rn1, Democratic Republic of the Congo, Haut-Katanga, 6.99 km from Sumbilili"/>
    <n v="3"/>
  </r>
  <r>
    <n v="209"/>
    <x v="124"/>
    <d v="2026-02-17T15:13:37"/>
    <x v="16"/>
    <s v="SAID ATHUMANI NONGWA"/>
    <s v="T723DYR: Harsh braking has been activated. At 17.02.2026 15:13:37 it moved with speed 57 km/h near 'M3, Luapula Province, Zambia, 14.86 km from Kundamtumu'."/>
    <s v="M3, Zambia, Luapula Province, 14.86 km from Kundamtumu"/>
    <n v="6"/>
  </r>
  <r>
    <n v="210"/>
    <x v="89"/>
    <d v="2026-02-17T10:11:11"/>
    <x v="16"/>
    <s v="RAMADHAN RAHIBU SULEIMAN"/>
    <s v="T904EBW: Harsh braking has been activated. At 17.02.2026 10:11:11 it moved with speed 53 km/h near 'Great North Road, Central Province, Zambia, 6.47 km from Kanona'."/>
    <s v="Great North Road, Zambia, Central Province, 6.47 km from Kanona"/>
    <n v="8"/>
  </r>
  <r>
    <n v="211"/>
    <x v="24"/>
    <d v="2026-02-17T07:45:30"/>
    <x v="16"/>
    <s v="ALLY RASHID SAID"/>
    <s v="T905EBW: Harsh braking has been activated. At 17.02.2026 07:45:30 it moved with speed 53 km/h near 'Iringa Road, Iringa, Tanzania, Mahenge'."/>
    <s v="Iringa Road, Tanzania, Iringa, Mahenge"/>
    <n v="4"/>
  </r>
  <r>
    <n v="212"/>
    <x v="35"/>
    <d v="2026-02-17T09:28:30"/>
    <x v="16"/>
    <s v="ELIBAS EZEKIEL KITUNGWA"/>
    <s v="T907EBW: Harsh braking has been activated. At 17.02.2026 09:28:30 it moved with speed 54 km/h near 'Iringa Road, Morogoro, Tanzania, 4.49 km from Mtipule'."/>
    <s v="Iringa Road, Tanzania, Morogoro, 4.49 km from Mtipule"/>
    <n v="4"/>
  </r>
  <r>
    <n v="213"/>
    <x v="125"/>
    <d v="2026-02-17T12:27:08"/>
    <x v="16"/>
    <s v="MARCUS AUGUSTIN MBEYA"/>
    <s v="T927EBW: Harsh braking has been activated. At 17.02.2026 12:27:08 it moved with speed 52 km/h near 'T1, Mbeya, Tanzania, Lunwa'."/>
    <s v="T1, Tanzania, Mbeya, Lunwa"/>
    <n v="3"/>
  </r>
  <r>
    <n v="214"/>
    <x v="126"/>
    <d v="2026-02-17T10:10:53"/>
    <x v="16"/>
    <s v="ELIAS SAID MTEBENE"/>
    <s v="T980EBW: Harsh braking has been activated. At 17.02.2026 10:10:53 it moved with speed 58 km/h near 'Rn1, Haut-Katanga, Democratic Republic of the Congo, Mununu'."/>
    <s v="Rn1, Democratic Republic of the Congo, Haut-Katanga, Mununu"/>
    <n v="5"/>
  </r>
  <r>
    <n v="215"/>
    <x v="127"/>
    <d v="2026-02-18T08:22:12"/>
    <x v="17"/>
    <s v="OMARY FADHILI MSANGI"/>
    <s v="T154EBX: Harsh braking has been activated. At 18.02.2026 08:22:12 it moved with speed 52 km/h near 'Great North Road, Central Province, Zambia, 2.42 km from Kanona'."/>
    <s v="Great North Road, Zambia, Central Province, 2.42 km from Kanona"/>
    <n v="6"/>
  </r>
  <r>
    <n v="216"/>
    <x v="128"/>
    <d v="2026-02-18T07:46:53"/>
    <x v="17"/>
    <s v="AMOS KASEKE KUYOKWA"/>
    <s v="T175EBX: Harsh braking has been activated. At 18.02.2026 07:46:53 it moved with speed 52 km/h near 'Great North Road, Central Province, Zambia, 12.26 km from Muchinka'."/>
    <s v="Great North Road, Zambia, Central Province, 12.26 km from Muchinka"/>
    <n v="5"/>
  </r>
  <r>
    <n v="217"/>
    <x v="20"/>
    <d v="2026-02-18T13:23:12"/>
    <x v="17"/>
    <s v="ELIAH YUSUPH MPANGO"/>
    <s v="T232EBX: Harsh braking has been activated. At 18.02.2026 13:23:12 it moved with speed 61 km/h near 'Rn1, Haut-Katanga, Democratic Republic of the Congo, 4.06 km from Tshinsenda'."/>
    <s v="Rn1, Democratic Republic of the Congo, Haut-Katanga, 4.06 km from Tshinsenda"/>
    <n v="5"/>
  </r>
  <r>
    <n v="218"/>
    <x v="64"/>
    <d v="2026-02-18T08:29:11"/>
    <x v="17"/>
    <s v="JOEL SAMSON MANDAGO"/>
    <s v="T235EBX: Harsh braking has been activated. At 18.02.2026 08:29:11 it moved with speed 51 km/h near 'M1, Northern Province, Zambia, 6.99 km from Nondo'."/>
    <s v="M1, Zambia, Northern Province, 6.99 km from Nondo"/>
    <n v="4"/>
  </r>
  <r>
    <n v="219"/>
    <x v="1"/>
    <d v="2026-02-18T12:38:58"/>
    <x v="17"/>
    <s v="ISAYA MSHUKURU MMBANDO"/>
    <s v="T271EBY: Harsh braking has been activated. At 18.02.2026 12:38:58 it moved with speed 53 km/h near 'T2, Pwani, Bagamoyo, Tanzania, 1.70 km from Mandera'."/>
    <s v="T2, Tanzania, Pwani, Bagamoyo, 1.70 km from Mandera"/>
    <n v="5"/>
  </r>
  <r>
    <n v="220"/>
    <x v="114"/>
    <d v="2026-02-18T13:41:44"/>
    <x v="17"/>
    <s v="JITENGENI YAHYA MZEE"/>
    <s v="T340EBX: Harsh braking has been activated. At 18.02.2026 13:41:44 it moved with speed 61 km/h near 'M3, Luapula Province, Zambia, 13.33 km from Mansa'."/>
    <s v="M3, Zambia, Luapula Province, 13.33 km from Mansa"/>
    <n v="8"/>
  </r>
  <r>
    <n v="221"/>
    <x v="129"/>
    <d v="2026-02-18T10:24:17"/>
    <x v="17"/>
    <s v="ALLY RAMADHANI ZANDA"/>
    <s v="T499DYR: Harsh braking has been activated. At 18.02.2026 10:24:17 it moved with speed 63 km/h near 'M4, Copperbelt Province, Zambia, 11.83 km from Chambishi'."/>
    <s v="M4, Zambia, Copperbelt Province, 11.83 km from Chambishi"/>
    <n v="5"/>
  </r>
  <r>
    <n v="222"/>
    <x v="107"/>
    <d v="2026-02-18T11:19:54"/>
    <x v="17"/>
    <s v="STAN ENISON LULANDALA"/>
    <s v="T561DYR: Harsh braking has been activated. At 18.02.2026 11:19:54 it moved with speed 65 km/h near 'Iringa Road, Iringa, Tanzania, 1.82 km from Mahenge'."/>
    <s v="Iringa Road, Tanzania, Iringa, 1.82 km from Mahenge"/>
    <n v="4"/>
  </r>
  <r>
    <n v="223"/>
    <x v="113"/>
    <d v="2026-02-18T07:42:05"/>
    <x v="17"/>
    <s v="HASSAN AWADHI TAMIM"/>
    <s v="T578DYR: Harsh braking has been activated. At 18.02.2026 07:42:05 it moved with speed 61 km/h near 'M3, Northern Province, Zambia, Chiwembe'."/>
    <s v="M3, Zambia, Northern Province, Chiwembe"/>
    <n v="5"/>
  </r>
  <r>
    <n v="224"/>
    <x v="130"/>
    <d v="2026-02-18T11:46:53"/>
    <x v="17"/>
    <s v="SAID HATIB KINGODOLO"/>
    <s v="T587DTQ: Harsh braking has been activated. At 18.02.2026 11:46:53 it moved with speed 59 km/h near 'M1, Northern Province, Zambia, 9.88 km from Sementi'."/>
    <s v="M1, Zambia, Northern Province, 9.88 km from Sementi"/>
    <n v="3"/>
  </r>
  <r>
    <n v="225"/>
    <x v="9"/>
    <d v="2026-02-18T17:12:30"/>
    <x v="17"/>
    <s v="RAMADHANI MBEZI OMARY"/>
    <s v="T634DHL: Harsh braking has been activated. At 18.02.2026 17:12:30 it moved with speed 56 km/h near 'M3, Luapula Province, Zambia, 12.81 km from Kalundu'."/>
    <s v="M3, Zambia, Luapula Province, 12.81 km from Kalundu"/>
    <n v="3"/>
  </r>
  <r>
    <n v="226"/>
    <x v="124"/>
    <d v="2026-02-18T11:25:46"/>
    <x v="17"/>
    <s v="SAID ATHUMANI NONGWA"/>
    <s v="T723DYR: Harsh braking has been activated. At 18.02.2026 11:25:46 it moved with speed 53 km/h near 'Mbala - Nakonde Road, Northern Province, Zambia, 12.38 km from Nsokolo'."/>
    <s v="Mbala - Nakonde Road, Zambia, Northern Province, 12.38 km from Nsokolo"/>
    <n v="3"/>
  </r>
  <r>
    <n v="227"/>
    <x v="131"/>
    <d v="2026-02-18T18:36:49"/>
    <x v="17"/>
    <s v="ZACHALIA JOSEPH SHIMBI"/>
    <s v="T727DYR: Harsh braking has been activated. At 18.02.2026 18:36:49 it moved with speed 56 km/h near 'M3, Northern Province, Zambia, 12.80 km from Chitoshi'."/>
    <s v="M3, Zambia, Northern Province, 12.80 km from Chitoshi"/>
    <n v="3"/>
  </r>
  <r>
    <n v="228"/>
    <x v="132"/>
    <d v="2026-02-18T15:06:50"/>
    <x v="17"/>
    <s v="AMIRI TALIB SHEIN"/>
    <s v="T793DYR: Harsh braking has been activated. At 18.02.2026 15:06:50 it moved with speed 67 km/h near 'M3, Luapula Province, Zambia, 4.45 km from Mununga'."/>
    <s v="M3, Zambia, Luapula Province, 4.45 km from Mununga"/>
    <n v="15"/>
  </r>
  <r>
    <n v="229"/>
    <x v="125"/>
    <d v="2026-02-18T10:46:47"/>
    <x v="17"/>
    <s v="MARCUS AUGUSTIN MBEYA"/>
    <s v="T927EBW: Harsh braking has been activated. At 18.02.2026 10:46:47 it moved with speed 68 km/h near 'Iringa Road, Morogoro, Kilosa, Tanzania, 8.36 km from Igagala'."/>
    <s v="Iringa Road, Tanzania, Morogoro, Kilosa, 8.36 km from Igagala"/>
    <n v="3"/>
  </r>
  <r>
    <n v="230"/>
    <x v="70"/>
    <d v="2026-02-18T14:00:39"/>
    <x v="17"/>
    <s v="SHABANI HARUNA SEMENTA"/>
    <s v="T955EBW: Harsh braking has been activated. At 18.02.2026 14:00:39 it moved with speed 52 km/h near 'Iringa Road, Morogoro, Kilosa, Tanzania, 15.01 km from Msimba'."/>
    <s v="Iringa Road, Tanzania, Morogoro, Kilosa, 15.01 km from Msimba"/>
    <n v="8"/>
  </r>
  <r>
    <n v="231"/>
    <x v="1"/>
    <d v="2026-02-19T17:17:21"/>
    <x v="18"/>
    <s v="ISAYA MSHUKURU MMBANDO"/>
    <s v="T271EBY: Harsh braking has been activated. At 19.02.2026 17:17:21 it moved with speed 55 km/h near 'T2, Tanga, Handeni, Tanzania, 1.07 km from Kwedikwazu Magha'."/>
    <s v="T2, Tanzania, Tanga, Handeni, 1.07 km from Kwedikwazu Magha"/>
    <n v="3"/>
  </r>
  <r>
    <n v="232"/>
    <x v="114"/>
    <d v="2026-02-19T08:08:45"/>
    <x v="18"/>
    <s v="JITENGENI YAHYA MZEE"/>
    <s v="T340EBX: Harsh braking has been activated. At 19.02.2026 08:08:45 it moved with speed 56 km/h near 'M1, Northern Province, Zambia, 14.60 km from Nondo'."/>
    <s v="M1, Zambia, Northern Province, 14.60 km from Nondo"/>
    <n v="5"/>
  </r>
  <r>
    <n v="233"/>
    <x v="129"/>
    <d v="2026-02-19T07:20:48"/>
    <x v="18"/>
    <s v="ALLY RAMADHANI ZANDA"/>
    <s v="T499DYR: Harsh braking has been activated. At 19.02.2026 07:20:48 it moved with speed 59 km/h near 'Great North Road, Central Province, Zambia, 5.15 km from Kapiri Mposhi'."/>
    <s v="Great North Road, Zambia, Central Province, 5.15 km from Kapiri Mposhi"/>
    <n v="6"/>
  </r>
  <r>
    <n v="234"/>
    <x v="67"/>
    <d v="2026-02-19T17:09:48"/>
    <x v="18"/>
    <s v="MISTWAHI AMRI SAID"/>
    <s v="T589DYR: Harsh braking has been activated. At 19.02.2026 17:09:48 it moved with speed 67 km/h near 'T1, Njombe, Tanzania, 6.31 km from Igomelo'."/>
    <s v="T1, Tanzania, Njombe, 6.31 km from Igomelo"/>
    <n v="4"/>
  </r>
  <r>
    <n v="235"/>
    <x v="133"/>
    <d v="2026-02-19T16:00:46"/>
    <x v="18"/>
    <s v="MONDI STANSLAUS NDAKI"/>
    <s v="T742EBX: Harsh braking has been activated. At 19.02.2026 16:00:46 it moved with speed 61 km/h near 'Rn39, Lualaba, Democratic Republic of the Congo, Kabwe Dikuku (Sud)'."/>
    <s v="Rn39, Democratic Republic of the Congo, Lualaba, Kabwe Dikuku (Sud)"/>
    <n v="3"/>
  </r>
  <r>
    <n v="236"/>
    <x v="99"/>
    <d v="2026-02-19T19:06:41"/>
    <x v="18"/>
    <n v="0"/>
    <s v="T770DYR: Harsh braking has been activated. At 19.02.2026 19:06:41 it moved with speed 64 km/h near 'T1, Morogoro, Tanzania, Maseyu'."/>
    <s v="T1, Tanzania, Morogoro, Maseyu"/>
    <n v="4"/>
  </r>
  <r>
    <n v="237"/>
    <x v="49"/>
    <d v="2026-02-19T12:15:40"/>
    <x v="18"/>
    <s v="ABUBAKAR JUMA YUSUPH"/>
    <s v="T772DYR: Harsh braking has been activated. At 19.02.2026 12:15:40 it moved with speed 54 km/h near 'Iringa Road, Morogoro, Tanzania, 3.93 km from Kipera'."/>
    <s v="Iringa Road, Tanzania, Morogoro, 3.93 km from Kipera"/>
    <n v="4"/>
  </r>
  <r>
    <n v="238"/>
    <x v="132"/>
    <d v="2026-02-19T00:04:56"/>
    <x v="18"/>
    <s v="AMIRI TALIB SHEIN"/>
    <s v="T793DYR: Harsh braking has been activated. At 19.02.2026 00:04:56 it moved with speed 61 km/h near 'Mbala - Nakonde Road, Northern Province, Zambia, 12.98 km from Chilundumuzi'."/>
    <s v="Mbala - Nakonde Road, Zambia, Northern Province, 12.98 km from Chilundumuzi"/>
    <n v="3"/>
  </r>
  <r>
    <n v="239"/>
    <x v="23"/>
    <d v="2026-02-19T12:04:04"/>
    <x v="18"/>
    <s v="ABDULHAFIDH RADMAN ALLY"/>
    <s v="T862EBY: Harsh braking has been activated. At 19.02.2026 12:04:04 it moved with speed 52 km/h near 'Tanzania To Zambia Road, Iringa, Mufindi, Tanzania, 1.74 km from Sao-Hill Forest Plantation'."/>
    <s v="Tanzania To Zambia Road, Tanzania, Iringa, Mufindi, 1.74 km from Sao-Hill Forest Plantation"/>
    <n v="3"/>
  </r>
  <r>
    <n v="240"/>
    <x v="104"/>
    <d v="2026-02-19T10:07:30"/>
    <x v="18"/>
    <s v="HASSANI MABROUCK TUNZA"/>
    <s v="T932EBW: Harsh braking has been activated. At 19.02.2026 10:07:30 it moved with speed 55 km/h near 'Great North Road, Central Province, Zambia, 15.19 km from Muchinka'."/>
    <s v="Great North Road, Zambia, Central Province, 15.19 km from Muchinka"/>
    <n v="3"/>
  </r>
  <r>
    <n v="241"/>
    <x v="134"/>
    <d v="2026-02-19T08:31:49"/>
    <x v="18"/>
    <s v="OMARY SAID KITAMBO"/>
    <s v="T942DSX: Harsh braking has been activated. At 19.02.2026 08:31:49 it moved with speed 51 km/h near 'Great North Road, Muchinga Province, Zambia, 5.45 km from Chikwanda'."/>
    <s v="Great North Road, Zambia, Muchinga Province, 5.45 km from Chikwanda"/>
    <n v="4"/>
  </r>
  <r>
    <n v="242"/>
    <x v="46"/>
    <d v="2026-02-19T06:59:57"/>
    <x v="18"/>
    <s v="YUNUS ABDILLAH SULEIMAN"/>
    <s v="T950EBW: Harsh braking has been activated. At 19.02.2026 06:59:57 it moved with speed 54 km/h near 'Nelson Mandela Road, Dar Es Salaam, Chang'ombe, Tanzania'."/>
    <s v="Dar Es Salaam, Nelson Mandela Road, Tanzania, Chang'ombe"/>
    <n v="3"/>
  </r>
  <r>
    <n v="243"/>
    <x v="135"/>
    <d v="2026-02-19T17:01:46"/>
    <x v="18"/>
    <s v="RAJABU KONGO LADISLAUS"/>
    <s v="T993EBW: Harsh braking has been activated. At 19.02.2026 17:01:46 it moved with speed 51 km/h near 'Great North Road, Muchinga Province, Zambia, Kalonje'."/>
    <s v="Great North Road, Zambia, Muchinga Province, Kalonje"/>
    <n v="3"/>
  </r>
  <r>
    <n v="244"/>
    <x v="1"/>
    <d v="2026-02-20T07:11:28"/>
    <x v="19"/>
    <s v="ISAYA MSHUKURU MMBANDO"/>
    <s v="T271EBY: Harsh braking has been activated. At 20.02.2026 07:11:28 it moved with speed 58 km/h near 'T1, Morogoro, Tanzania, 2.26 km from Mikese'."/>
    <s v="T1, Tanzania, Morogoro, 2.26 km from Mikese"/>
    <n v="10"/>
  </r>
  <r>
    <n v="245"/>
    <x v="116"/>
    <d v="2026-02-20T11:54:50"/>
    <x v="19"/>
    <s v="OMAR RASHID CHIKUNJE"/>
    <s v="T524EBY: Harsh braking has been activated. At 20.02.2026 11:54:50 it moved with speed 58 km/h near 'Iringa Road, Lundamatwe, Iringa, Tanzania'."/>
    <s v="Lundamatwe, Iringa Road, Tanzania, Iringa"/>
    <n v="5"/>
  </r>
  <r>
    <n v="246"/>
    <x v="67"/>
    <d v="2026-02-20T08:53:55"/>
    <x v="19"/>
    <s v="MISTWAHI AMRI SAID"/>
    <s v="T589DYR: Harsh braking has been activated. At 20.02.2026 08:53:55 it moved with speed 58 km/h near 'Iringa Road, Iringa, Tanzania, Matassi'."/>
    <s v="Iringa Road, Tanzania, Iringa, Matassi"/>
    <n v="3"/>
  </r>
  <r>
    <n v="247"/>
    <x v="136"/>
    <d v="2026-02-20T08:46:07"/>
    <x v="19"/>
    <s v="AHMAD ABDULRRAHMAN AMIN"/>
    <s v="T702EBX: Harsh braking has been activated. At 20.02.2026 08:46:07 it moved with speed 58 km/h near 'Great North Road, Muchinga Province, Zambia, 19.48 km from Katibunga'."/>
    <s v="Great North Road, Zambia, Muchinga Province, 19.48 km from Katibunga"/>
    <n v="4"/>
  </r>
  <r>
    <n v="248"/>
    <x v="109"/>
    <d v="2026-02-20T15:01:14"/>
    <x v="19"/>
    <s v="CHRISTIAN NKWELA MAPUNDA"/>
    <s v="T728EBX: Harsh braking has been activated. At 20.02.2026 15:01:14 it moved with speed 62 km/h near 'Rn1, Haut-Katanga, Democratic Republic of the Congo, 1.44 km from Sakania'."/>
    <s v="Rn1, Democratic Republic of the Congo, Haut-Katanga, 1.44 km from Sakania"/>
    <n v="3"/>
  </r>
  <r>
    <n v="249"/>
    <x v="137"/>
    <d v="2026-02-20T09:48:03"/>
    <x v="19"/>
    <s v="KELNALDO MATHIS JUMA"/>
    <s v="T732EBX: Harsh braking has been activated. At 20.02.2026 09:48:03 it moved with speed 52 km/h near 'Great North Road, Muchinga Province, Zambia, 3.01 km from Rumbuka'."/>
    <s v="Great North Road, Zambia, Muchinga Province, 3.01 km from Rumbuka"/>
    <n v="3"/>
  </r>
  <r>
    <n v="250"/>
    <x v="138"/>
    <d v="2026-02-20T10:55:10"/>
    <x v="19"/>
    <s v="KHERI HASSAN MILANZI"/>
    <s v="T746DEB: Harsh braking has been activated. At 20.02.2026 10:55:10 it moved with speed 61 km/h near 'Iringa Road, Morogoro, Kilosa, Tanzania, 12.87 km from Msimba'."/>
    <s v="Iringa Road, Tanzania, Morogoro, Kilosa, 12.87 km from Msimba"/>
    <n v="3"/>
  </r>
  <r>
    <n v="251"/>
    <x v="132"/>
    <d v="2026-02-20T08:50:42"/>
    <x v="19"/>
    <s v="AMIRI TALIB SHEIN"/>
    <s v="T793DYR: Harsh braking has been activated. At 20.02.2026 08:50:42 it moved with speed 56 km/h near 'T1, Mbeya, Tanzania, 2.01 km from Mangere'."/>
    <s v="T1, Tanzania, Mbeya, 2.01 km from Mangere"/>
    <n v="3"/>
  </r>
  <r>
    <n v="252"/>
    <x v="73"/>
    <d v="2026-02-20T13:55:12"/>
    <x v="19"/>
    <s v="YUSUPH ZIAGA SANGA"/>
    <s v="T817EBW: Harsh braking has been activated. At 20.02.2026 13:55:12 it moved with speed 59 km/h near 'T1, Mbeya, Mbozi, Tanzania, 2.98 km from Vwawa'."/>
    <s v="T1, Tanzania, Mbeya, Mbozi, 2.98 km from Vwawa"/>
    <n v="12"/>
  </r>
  <r>
    <n v="253"/>
    <x v="139"/>
    <d v="2026-02-20T09:55:41"/>
    <x v="19"/>
    <s v="FREDRICK LAZARO KIMARO"/>
    <s v="T998EBW: Harsh braking has been activated. At 20.02.2026 09:55:41 it moved with speed 63 km/h near 'T1, Mbeya, Tanzania, 6.85 km from Igawa'."/>
    <s v="T1, Tanzania, Mbeya, 6.85 km from Igawa"/>
    <n v="3"/>
  </r>
  <r>
    <n v="254"/>
    <x v="140"/>
    <d v="2026-02-22T09:06:39"/>
    <x v="20"/>
    <s v="KITUNDA HUSSEIN KUDEBA"/>
    <s v="T689DEB: Harsh braking has been activated. At 22.02.2026 09:06:39 it moved with speed 54 km/h near 'Rn39, Lualaba, Democratic Republic of the Congo, 1.41 km from Kabwe Maradonna'."/>
    <s v="Rn39, Democratic Republic of the Congo, Lualaba, 1.41 km from Kabwe Maradonna"/>
    <n v="3"/>
  </r>
  <r>
    <n v="255"/>
    <x v="109"/>
    <d v="2026-02-22T12:15:20"/>
    <x v="20"/>
    <s v="CHRISTIAN NKWELA MAPUNDA"/>
    <s v="T728EBX: Harsh braking has been activated. At 22.02.2026 12:15:20 it moved with speed 55 km/h near 'Biayi Prolongée Avenue, Lubumbashi, Haut-Katanga, Democratic Republic of the Congo'."/>
    <s v="Lubumbashi, Biayi Prolongée Avenue, Democratic Republic of the Congo, Haut-Katanga"/>
    <n v="7"/>
  </r>
  <r>
    <n v="256"/>
    <x v="73"/>
    <d v="2026-02-22T06:38:52"/>
    <x v="20"/>
    <s v="YUSUPH ZIAGA SANGA"/>
    <s v="T817EBW: Harsh braking has been activated. At 22.02.2026 06:38:52 it moved with speed 66 km/h near 'T1, Morogoro, Tanzania, 2.52 km from Mkambarani'."/>
    <s v="T1, Tanzania, Morogoro, 2.52 km from Mkambarani"/>
    <n v="8"/>
  </r>
  <r>
    <n v="257"/>
    <x v="45"/>
    <d v="2026-02-22T11:38:17"/>
    <x v="20"/>
    <s v="HAMISI RAMADHANI SULTAN"/>
    <s v="T878EBY: Harsh braking has been activated. At 22.02.2026 11:38:17 it moved with speed 65 km/h near 'Iringa Road, Morogoro, Kilosa, Tanzania, 1.30 km from Msosa'."/>
    <s v="Iringa Road, Tanzania, Morogoro, Kilosa, 1.30 km from Msosa"/>
    <n v="4"/>
  </r>
  <r>
    <n v="258"/>
    <x v="89"/>
    <d v="2026-02-22T09:51:17"/>
    <x v="20"/>
    <s v="RAMADHAN RAHIBU SULEIMAN"/>
    <s v="T904EBW: Harsh braking has been activated. At 22.02.2026 09:51:17 it moved with speed 60 km/h near 'T1, Mbeya, Tanzania, 5.42 km from Igawa'."/>
    <s v="T1, Tanzania, Mbeya, 5.42 km from Igawa"/>
    <n v="3"/>
  </r>
  <r>
    <n v="259"/>
    <x v="70"/>
    <d v="2026-02-22T15:29:28"/>
    <x v="20"/>
    <s v="SHABANI HARUNA SEMENTA"/>
    <s v="T955EBW: Harsh braking has been activated. At 22.02.2026 15:29:28 it moved with speed 73 km/h near 'Great North Road, Muchinga Province, Zambia, 5.59 km from Mkasi'."/>
    <s v="Great North Road, Zambia, Muchinga Province, 5.59 km from Mkasi"/>
    <n v="11"/>
  </r>
  <r>
    <n v="260"/>
    <x v="12"/>
    <d v="2026-02-23T09:13:19"/>
    <x v="21"/>
    <s v="JUMA KOBA SAID"/>
    <s v="T329ECN: Harsh braking has been activated. At 23.02.2026 09:13:19 it moved with speed 54 km/h near 'Great North Road, Muchinga Province, Zambia, Kaloswe'."/>
    <s v="Great North Road, Zambia, Muchinga Province, Kaloswe"/>
    <n v="4"/>
  </r>
  <r>
    <n v="261"/>
    <x v="141"/>
    <d v="2026-02-23T08:15:05"/>
    <x v="21"/>
    <s v="NASSORO BUSHIRI MOHAMED"/>
    <s v="T493DYR: Harsh braking has been activated. At 23.02.2026 08:15:05 it moved with speed 54 km/h near 'Great North Road, Muchinga Province, Zambia, 1.63 km from Chinkumba'."/>
    <s v="Great North Road, Zambia, Muchinga Province, 1.63 km from Chinkumba"/>
    <n v="4"/>
  </r>
  <r>
    <n v="262"/>
    <x v="8"/>
    <d v="2026-02-23T12:16:54"/>
    <x v="21"/>
    <s v="GABRIEL SHIJA MAHONA"/>
    <s v="T494DYR: Harsh braking has been activated. At 23.02.2026 12:16:54 it moved with speed 66 km/h near 'Rn1, Haut-Katanga, Democratic Republic of the Congo, 15.16 km from Lwisha'."/>
    <s v="Rn1, Democratic Republic of the Congo, Haut-Katanga, 15.16 km from Lwisha"/>
    <n v="8"/>
  </r>
  <r>
    <n v="263"/>
    <x v="42"/>
    <d v="2026-02-23T09:01:53"/>
    <x v="21"/>
    <s v="OMARI ABEDI MOKA"/>
    <s v="T513EBY: Harsh braking has been activated. At 23.02.2026 09:01:53 it moved with speed 54 km/h near 'Iringa Road, Morogoro, Tanzania, 11.70 km from Morogoro'."/>
    <s v="Iringa Road, Tanzania, Morogoro, 11.70 km from Morogoro"/>
    <n v="3"/>
  </r>
  <r>
    <n v="264"/>
    <x v="78"/>
    <d v="2026-02-23T08:17:11"/>
    <x v="21"/>
    <s v="GASPER ELICHILIA KINYAHA"/>
    <s v="T528EBY: Harsh braking has been activated. At 23.02.2026 08:17:11 it moved with speed 59 km/h near 'T1, Njombe, Tanzania, Igando'."/>
    <s v="T1, Tanzania, Njombe, Igando"/>
    <n v="4"/>
  </r>
  <r>
    <n v="265"/>
    <x v="55"/>
    <d v="2026-02-23T15:45:29"/>
    <x v="21"/>
    <s v="MRISHO WAZIRI ALLY"/>
    <s v="T568DYR: Harsh braking has been activated. At 23.02.2026 15:45:29 it moved with speed 60 km/h near 'Rn1, Haut-Katanga, Democratic Republic of the Congo, 7.15 km from Kasumbalesa'."/>
    <s v="Rn1, Democratic Republic of the Congo, Haut-Katanga, 7.15 km from Kasumbalesa"/>
    <n v="4"/>
  </r>
  <r>
    <n v="266"/>
    <x v="96"/>
    <d v="2026-02-23T11:45:42"/>
    <x v="21"/>
    <s v="PASTOR GASPER MCHAU"/>
    <s v="T590DTQ: Harsh braking has been activated. At 23.02.2026 11:45:42 it moved with speed 55 km/h near 'Rn1, Haut-Katanga, Democratic Republic of the Congo, 30.41 km from Lubumbashi'."/>
    <s v="Rn1, Democratic Republic of the Congo, Haut-Katanga, 30.41 km from Lubumbashi"/>
    <n v="11"/>
  </r>
  <r>
    <n v="267"/>
    <x v="142"/>
    <d v="2026-02-23T10:07:53"/>
    <x v="21"/>
    <s v="MICHAEL CHEYO NKINGA"/>
    <s v="T696DEB: Harsh braking has been activated. At 23.02.2026 10:07:53 it moved with speed 57 km/h near 'Iringa Road, Morogoro, Kilosa, Tanzania, 13.62 km from Igagala'."/>
    <s v="Iringa Road, Tanzania, Morogoro, Kilosa, 13.62 km from Igagala"/>
    <n v="3"/>
  </r>
  <r>
    <n v="268"/>
    <x v="15"/>
    <d v="2026-02-23T11:02:48"/>
    <x v="21"/>
    <s v="KHALIDY MOHAMEDY KIDOMO"/>
    <s v="T724DYR: Harsh braking has been activated. At 23.02.2026 11:02:48 it moved with speed 62 km/h near 'Route De Likasi, Lubumbashi, Haut-Katanga, Democratic Republic of the Congo'."/>
    <s v="Lubumbashi, Route De Likasi, Democratic Republic of the Congo, Haut-Katanga"/>
    <n v="7"/>
  </r>
  <r>
    <n v="269"/>
    <x v="87"/>
    <d v="2026-02-23T16:58:41"/>
    <x v="21"/>
    <s v="JABU RASHIDI ISSA"/>
    <s v="T754DEB: Harsh braking has been activated. At 23.02.2026 16:58:41 it moved with speed 54 km/h near 'Iringa Road, Iringa, Tanzania, 3.50 km from Matassi'."/>
    <s v="Iringa Road, Tanzania, Iringa, 3.50 km from Matassi"/>
    <n v="9"/>
  </r>
  <r>
    <n v="270"/>
    <x v="89"/>
    <d v="2026-02-23T07:00:39"/>
    <x v="21"/>
    <s v="RAMADHAN RAHIBU SULEIMAN"/>
    <s v="T904EBW: Harsh braking has been activated. At 23.02.2026 07:00:39 it moved with speed 57 km/h near 'Iringa Road, Iringa, Tanzania, 1.19 km from Mahenge'."/>
    <s v="Iringa Road, Tanzania, Iringa, 1.19 km from Mahenge"/>
    <n v="14"/>
  </r>
  <r>
    <n v="271"/>
    <x v="24"/>
    <d v="2026-02-23T07:03:28"/>
    <x v="21"/>
    <s v="ALLY RASHID SAID"/>
    <s v="T905EBW: Harsh braking has been activated. At 23.02.2026 07:03:28 it moved with speed 63 km/h near 'Great North Road, Muchinga Province, Zambia, 5.73 km from Kamangu'."/>
    <s v="Great North Road, Zambia, Muchinga Province, 5.73 km from Kamangu"/>
    <n v="6"/>
  </r>
  <r>
    <n v="272"/>
    <x v="35"/>
    <d v="2026-02-23T10:22:53"/>
    <x v="21"/>
    <s v="ELIBAS EZEKIEL KITUNGWA"/>
    <s v="T907EBW: Harsh braking has been activated. At 23.02.2026 10:22:53 it moved with speed 69 km/h near 'Great North Road, Muchinga Province, Zambia, 3.04 km from Isoka'."/>
    <s v="Great North Road, Zambia, Muchinga Province, 3.04 km from Isoka"/>
    <n v="4"/>
  </r>
  <r>
    <n v="273"/>
    <x v="143"/>
    <d v="2026-02-23T13:47:48"/>
    <x v="21"/>
    <s v="ALPHONCE ADRIAN MAIGE"/>
    <s v="T933EBW: Harsh braking has been activated. At 23.02.2026 13:47:48 it moved with speed 53 km/h near 'Great North Road, Muchinga Province, Zambia, Chinunda'."/>
    <s v="Great North Road, Zambia, Muchinga Province, Chinunda"/>
    <n v="4"/>
  </r>
  <r>
    <n v="274"/>
    <x v="144"/>
    <d v="2026-02-23T08:06:00"/>
    <x v="21"/>
    <s v="ALLY MBARAKA ALLY"/>
    <s v="T934EBW: Harsh braking has been activated. At 23.02.2026 08:06:00 it moved with speed 53 km/h near 'Great North Road, Muchinga Province, Zambia, 13.21 km from Chifumbula'."/>
    <s v="Great North Road, Zambia, Muchinga Province, 13.21 km from Chifumbula"/>
    <n v="3"/>
  </r>
  <r>
    <n v="275"/>
    <x v="145"/>
    <d v="2026-02-24T14:59:41"/>
    <x v="22"/>
    <s v="JOSEPH PETRO JAMES"/>
    <s v="T233EBX: Harsh braking has been activated. At 24.02.2026 14:59:41 it moved with speed 67 km/h near 'T1, Morogoro, Kingolwira Ward, Morogoro Region, Tanzania'."/>
    <s v="Morogoro, T1, Tanzania, Kingolwira Ward, Morogoro Region"/>
    <n v="4"/>
  </r>
  <r>
    <n v="276"/>
    <x v="146"/>
    <d v="2026-02-24T15:36:34"/>
    <x v="22"/>
    <s v="STEVEN OCTAVIAN MILANZI"/>
    <s v="T375DHG: Harsh braking has been activated. At 24.02.2026 15:36:34 it moved with speed 73 km/h near 'Ndola - Kitwe Dual-Carriageway, Ndola, Copperbelt Province, Zambia'."/>
    <s v="Ndola, Ndola - Kitwe Dual-Carriageway, Zambia, Copperbelt Province"/>
    <n v="4"/>
  </r>
  <r>
    <n v="277"/>
    <x v="129"/>
    <d v="2026-02-24T08:26:42"/>
    <x v="22"/>
    <s v="ALLY RAMADHANI ZANDA"/>
    <s v="T499DYR: Harsh braking has been activated. At 24.02.2026 08:26:42 it moved with speed 54 km/h near 'T1, Njombe, Tanzania, 7.75 km from Nzivi'."/>
    <s v="Mafinga TC, T1, Tanzania, Sao Hill Ward, Iringa Region"/>
    <n v="3"/>
  </r>
  <r>
    <n v="278"/>
    <x v="87"/>
    <d v="2026-02-24T12:40:11"/>
    <x v="22"/>
    <s v="JABU RASHIDI ISSA"/>
    <s v="T754DEB: Harsh braking has been activated. At 24.02.2026 12:40:11 it moved with speed 68 km/h near 'Doma, Doma Ward, Mvomero DC, Morogoro Region, Tanzania'."/>
    <s v="Doma, Tanzania, Doma Ward, Mvomero DC, Morogoro Region"/>
    <n v="5"/>
  </r>
  <r>
    <n v="279"/>
    <x v="44"/>
    <d v="2026-02-24T07:29:53"/>
    <x v="22"/>
    <s v="ISSACK KONRADI KASIANO"/>
    <s v="T868EBW: Harsh braking has been activated. At 24.02.2026 07:29:53 it moved with speed 55 km/h near 'Great North Road, Muchinga Province, Zambia, 12.35 km from Mwezo'."/>
    <s v="Great North Road, Zambia, Muchinga Province, 12.35 km from Mwezo"/>
    <n v="8"/>
  </r>
  <r>
    <n v="280"/>
    <x v="35"/>
    <d v="2026-02-24T11:12:00"/>
    <x v="22"/>
    <s v="ELIBAS EZEKIEL KITUNGWA"/>
    <s v="T907EBW: Harsh braking has been activated. At 24.02.2026 11:12:00 it moved with speed 54 km/h near 'Great North Road, Central Province, Zambia, 11.79 km from Bwale'."/>
    <s v="Great North Road, Zambia, Central Province, 11.79 km from Bwale"/>
    <n v="3"/>
  </r>
  <r>
    <n v="281"/>
    <x v="147"/>
    <d v="2026-02-25T10:41:24"/>
    <x v="23"/>
    <s v="ALLY MARICK SEIF"/>
    <s v="T220EBX: Harsh braking has been activated. At 25.02.2026 10:41:24 it moved with speed 56 km/h near 'T3, Copperbelt Province, Zambia, 8.51 km from Tonde'."/>
    <s v="T3, Zambia, Copperbelt Province, 8.51 km from Tonde"/>
    <n v="3"/>
  </r>
  <r>
    <n v="282"/>
    <x v="51"/>
    <d v="2026-02-25T06:00:57"/>
    <x v="23"/>
    <s v="MOHAMEDI IDDI KULWA"/>
    <s v="T269EBX: Harsh braking has been activated. At 25.02.2026 06:00:57 it moved with speed 59 km/h near 'Msimba, Mikumi Ward, Kilosa DC, Morogoro Region, Tanzania'."/>
    <s v="Msimba, Tanzania, Mikumi Ward, Kilosa DC, Morogoro Region"/>
    <n v="3"/>
  </r>
  <r>
    <n v="283"/>
    <x v="5"/>
    <d v="2026-02-25T17:46:02"/>
    <x v="23"/>
    <s v="RAJABU MOHAMED MATUA"/>
    <s v="T407DHE: Harsh braking has been activated. At 25.02.2026 17:46:02 it moved with speed 52 km/h near 'Great North Road, Muchinga Province, Zambia, 4.68 km from Mukwikile'."/>
    <s v="Great North Road, Zambia, Muchinga Province, 4.68 km from Mukwikile"/>
    <n v="3"/>
  </r>
  <r>
    <n v="284"/>
    <x v="148"/>
    <d v="2026-02-25T13:08:44"/>
    <x v="23"/>
    <s v="MIKIDADI RASHIDI MGEZA"/>
    <s v="T600DTQ: Harsh braking has been activated. At 25.02.2026 13:08:44 it moved with speed 52 km/h near 'Rn39, Lualaba, Democratic Republic of the Congo, 2.93 km from Pumpi Route'."/>
    <s v="Rn39, Democratic Republic of the Congo, Lualaba, 2.93 km from Pumpi Route"/>
    <n v="4"/>
  </r>
  <r>
    <n v="285"/>
    <x v="149"/>
    <d v="2026-02-25T09:07:53"/>
    <x v="23"/>
    <s v="EMANUEL AGRICOLA MKENDA"/>
    <s v="T604DTQ: Harsh braking has been activated. At 25.02.2026 09:07:53 it moved with speed 52 km/h near 'Rn1, Haut-Katanga, Democratic Republic of the Congo, 4.05 km from Tshinsenda'."/>
    <s v="Rn1, Democratic Republic of the Congo, Haut-Katanga, 4.05 km from Tshinsenda"/>
    <n v="5"/>
  </r>
  <r>
    <n v="286"/>
    <x v="140"/>
    <d v="2026-02-25T09:30:09"/>
    <x v="23"/>
    <s v="KITUNDA HUSSEIN KUDEBA"/>
    <s v="T689DEB: Harsh braking has been activated. At 25.02.2026 09:30:09 it moved with speed 58 km/h near 'M3, Northern Province, Zambia, 1.26 km from Shikasenge'."/>
    <s v="M3, Zambia, Northern Province, 1.26 km from Shikasenge"/>
    <n v="3"/>
  </r>
  <r>
    <n v="287"/>
    <x v="44"/>
    <d v="2026-02-25T08:25:37"/>
    <x v="23"/>
    <s v="ISSACK KONRADI KASIANO"/>
    <s v="T868EBW: Harsh braking has been activated. At 25.02.2026 08:25:37 it moved with speed 52 km/h near 'Great North Road, Muchinga Province, Zambia, 1.14 km from Chinunda'."/>
    <s v="Great North Road, Zambia, Muchinga Province, 1.14 km from Chinunda"/>
    <n v="9"/>
  </r>
  <r>
    <n v="288"/>
    <x v="150"/>
    <d v="2026-02-25T07:20:20"/>
    <x v="23"/>
    <s v="TWAHIR RASHID MSAKA"/>
    <s v="T890EBW: Harsh braking has been activated. At 25.02.2026 07:20:20 it moved with speed 55 km/h near 'Great North Road, Central Province, Zambia, 9.67 km from Chifwefwe B'."/>
    <s v="Great North Road, Zambia, Central Province, 9.67 km from Chifwefwe B"/>
    <n v="6"/>
  </r>
  <r>
    <n v="289"/>
    <x v="35"/>
    <d v="2026-02-25T11:50:05"/>
    <x v="23"/>
    <s v="ELIBAS EZEKIEL KITUNGWA"/>
    <s v="T907EBW: Harsh braking has been activated. At 25.02.2026 11:50:05 it moved with speed 60 km/h near 'Ndola - Kitwe Dual-Carriageway, Copperbelt Province, Zambia, Ndola'."/>
    <s v="Ndola - Kitwe Dual-Carriageway, Zambia, Copperbelt Province, Ndola"/>
    <n v="3"/>
  </r>
  <r>
    <n v="290"/>
    <x v="151"/>
    <d v="2026-02-25T10:33:26"/>
    <x v="23"/>
    <s v="APOLO PETER MSIGWA"/>
    <s v="T945EBW: Harsh braking has been activated. At 25.02.2026 10:33:26 it moved with speed 57 km/h near 'Great North Road, Central Province, Zambia, 17.10 km from Muchinka'."/>
    <s v="Great North Road, Zambia, Central Province, 17.10 km from Muchinka"/>
    <n v="5"/>
  </r>
  <r>
    <n v="291"/>
    <x v="152"/>
    <d v="2026-02-26T07:23:34"/>
    <x v="24"/>
    <s v="ABDUL NASSORO SELEMANI"/>
    <s v="T259EBX: Harsh braking has been activated. At 26.02.2026 07:23:34 it moved with speed 54 km/h near 'Great North Road, Muchinga Province, Zambia, Kalonje'."/>
    <s v="Great North Road, Zambia, Muchinga Province, Kalonje"/>
    <n v="3"/>
  </r>
  <r>
    <n v="292"/>
    <x v="28"/>
    <d v="2026-02-26T12:55:09"/>
    <x v="24"/>
    <s v="HAMADI RASHID DOWILE"/>
    <s v="T392ECN: Harsh braking has been activated. At 26.02.2026 12:55:09 it moved with speed 60 km/h near 'Great North Road, Muchinga Province, Zambia, Chifumbula'."/>
    <s v="Great North Road, Zambia, Muchinga Province, Chifumbula"/>
    <n v="3"/>
  </r>
  <r>
    <n v="293"/>
    <x v="5"/>
    <d v="2026-02-26T10:19:36"/>
    <x v="24"/>
    <s v="RAJABU MOHAMED MATUA"/>
    <s v="T407DHE: Harsh braking has been activated. At 26.02.2026 10:19:36 it moved with speed 56 km/h near 'Great North Road, Central Province, Zambia, 5.70 km from Godfrey Kunda'."/>
    <s v="Great North Road, Zambia, Central Province, 5.70 km from Godfrey Kunda"/>
    <n v="3"/>
  </r>
  <r>
    <n v="294"/>
    <x v="153"/>
    <d v="2026-02-26T08:55:15"/>
    <x v="24"/>
    <s v="HASSAN MZEE BOHERO"/>
    <s v="T514EBY: Harsh braking has been activated. At 26.02.2026 08:55:15 it moved with speed 58 km/h near 'Great North Road, Muchinga Province, Zambia, 9.04 km from Mwezo'."/>
    <s v="Great North Road, Zambia, Muchinga Province, 9.04 km from Mwezo"/>
    <n v="3"/>
  </r>
  <r>
    <n v="295"/>
    <x v="154"/>
    <d v="2026-02-26T12:37:41"/>
    <x v="24"/>
    <s v="KELVIN JOSEPH MWAMI"/>
    <s v="T517EBY: Harsh braking has been activated. At 26.02.2026 12:37:41 it moved with speed 51 km/h near 'Great North Road, Central Province, Zambia, 16.64 km from Chitiwa'."/>
    <s v="Great North Road, Zambia, Central Province, 16.64 km from Chitiwa"/>
    <n v="10"/>
  </r>
  <r>
    <n v="296"/>
    <x v="88"/>
    <d v="2026-02-26T10:15:20"/>
    <x v="24"/>
    <s v="STEPHANO ABINELI ULOMI"/>
    <s v="T873EBY: Harsh braking has been activated. At 26.02.2026 10:15:20 it moved with speed 54 km/h near 'Nyerere Road, Dar es Salaam, Kiwalani Ward, Ilala, Dar es Salaam Region, Tanzania'."/>
    <s v="Dar es Salaam, Nyerere Road, Tanzania, Kiwalani Ward, Ilala, Dar es Salaam Region"/>
    <n v="3"/>
  </r>
  <r>
    <n v="297"/>
    <x v="155"/>
    <d v="2026-02-26T08:22:01"/>
    <x v="24"/>
    <s v="BOSCO BONIFACE KOMBA"/>
    <s v="T912EBW: Harsh braking has been activated. At 26.02.2026 08:22:01 it moved with speed 60 km/h near 'Great North Road, Muchinga Province, Zambia, 8.79 km from Godfrey Kunda'."/>
    <s v="Great North Road, Zambia, Muchinga Province, 8.79 km from Godfrey Kunda"/>
    <n v="3"/>
  </r>
  <r>
    <n v="298"/>
    <x v="154"/>
    <d v="2026-02-27T12:40:11"/>
    <x v="25"/>
    <s v="KELVIN JOSEPH MWAMI"/>
    <s v="T517EBY: Harsh braking has been activated. At 27.02.2026 12:40:11 it moved with speed 63 km/h near 'Great North Road, Muchinga Province, Zambia, 5.43 km from Chisoso'."/>
    <s v="Great North Road, Zambia, Muchinga Province, 5.43 km from Chisoso"/>
    <n v="6"/>
  </r>
  <r>
    <n v="299"/>
    <x v="55"/>
    <d v="2026-02-27T09:48:49"/>
    <x v="25"/>
    <s v="MRISHO WAZIRI ALLY"/>
    <s v="T568DYR: Harsh braking has been activated. At 27.02.2026 09:48:49 it moved with speed 53 km/h near 'T3, Copperbelt Province, Zambia, 18.27 km from Tonde'."/>
    <s v="T3, Zambia, Copperbelt Province, 18.27 km from Tonde"/>
    <n v="8"/>
  </r>
  <r>
    <n v="300"/>
    <x v="156"/>
    <d v="2026-02-27T11:51:35"/>
    <x v="25"/>
    <s v="MATHIAS ISDORY MGOMBE"/>
    <s v="T586DYR: Harsh braking has been activated. At 27.02.2026 11:51:35 it moved with speed 54 km/h near 'Rn1, Haut-Katanga, Democratic Republic of the Congo, 17.60 km from Lwisha'."/>
    <s v="Rn1, Democratic Republic of the Congo, Haut-Katanga, 17.60 km from Lwisha"/>
    <n v="3"/>
  </r>
  <r>
    <n v="301"/>
    <x v="157"/>
    <d v="2026-02-27T18:43:54"/>
    <x v="25"/>
    <s v="DAUDI ISSA NJUMITE"/>
    <s v="T638DHL: Harsh braking has been activated. At 27.02.2026 18:43:54 it moved with speed 51 km/h near 'Great North Road, Muchinga Province, Zambia, 5.17 km from Kalonje'."/>
    <s v="Great North Road, Zambia, Muchinga Province, 5.17 km from Kalonje"/>
    <n v="4"/>
  </r>
  <r>
    <n v="302"/>
    <x v="158"/>
    <d v="2026-02-27T11:43:01"/>
    <x v="25"/>
    <s v="ZUBERI HATIBU MJAHIDI"/>
    <s v="T768EBW: Harsh braking has been activated. At 27.02.2026 11:43:01 it moved with speed 54 km/h near 'Great North Road, Central Province, Zambia, 5.40 km from Manjolo'."/>
    <s v="Great North Road, Zambia, Central Province, 5.40 km from Manjolo"/>
    <n v="6"/>
  </r>
  <r>
    <n v="303"/>
    <x v="57"/>
    <d v="2026-02-27T07:29:58"/>
    <x v="25"/>
    <s v="ABDALLAH BAKARI ABDALLAH"/>
    <s v="T793EBW: Harsh braking has been activated. At 27.02.2026 07:29:58 it moved with speed 57 km/h near 'T3, Ndola, Copperbelt Province, Zambia'."/>
    <s v="Ndola, T3, Zambia, Copperbelt Province"/>
    <n v="3"/>
  </r>
  <r>
    <n v="304"/>
    <x v="159"/>
    <d v="2026-02-28T08:49:09"/>
    <x v="26"/>
    <s v="ISMAIL NASSORO SAID"/>
    <s v="T425DHG: Harsh braking has been activated. At 28.02.2026 08:49:09 it moved with speed 53 km/h near 'T3, Copperbelt Province, Zambia, 52.98 km from Ndola'."/>
    <s v="T3, Zambia, Copperbelt Province, 52.98 km from Ndola"/>
    <n v="5"/>
  </r>
  <r>
    <n v="305"/>
    <x v="160"/>
    <d v="2026-02-28T13:48:58"/>
    <x v="26"/>
    <s v="OTHUMAN SALUM MSIKA"/>
    <s v="T435DHG: Harsh braking has been activated. At 28.02.2026 13:48:58 it moved with speed 55 km/h near 'Ipolo, Utengule Usangu Ward, Mbarali DC, Mbeya Region, Tanzania'."/>
    <s v="Ipolo, Tanzania, Utengule Usangu Ward, Mbarali DC, Mbeya Region"/>
    <n v="3"/>
  </r>
  <r>
    <n v="306"/>
    <x v="161"/>
    <d v="2026-02-28T13:24:00"/>
    <x v="26"/>
    <s v="MOHAMED SELEMANI LUZUA"/>
    <s v="T511EBY: Harsh braking has been activated. At 28.02.2026 13:24:00 it moved with speed 62 km/h near 'Rn1, Haut-Katanga, Democratic Republic of the Congo, 2.09 km from Dikula'."/>
    <s v="Rn1, Democratic Republic of the Congo, Haut-Katanga, 2.09 km from Dikula"/>
    <n v="3"/>
  </r>
  <r>
    <n v="307"/>
    <x v="74"/>
    <d v="2026-02-28T06:42:05"/>
    <x v="26"/>
    <s v="MADENGE SALUM SHOMARI"/>
    <s v="T892EBW: Harsh braking has been activated. At 28.02.2026 06:42:05 it moved with speed 65 km/h near 'Wenda, Mseke Ward, Iringa DC, Iringa Region, Tanzania'."/>
    <s v="Wenda, Tanzania, Mseke Ward, Iringa DC, Iringa Region"/>
    <n v="6"/>
  </r>
  <r>
    <n v="308"/>
    <x v="36"/>
    <d v="2026-02-28T07:34:15"/>
    <x v="26"/>
    <s v="GODFREY FRANK MBOJA"/>
    <s v="T915EBW: Harsh braking has been activated. At 28.02.2026 07:34:15 it moved with speed 63 km/h near 'Rn39, Lualaba, Democratic Republic of the Congo, 1.34 km from Kampulu'."/>
    <s v="Rn39, Democratic Republic of the Congo, Lualaba, 1.34 km from Kampulu"/>
    <n v="4"/>
  </r>
  <r>
    <n v="309"/>
    <x v="69"/>
    <d v="2026-02-28T13:32:02"/>
    <x v="26"/>
    <s v="OMARI ATHUMANI SELEMANI"/>
    <s v="T930EBW: Harsh braking has been activated. At 28.02.2026 13:32:02 it moved with speed 56 km/h near 'Kidayi 'A', Malolo Ward, Kilosa DC, Morogoro Region, Tanzania'."/>
    <s v="Kidayi 'A', Tanzania, Malolo Ward, Kilosa DC, Morogoro Region"/>
    <n v="3"/>
  </r>
  <r>
    <n v="310"/>
    <x v="162"/>
    <d v="2026-02-28T10:06:39"/>
    <x v="26"/>
    <s v="SAMSONI JOSEPH USEGA"/>
    <s v="T952DSX: Harsh braking has been activated. At 28.02.2026 10:06:39 it moved with speed 62 km/h near 'Great North Road, Muchinga Province, Zambia, 10.01 km from Isoka'."/>
    <s v="Great North Road, Zambia, Muchinga Province, 10.01 km from Isoka"/>
    <n v="4"/>
  </r>
</pivotCacheRecords>
</file>

<file path=xl/pivotCache/pivotCacheRecords4.xml><?xml version="1.0" encoding="utf-8"?>
<pivotCacheRecords xmlns="http://schemas.openxmlformats.org/spreadsheetml/2006/main" count="310">
  <r>
    <n v="1"/>
    <x v="0"/>
    <d v="2026-02-01T11:48:04"/>
    <x v="0"/>
    <s v="OMAR SWALEH CHANINGA"/>
    <s v="T127EBX: Harsh braking has been activated. At 01.02.2026 11:48:04 it moved with speed 55 km/h near 'Great North Road, Muchinga Province, Zambia, 7.84 km from Chinunda'."/>
    <s v="Great North Road, Zambia, Muchinga Province, 7.84 km from Chinunda"/>
    <n v="3"/>
  </r>
  <r>
    <n v="2"/>
    <x v="1"/>
    <d v="2026-02-01T17:02:24"/>
    <x v="0"/>
    <s v="ISAYA MSHUKURU MMBANDO"/>
    <s v="T271EBY: Harsh braking has been activated. At 01.02.2026 17:02:24 it moved with speed 66 km/h near 'Rn1, Haut-Katanga, Democratic Republic of the Congo, 11.59 km from Sumbilili'."/>
    <s v="Rn1, Democratic Republic of the Congo, Haut-Katanga, 11.59 km from Sumbilili"/>
    <n v="3"/>
  </r>
  <r>
    <n v="3"/>
    <x v="2"/>
    <d v="2026-02-01T06:36:58"/>
    <x v="0"/>
    <s v="SAID RAJABU RAJABU"/>
    <s v="T282EBY: Harsh braking has been activated. At 01.02.2026 06:36:58 it moved with speed 54 km/h near 'Iringa Road, Lundamatwe, Iringa, Tanzania'."/>
    <s v="Lundamatwe, Iringa Road, Tanzania, Iringa"/>
    <n v="4"/>
  </r>
  <r>
    <n v="4"/>
    <x v="3"/>
    <d v="2026-02-01T13:23:51"/>
    <x v="0"/>
    <s v="YUSUFU  SAMSON NICODEMUS"/>
    <s v="T331EBX: Harsh braking has been activated. At 01.02.2026 13:23:51 it moved with speed 52 km/h near 'T1, Mswiswi, Mbeya, Tanzania'."/>
    <s v="Mswiswi, T1, Tanzania, Mbeya"/>
    <n v="3"/>
  </r>
  <r>
    <n v="5"/>
    <x v="4"/>
    <d v="2026-02-01T09:26:45"/>
    <x v="0"/>
    <s v="JAMES JOSEPH NJAU"/>
    <s v="T341EBX: Harsh braking has been activated. At 01.02.2026 09:26:45 it moved with speed 51 km/h near 'Tanzania To Zambia Road, Iringa, Mufindi, Tanzania, 2.46 km from Ihemi'."/>
    <s v="Tanzania To Zambia Road, Tanzania, Iringa, Mufindi, 2.46 km from Ihemi"/>
    <n v="4"/>
  </r>
  <r>
    <n v="6"/>
    <x v="5"/>
    <d v="2026-02-01T12:34:53"/>
    <x v="0"/>
    <s v="RAJABU MOHAMED MATUA"/>
    <s v="T407DHE: Harsh braking has been activated. At 01.02.2026 12:34:53 it moved with speed 56 km/h near 'Iringa Road, Morogoro, Kilosa, Tanzania, 2.90 km from Kidayi 'B''."/>
    <s v="Iringa Road, Tanzania, Morogoro, Kilosa, 2.90 km from Kidayi 'B'"/>
    <n v="11"/>
  </r>
  <r>
    <n v="7"/>
    <x v="6"/>
    <d v="2026-02-01T12:45:14"/>
    <x v="0"/>
    <s v="BASHIRU ABDALLA HUSSEIN"/>
    <s v="T413DHG: Harsh braking has been activated. At 01.02.2026 12:45:14 it moved with speed 58 km/h near 'Great North Road, Central Province, Zambia, 2.83 km from Chifwefwe B'."/>
    <s v="Great North Road, Zambia, Central Province, 2.83 km from Chifwefwe B"/>
    <n v="6"/>
  </r>
  <r>
    <n v="8"/>
    <x v="7"/>
    <d v="2026-02-01T09:20:37"/>
    <x v="0"/>
    <s v="RAMADHANI SHABANI WAGAMOYO"/>
    <s v="T482DYR: Harsh braking has been activated. At 01.02.2026 09:20:37 it moved with speed 55 km/h near 'M3, Northern Province, Zambia, 11.39 km from Makungwe'."/>
    <s v="M3, Zambia, Northern Province, 11.39 km from Makungwe"/>
    <n v="3"/>
  </r>
  <r>
    <n v="9"/>
    <x v="8"/>
    <d v="2026-02-01T14:26:44"/>
    <x v="0"/>
    <s v="GABRIEL SHIJA MAHONA"/>
    <s v="T494DYR: Harsh braking has been activated. At 01.02.2026 14:26:44 it moved with speed 63 km/h near 'T1, Njombe, Tanzania, 10.30 km from Sao-Hill Forest Plantation'."/>
    <s v="T1, Tanzania, Njombe, 10.30 km from Sao-Hill Forest Plantation"/>
    <n v="5"/>
  </r>
  <r>
    <n v="10"/>
    <x v="9"/>
    <d v="2026-02-01T13:09:19"/>
    <x v="0"/>
    <s v="RAMADHANI MBEZI OMARY"/>
    <s v="T634DHL: Harsh braking has been activated. At 01.02.2026 13:09:19 it moved with speed 65 km/h near 'Route De Lubumbashi, Haut-Katanga, Democratic Republic of the Congo, 2.29 km from Kapulwa'."/>
    <s v="Route De Lubumbashi, Democratic Republic of the Congo, Haut-Katanga, 2.29 km from Kapulwa"/>
    <n v="3"/>
  </r>
  <r>
    <n v="11"/>
    <x v="10"/>
    <d v="2026-02-01T09:00:59"/>
    <x v="0"/>
    <s v="RAJABU HUSSEIN AHMAD"/>
    <s v="T712DYR: Harsh braking has been activated. At 01.02.2026 09:00:59 it moved with speed 52 km/h near 'T1, Mswiswi, Mbeya, Tanzania'."/>
    <s v="Mswiswi, T1, Tanzania, Mbeya"/>
    <n v="4"/>
  </r>
  <r>
    <n v="12"/>
    <x v="11"/>
    <d v="2026-02-02T11:33:39"/>
    <x v="1"/>
    <s v="FRANCIS ERNEST KIBULA"/>
    <s v="T250EBX: Harsh braking has been activated. At 02.02.2026 11:33:39 it moved with speed 68 km/h near 'Iringa Road, Iringa, Tanzania, Mtandika 'B''."/>
    <s v="Iringa Road, Tanzania, Iringa, Mtandika 'B'"/>
    <n v="27"/>
  </r>
  <r>
    <n v="13"/>
    <x v="12"/>
    <d v="2026-02-02T13:35:40"/>
    <x v="1"/>
    <s v="JUMA KOBA SAID"/>
    <s v="T329ECN: Harsh braking has been activated. At 02.02.2026 13:35:40 it moved with speed 59 km/h near 'T3, Copperbelt Province, Zambia, 12.39 km from Ndola'."/>
    <s v="T3, Zambia, Copperbelt Province, 12.39 km from Ndola"/>
    <n v="3"/>
  </r>
  <r>
    <n v="14"/>
    <x v="3"/>
    <d v="2026-02-02T09:29:56"/>
    <x v="1"/>
    <s v="YUSUFU  SAMSON NICODEMUS"/>
    <s v="T331EBX: Harsh braking has been activated. At 02.02.2026 09:29:56 it moved with speed 51 km/h near 'Iringa Road, Lundamatwe, Iringa, Tanzania'."/>
    <s v="Lundamatwe, Iringa Road, Tanzania, Iringa"/>
    <n v="4"/>
  </r>
  <r>
    <n v="15"/>
    <x v="13"/>
    <d v="2026-02-02T14:41:53"/>
    <x v="1"/>
    <s v="CHARLES LONGIN MASESA"/>
    <s v="T385ECN: Harsh braking has been activated. At 02.02.2026 14:41:53 it moved with speed 51 km/h near 'T3, Copperbelt Province, Zambia, 23.12 km from Pukota'."/>
    <s v="T3, Zambia, Copperbelt Province, 23.12 km from Pukota"/>
    <n v="3"/>
  </r>
  <r>
    <n v="16"/>
    <x v="14"/>
    <d v="2026-02-02T07:47:42"/>
    <x v="1"/>
    <s v="FRENK PETER SIMBEYE"/>
    <s v="T512DTR: Harsh braking has been activated. At 02.02.2026 07:47:42 it moved with speed 52 km/h near 'T1, Njombe, Makete, Tanzania, 3.98 km from Mabadaga'."/>
    <s v="T1, Tanzania, Njombe, Makete, 3.98 km from Mabadaga"/>
    <n v="3"/>
  </r>
  <r>
    <n v="17"/>
    <x v="15"/>
    <d v="2026-02-02T08:02:35"/>
    <x v="1"/>
    <s v="KHALIDY MOHAMEDY KIDOMO"/>
    <s v="T724DYR: Harsh braking has been activated. At 02.02.2026 08:02:35 it moved with speed 65 km/h near 'Great North Road, Central Province, Zambia, 9.81 km from Chitiwa'."/>
    <s v="Great North Road, Zambia, Central Province, 9.81 km from Chitiwa"/>
    <n v="4"/>
  </r>
  <r>
    <n v="18"/>
    <x v="16"/>
    <d v="2026-02-02T06:20:27"/>
    <x v="1"/>
    <s v="ELIA JUMA NZOWA"/>
    <s v="T728DYR: Harsh braking has been activated. At 02.02.2026 06:20:27 it moved with speed 70 km/h near 'T1, Njombe, Tanzania, Maguvani'."/>
    <s v="T1, Tanzania, Njombe, Maguvani"/>
    <n v="31"/>
  </r>
  <r>
    <n v="19"/>
    <x v="17"/>
    <d v="2026-02-02T09:53:00"/>
    <x v="1"/>
    <s v="MAKERE GACHUMA MAKERE"/>
    <s v="T774EBW: Harsh braking has been activated. At 02.02.2026 09:53:00 it moved with speed 63 km/h near 'Great North Road, Muchinga Province, Zambia, 18.58 km from Katibunga'."/>
    <s v="Great North Road, Zambia, Muchinga Province, 18.58 km from Katibunga"/>
    <n v="3"/>
  </r>
  <r>
    <n v="20"/>
    <x v="18"/>
    <d v="2026-02-03T11:58:49"/>
    <x v="2"/>
    <s v="GODFREY JOHN ANTHONY KUNDI"/>
    <s v="T107EBX: Harsh braking has been activated. At 03.02.2026 11:58:49 it moved with speed 56 km/h near 'Great North Road, Central Province, Zambia, 3.45 km from Kanona'."/>
    <s v="Great North Road, Zambia, Central Province, 3.45 km from Kanona"/>
    <n v="4"/>
  </r>
  <r>
    <n v="21"/>
    <x v="19"/>
    <d v="2026-02-03T08:06:44"/>
    <x v="2"/>
    <s v="ISAYA JOHN MSENA"/>
    <m/>
    <s v="Great North Road, Zambia, Central Province, 11.27 km from Kanona"/>
    <n v="4"/>
  </r>
  <r>
    <n v="22"/>
    <x v="20"/>
    <d v="2026-02-03T08:42:03"/>
    <x v="2"/>
    <s v="ELIAH YUSUPH MPANGO"/>
    <s v="T191EBX: Harsh braking has been activated. At 03.02.2026 08:06:44 it moved with speed 60 km/h near 'Great North Road, Central Province, Zambia, 11.27 km from Kanona'."/>
    <s v="Iringa Road, Tanzania, Morogoro, Kilosa, 2.06 km from Mikumi"/>
    <n v="5"/>
  </r>
  <r>
    <n v="23"/>
    <x v="12"/>
    <d v="2026-02-03T08:59:41"/>
    <x v="2"/>
    <s v="JUMA KOBA SAID"/>
    <s v="T329ECN: Harsh braking has been activated. At 03.02.2026 08:59:41 it moved with speed 53 km/h near 'Great North Road, Muchinga Province, Zambia, 7.88 km from Chinunda'."/>
    <s v="Great North Road, Zambia, Muchinga Province, 7.88 km from Chinunda"/>
    <n v="5"/>
  </r>
  <r>
    <n v="24"/>
    <x v="13"/>
    <d v="2026-02-03T07:32:27"/>
    <x v="2"/>
    <s v="CHARLES LONGIN MASESA"/>
    <s v="T329ECN: Harsh braking has been activated. At 03.02.2026 08:59:41 it moved with speed 53 km/h near 'Great North Road, Muchinga Province, Zambia, 7.88 km from Chinunda'."/>
    <s v="Great North Road, Zambia, Central Province, 11.79 km from Kanona"/>
    <n v="3"/>
  </r>
  <r>
    <n v="25"/>
    <x v="21"/>
    <d v="2026-02-03T06:23:26"/>
    <x v="2"/>
    <s v="ISMAIL KISANDU RUBASHA"/>
    <s v="T572DYR: Harsh braking has been activated. At 03.02.2026 06:23:26 it moved with speed 61 km/h near 'Iringa Road, Morogoro, Kilosa, Tanzania, Kidayi 'B''."/>
    <s v="Iringa Road, Tanzania, Morogoro, Kilosa, Kidayi 'B'"/>
    <n v="3"/>
  </r>
  <r>
    <n v="26"/>
    <x v="16"/>
    <d v="2026-02-03T06:32:10"/>
    <x v="2"/>
    <s v="ELIA JUMA NZOWA"/>
    <s v="T728DYR: Harsh braking has been activated. At 03.02.2026 06:32:10 it moved with speed 60 km/h near 'T1, Pwani, Bagamoyo, Tanzania, Msolwa'."/>
    <s v="T1, Tanzania, Pwani, Bagamoyo, Msolwa"/>
    <n v="4"/>
  </r>
  <r>
    <n v="27"/>
    <x v="22"/>
    <d v="2026-02-03T11:37:55"/>
    <x v="2"/>
    <s v="OMARY SAID MTAJI"/>
    <s v="T861EBY: Harsh braking has been activated. At 03.02.2026 11:37:55 it moved with speed 53 km/h near 'Morogoro Main Road, Pwani, Kibaha, Tanzania, Ruvu Darajani'."/>
    <s v="Morogoro Main Road, Tanzania, Pwani, Kibaha, Ruvu Darajani"/>
    <n v="4"/>
  </r>
  <r>
    <n v="28"/>
    <x v="23"/>
    <d v="2026-02-03T07:35:58"/>
    <x v="2"/>
    <s v="ABDULHAFIDH RADMAN ALLY"/>
    <s v="T862EBY: Harsh braking has been activated. At 03.02.2026 07:35:58 it moved with speed 58 km/h near 'Great North Road, Central Province, Zambia, 13.65 km from Kanona'."/>
    <s v="Great North Road, Zambia, Central Province, 13.65 km from Kanona"/>
    <n v="3"/>
  </r>
  <r>
    <n v="29"/>
    <x v="24"/>
    <d v="2026-02-03T10:09:11"/>
    <x v="2"/>
    <s v="ALLY RASHID SAID"/>
    <s v="T862EBY: Harsh braking has been activated. At 03.02.2026 07:35:58 it moved with speed 58 km/h near 'Great North Road, Central Province, Zambia, 13.65 km from Kanona'."/>
    <s v="Great North Road, Zambia, Central Province, 17.50 km from Ndabala"/>
    <n v="4"/>
  </r>
  <r>
    <n v="30"/>
    <x v="25"/>
    <d v="2026-02-03T12:18:09"/>
    <x v="2"/>
    <s v="SALIMU SAIDI KIANDIKO"/>
    <s v="T862EBY: Harsh braking has been activated. At 03.02.2026 07:35:58 it moved with speed 58 km/h near 'Great North Road, Central Province, Zambia, 13.65 km from Kanona'."/>
    <s v="Great North Road, Zambia, Central Province, 13.38 km from Muchinka"/>
    <n v="3"/>
  </r>
  <r>
    <n v="31"/>
    <x v="26"/>
    <d v="2026-02-04T07:27:23"/>
    <x v="3"/>
    <s v="BAHATI ATHUMANI MDOE"/>
    <s v="T153EBX: Harsh braking has been activated. At 04.02.2026 07:27:23 it moved with speed 57 km/h near 'Great North Road, Muchinga Province, Zambia, 8.67 km from Mwezo'."/>
    <s v="Great North Road, Zambia, Muchinga Province, 8.67 km from Mwezo"/>
    <n v="4"/>
  </r>
  <r>
    <n v="32"/>
    <x v="27"/>
    <d v="2026-02-04T06:16:25"/>
    <x v="3"/>
    <s v="BAKARI MOHAMEDI SAIDI"/>
    <s v="T263EBX: Harsh braking has been activated. At 04.02.2026 06:16:25 it moved with speed 62 km/h near 'Great North Road, Central Province, Zambia, 12.06 km from Muchinka'."/>
    <s v="Great North Road, Zambia, Central Province, 12.06 km from Muchinka"/>
    <n v="4"/>
  </r>
  <r>
    <n v="33"/>
    <x v="1"/>
    <d v="2026-02-04T07:49:55"/>
    <x v="3"/>
    <s v="ISAYA MSHUKURU MMBANDO"/>
    <s v="T271EBY: Harsh braking has been activated. At 04.02.2026 07:49:55 it moved with speed 52 km/h near 'T3, Copperbelt Province, Zambia, Ndola'."/>
    <s v="T3, Zambia, Copperbelt Province, Ndola"/>
    <n v="3"/>
  </r>
  <r>
    <n v="34"/>
    <x v="28"/>
    <d v="2026-02-04T09:17:10"/>
    <x v="3"/>
    <s v="HAMADI RASHID DOWILE"/>
    <s v="T392ECN: Harsh braking has been activated. At 04.02.2026 09:17:10 it moved with speed 56 km/h near 'T3, Copperbelt Province, Zambia, 30.60 km from Ndola'."/>
    <s v="T3, Zambia, Copperbelt Province, 30.60 km from Ndola"/>
    <n v="3"/>
  </r>
  <r>
    <n v="35"/>
    <x v="7"/>
    <d v="2026-02-04T06:19:55"/>
    <x v="3"/>
    <s v="RAMADHANI SHABANI WAGAMOYO"/>
    <s v="T482DYR: Harsh braking has been activated. At 04.02.2026 06:19:55 it moved with speed 63 km/h near 'Tanzania To Zambia Road, Iringa, Mufindi, Tanzania, Kinyanambo'."/>
    <s v="Tanzania To Zambia Road, Tanzania, Iringa, Mufindi, Kinyanambo"/>
    <n v="4"/>
  </r>
  <r>
    <n v="36"/>
    <x v="29"/>
    <d v="2026-02-04T18:36:45"/>
    <x v="3"/>
    <s v="EZEKIEL AIZACK KIHANZA"/>
    <s v="T734EBX: Harsh braking has been activated. At 04.02.2026 18:36:45 it moved with speed 53 km/h near 'Rn39, Kolwezi, Lualaba, Democratic Republic of the Congo'."/>
    <s v="Kolwezi, Rn39, Democratic Republic of the Congo, Lualaba"/>
    <n v="3"/>
  </r>
  <r>
    <n v="37"/>
    <x v="30"/>
    <d v="2026-02-04T08:42:17"/>
    <x v="3"/>
    <s v="GERALD RAPHAEL SALAMALA"/>
    <s v="T741EBX: Harsh braking has been activated. At 04.02.2026 08:42:17 it moved with speed 61 km/h near 'Rn39, Lualaba, Democratic Republic of the Congo, Kampulu'."/>
    <s v="Rn39, Democratic Republic of the Congo, Lualaba, Kampulu"/>
    <n v="3"/>
  </r>
  <r>
    <n v="38"/>
    <x v="31"/>
    <d v="2026-02-04T11:00:56"/>
    <x v="3"/>
    <s v="ATHUMANI SHABAN KAUNDU"/>
    <s v="T798EBW: Harsh braking has been activated. At 04.02.2026 11:00:56 it moved with speed 55 km/h near 'Great North Road, Central Province, Zambia, 13.64 km from Kanona'."/>
    <s v="Great North Road, Zambia, Central Province, 13.64 km from Kanona"/>
    <n v="3"/>
  </r>
  <r>
    <n v="39"/>
    <x v="32"/>
    <d v="2026-02-04T15:21:50"/>
    <x v="3"/>
    <s v="NIZAR HASHAM TIMBILI"/>
    <s v="T820DDS: Harsh braking has been activated. At 04.02.2026 15:21:50 it moved with speed 63 km/h near 'T1, Mbeya, Tanzania, 7.58 km from Msesule'."/>
    <s v="T1, Tanzania, Mbeya, 7.58 km from Msesule"/>
    <n v="3"/>
  </r>
  <r>
    <n v="40"/>
    <x v="33"/>
    <d v="2026-02-04T10:32:28"/>
    <x v="3"/>
    <s v="ABDUL HASSAN SADICK"/>
    <s v="T821EBW: Harsh braking has been activated. At 04.02.2026 10:32:28 it moved with speed 56 km/h near 'Great North Road, Muchinga Province, Zambia, 17.68 km from Isoka'."/>
    <s v="Great North Road, Zambia, Muchinga Province, 17.68 km from Isoka"/>
    <n v="3"/>
  </r>
  <r>
    <n v="41"/>
    <x v="22"/>
    <d v="2026-02-04T11:15:54"/>
    <x v="3"/>
    <s v="OMARY SAID MTAJI"/>
    <s v="T861EBY: Harsh braking has been activated. At 04.02.2026 11:15:54 it moved with speed 67 km/h near 'Iringa Road, Lundamatwe, Iringa, Tanzania'."/>
    <s v="Lundamatwe, Iringa Road, Tanzania, Iringa"/>
    <n v="3"/>
  </r>
  <r>
    <n v="42"/>
    <x v="34"/>
    <d v="2026-02-04T10:21:09"/>
    <x v="3"/>
    <s v="PATRICK MSONGWA MWANJIBILI"/>
    <s v="T875EBY: Harsh braking has been activated. At 04.02.2026 10:21:09 it moved with speed 56 km/h near 'Great North Road, Central Province, Zambia, 13.87 km from Serenje'."/>
    <s v="Great North Road, Zambia, Central Province, 13.87 km from Serenje"/>
    <n v="4"/>
  </r>
  <r>
    <n v="43"/>
    <x v="35"/>
    <d v="2026-02-04T09:08:03"/>
    <x v="3"/>
    <s v="ELIBAS EZEKIEL KITUNGWA"/>
    <s v="T907EBW: Harsh braking has been activated. At 04.02.2026 09:08:03 it moved with speed 51 km/h near 'T3, Ndola, Copperbelt Province, Zambia'."/>
    <s v="Ndola, T3, Zambia, Copperbelt Province"/>
    <n v="8"/>
  </r>
  <r>
    <n v="44"/>
    <x v="36"/>
    <d v="2026-02-04T09:55:29"/>
    <x v="3"/>
    <s v="GODFREY FRANK MBOJA"/>
    <s v="T915EBW: Harsh braking has been activated. At 04.02.2026 09:55:29 it moved with speed 52 km/h near 'Great North Road, Muchinga Province, Zambia, 7.15 km from Chilonga'."/>
    <s v="Great North Road, Zambia, Muchinga Province, 7.15 km from Chilonga"/>
    <n v="5"/>
  </r>
  <r>
    <n v="45"/>
    <x v="37"/>
    <d v="2026-02-04T17:48:20"/>
    <x v="3"/>
    <s v="CHRISTOPHER SAMWEL TITO "/>
    <s v="T967EBW: Harsh braking has been activated. At 04.02.2026 17:48:20 it moved with speed 69 km/h near 'Great North Road, Central Province, Zambia, 11.79 km from Bwale'."/>
    <s v="Great North Road, Zambia, Central Province, 11.79 km from Bwale"/>
    <n v="3"/>
  </r>
  <r>
    <n v="46"/>
    <x v="26"/>
    <d v="2026-02-05T09:29:12"/>
    <x v="4"/>
    <s v="BAHATI ATHUMANI MDOE"/>
    <s v="T153EBX: Harsh braking has been activated. At 05.02.2026 09:29:12 it moved with speed 60 km/h near 'Great North Road, Muchinga Province, Zambia, 5.69 km from Musata'."/>
    <s v="Great North Road, Zambia, Muchinga Province, 5.69 km from Musata"/>
    <n v="5"/>
  </r>
  <r>
    <n v="47"/>
    <x v="1"/>
    <d v="2026-02-05T07:57:56"/>
    <x v="4"/>
    <s v="ISAYA MSHUKURU MMBANDO"/>
    <s v="T271EBY: Harsh braking has been activated. At 05.02.2026 07:57:56 it moved with speed 61 km/h near 'Great North Road, Muchinga Province, Zambia, 4.44 km from Musata'."/>
    <s v="Great North Road, Zambia, Muchinga Province, 4.44 km from Musata"/>
    <n v="8"/>
  </r>
  <r>
    <n v="48"/>
    <x v="38"/>
    <d v="2026-02-05T11:42:54"/>
    <x v="4"/>
    <s v="IDD HUSSEIN KAZUBA"/>
    <s v="T312EBX: Harsh braking has been activated. At 05.02.2026 11:42:54 it moved with speed 53 km/h near 'Great North Road, Muchinga Province, Zambia, 3.17 km from Kalonje'."/>
    <s v="Great North Road, Zambia, Muchinga Province, 3.17 km from Kalonje"/>
    <n v="3"/>
  </r>
  <r>
    <n v="49"/>
    <x v="39"/>
    <d v="2026-02-05T08:26:33"/>
    <x v="4"/>
    <s v="OMARI SALIMU MOHAMEDI"/>
    <s v="T339EBX: Harsh braking has been activated. At 05.02.2026 08:26:33 it moved with speed 62 km/h near 'Rn39, Lualaba, Democratic Republic of the Congo, Zakeo'."/>
    <s v="Rn39, Democratic Republic of the Congo, Lualaba, Zakeo"/>
    <n v="3"/>
  </r>
  <r>
    <n v="50"/>
    <x v="40"/>
    <d v="2026-02-05T08:08:45"/>
    <x v="4"/>
    <s v="JUMANNE ALLY NJECHELE"/>
    <s v="T402ECN: Harsh braking has been activated. At 05.02.2026 08:08:45 it moved with speed 55 km/h near 'Rn39, Lualaba, Democratic Republic of the Congo, 1.24 km from Kampulu'."/>
    <s v="Rn39, Democratic Republic of the Congo, Lualaba, 1.24 km from Kampulu"/>
    <n v="3"/>
  </r>
  <r>
    <n v="51"/>
    <x v="41"/>
    <d v="2026-02-05T09:49:11"/>
    <x v="4"/>
    <s v="FADHILI SAIDI MTULILA"/>
    <s v="T417DHE: Harsh braking has been activated. At 05.02.2026 09:49:11 it moved with speed 60 km/h near 'Iringa Road, Morogoro, Kilosa, Tanzania, Igagala'."/>
    <s v="Iringa Road, Tanzania, Morogoro, Kilosa, Igagala"/>
    <n v="6"/>
  </r>
  <r>
    <n v="52"/>
    <x v="42"/>
    <d v="2026-02-05T07:47:33"/>
    <x v="4"/>
    <s v="OMARI ABEDI MOKA"/>
    <s v="T513EBY: Harsh braking has been activated. At 05.02.2026 07:47:33 it moved with speed 56 km/h near 'Great North Road, Muchinga Province, Zambia, Kaloswe'."/>
    <s v="Great North Road, Zambia, Muchinga Province, Kaloswe"/>
    <n v="3"/>
  </r>
  <r>
    <n v="53"/>
    <x v="43"/>
    <d v="2026-02-05T10:29:34"/>
    <x v="4"/>
    <s v="AHMED SAID LUWANDA"/>
    <s v="T703EBX: Harsh braking has been activated. At 05.02.2026 10:29:34 it moved with speed 53 km/h near 'Great North Road, Central Province, Zambia, 3.96 km from Godfrey Kunda'."/>
    <s v="Great North Road, Zambia, Central Province, 3.96 km from Godfrey Kunda"/>
    <n v="4"/>
  </r>
  <r>
    <n v="54"/>
    <x v="29"/>
    <d v="2026-02-05T08:11:34"/>
    <x v="4"/>
    <s v="EZEKIEL AIZACK KIHANZA"/>
    <s v="T734EBX: Harsh braking has been activated. At 05.02.2026 08:11:34 it moved with speed 57 km/h near 'Rn39, Lualaba, Democratic Republic of the Congo, Kabwe Dikuku (Sud)'."/>
    <s v="Rn39, Democratic Republic of the Congo, Lualaba, Kabwe Dikuku (Sud)"/>
    <n v="3"/>
  </r>
  <r>
    <n v="55"/>
    <x v="32"/>
    <d v="2026-02-05T08:57:41"/>
    <x v="4"/>
    <s v="NIZAR HASHAM TIMBILI"/>
    <s v="T820DDS: Harsh braking has been activated. At 05.02.2026 08:57:41 it moved with speed 52 km/h near 'Iringa Road, Iringa, Tanzania, 1.08 km from Ikokoto'."/>
    <s v="Iringa Road, Tanzania, Iringa, 1.08 km from Ikokoto"/>
    <n v="9"/>
  </r>
  <r>
    <n v="56"/>
    <x v="44"/>
    <d v="2026-02-05T08:47:07"/>
    <x v="4"/>
    <s v="ISSACK KONRADI KASIANO"/>
    <s v="T868EBW: Harsh braking has been activated. At 05.02.2026 08:47:07 it moved with speed 65 km/h near 'Great North Road, Muchinga Province, Zambia, 2.27 km from Chilonga'."/>
    <s v="Great North Road, Zambia, Muchinga Province, 2.27 km from Chilonga"/>
    <n v="5"/>
  </r>
  <r>
    <n v="57"/>
    <x v="45"/>
    <d v="2026-02-05T13:36:57"/>
    <x v="4"/>
    <s v="HAMISI RAMADHANI SULTAN"/>
    <s v="T878EBY: Harsh braking has been activated. At 05.02.2026 13:36:57 it moved with speed 67 km/h near 'Rn1, Haut-Katanga, Democratic Republic of the Congo, Kapolowe'."/>
    <s v="Rn1, Democratic Republic of the Congo, Haut-Katanga, Kapolowe"/>
    <n v="5"/>
  </r>
  <r>
    <n v="58"/>
    <x v="35"/>
    <d v="2026-02-05T11:40:17"/>
    <x v="4"/>
    <s v="ELIBAS EZEKIEL KITUNGWA"/>
    <s v="T907EBW: Harsh braking has been activated. At 05.02.2026 11:40:17 it moved with speed 53 km/h near 'Great North Road, Muchinga Province, Zambia, 20.24 km from Katibunga'."/>
    <s v="Great North Road, Zambia, Muchinga Province, 20.24 km from Katibunga"/>
    <n v="4"/>
  </r>
  <r>
    <n v="59"/>
    <x v="46"/>
    <d v="2026-02-05T15:08:10"/>
    <x v="4"/>
    <s v="YUNUS ABDILLAH SULEIMAN"/>
    <s v="T950EBW: Harsh braking has been activated. At 05.02.2026 15:08:10 it moved with speed 55 km/h near 'Great North Road, Muchinga Province, Zambia, 11.23 km from Amosi Pumba'."/>
    <s v="Great North Road, Zambia, Muchinga Province, 11.23 km from Amosi Pumba"/>
    <n v="3"/>
  </r>
  <r>
    <n v="60"/>
    <x v="47"/>
    <d v="2026-02-05T07:29:19"/>
    <x v="4"/>
    <s v="RAJABU ISSA OMARI"/>
    <s v="T975EBW: Harsh braking has been activated. At 05.02.2026 07:29:19 it moved with speed 55 km/h near 'Great North Road, Muchinga Province, Zambia, 7.37 km from Sebuloni'."/>
    <s v="Great North Road, Zambia, Muchinga Province, 7.37 km from Sebuloni"/>
    <n v="6"/>
  </r>
  <r>
    <n v="61"/>
    <x v="26"/>
    <d v="2026-02-06T10:42:47"/>
    <x v="5"/>
    <s v="BAHATI ATHUMANI MDOE"/>
    <s v="T153EBX: Harsh braking has been activated. At 06.02.2026 10:42:47 it moved with speed 53 km/h near 'Fisenge Bypass, Ndola, Copperbelt Province, Zambia'."/>
    <s v="Ndola, Fisenge Bypass, Zambia, Copperbelt Province"/>
    <n v="3"/>
  </r>
  <r>
    <n v="62"/>
    <x v="12"/>
    <d v="2026-02-06T08:28:30"/>
    <x v="5"/>
    <s v="JUMA KOBA SAID"/>
    <s v="T329ECN: Harsh braking has been activated. At 06.02.2026 08:28:30 it moved with speed 61 km/h near 'Iringa Road, Iringa, Tanzania, Matassi'."/>
    <s v="Iringa Road, Tanzania, Iringa, Matassi"/>
    <n v="4"/>
  </r>
  <r>
    <n v="63"/>
    <x v="48"/>
    <d v="2026-02-06T09:22:38"/>
    <x v="5"/>
    <s v="MANASE JOHSON YINDI"/>
    <s v="T748EBX: Harsh braking has been activated. At 06.02.2026 09:22:38 it moved with speed 53 km/h near 'Great North Road, Muchinga Province, Zambia, 6.90 km from Rumbuka'."/>
    <s v="Great North Road, Zambia, Muchinga Province, 6.90 km from Rumbuka"/>
    <n v="3"/>
  </r>
  <r>
    <n v="64"/>
    <x v="49"/>
    <d v="2026-02-06T17:08:28"/>
    <x v="5"/>
    <s v="ABUBAKAR JUMA YUSUPH"/>
    <s v="T772DYR: Harsh braking has been activated. At 06.02.2026 17:08:28 it moved with speed 52 km/h near 'Great North Road, Central Province, Zambia, 14.56 km from Kanona'."/>
    <s v="Great North Road, Zambia, Central Province, 14.56 km from Kanona"/>
    <n v="3"/>
  </r>
  <r>
    <n v="65"/>
    <x v="23"/>
    <d v="2026-02-06T08:37:22"/>
    <x v="5"/>
    <s v="ABDULHAFIDH RADMAN ALLY"/>
    <s v="T862EBY: Harsh braking has been activated. At 06.02.2026 08:37:22 it moved with speed 52 km/h near 'T1, Mbeya, Tanzania, 1.07 km from Makwenje'."/>
    <s v="T1, Tanzania, Mbeya, 1.07 km from Makwenje"/>
    <n v="3"/>
  </r>
  <r>
    <n v="66"/>
    <x v="50"/>
    <d v="2026-02-06T09:11:26"/>
    <x v="5"/>
    <s v="ATHONNY PAULO MDEDE"/>
    <s v="T873EBW: Harsh braking has been activated. At 06.02.2026 09:11:26 it moved with speed 52 km/h near 'Great North Road, Muchinga Province, Zambia, Chilonga'."/>
    <s v="Great North Road, Zambia, Muchinga Province, Chilonga"/>
    <n v="3"/>
  </r>
  <r>
    <n v="67"/>
    <x v="36"/>
    <d v="2026-02-06T09:22:16"/>
    <x v="5"/>
    <s v="GODFREY FRANK MBOJA"/>
    <s v="T915EBW: Harsh braking has been activated. At 06.02.2026 09:22:16 it moved with speed 61 km/h near 'M16, Copperbelt Province, Zambia, 1.87 km from Kalulushi'."/>
    <s v="M16, Zambia, Copperbelt Province, 1.87 km from Kalulushi"/>
    <n v="3"/>
  </r>
  <r>
    <n v="68"/>
    <x v="51"/>
    <d v="2026-02-07T07:31:06"/>
    <x v="6"/>
    <s v="MOHAMEDI IDDI KULWA"/>
    <s v="T269EBX: Harsh braking has been activated. At 07.02.2026 07:31:06 it moved with speed 63 km/h near 'Great North Road, Central Province, Zambia, 8.01 km from Tanemeka'."/>
    <s v="Great North Road, Zambia, Central Province, 8.01 km from Tanemeka"/>
    <n v="8"/>
  </r>
  <r>
    <n v="69"/>
    <x v="52"/>
    <d v="2026-02-07T15:44:23"/>
    <x v="6"/>
    <s v="RASUL ZUBERY KAONDO"/>
    <s v="T327EBX: Harsh braking has been activated. At 07.02.2026 15:44:23 it moved with speed 54 km/h near 'Great North Road, Muchinga Province, Zambia, 10.37 km from Godfrey Kunda'."/>
    <s v="Great North Road, Zambia, Muchinga Province, 10.37 km from Godfrey Kunda"/>
    <n v="3"/>
  </r>
  <r>
    <n v="70"/>
    <x v="53"/>
    <d v="2026-02-07T12:45:58"/>
    <x v="6"/>
    <s v="SAID ASUMAN MUHOGO"/>
    <s v="T438DHG: Harsh braking has been activated. At 07.02.2026 12:45:58 it moved with speed 82 km/h near 'Rn1, Haut-Katanga, Democratic Republic of the Congo, 9.55 km from Kikula'."/>
    <s v="Rn1, Democratic Republic of the Congo, Haut-Katanga, 9.55 km from Kikula"/>
    <n v="4"/>
  </r>
  <r>
    <n v="71"/>
    <x v="54"/>
    <d v="2026-02-07T13:15:23"/>
    <x v="6"/>
    <s v="NUHU MOHAMED NTILA"/>
    <s v="T496DYR: Harsh braking has been activated. At 07.02.2026 13:15:23 it moved with speed 62 km/h near 'Great North Road, Central Province, Zambia, 9.89 km from Kanona'."/>
    <s v="Great North Road, Zambia, Central Province, 9.89 km from Kanona"/>
    <n v="6"/>
  </r>
  <r>
    <n v="72"/>
    <x v="55"/>
    <d v="2026-02-07T10:46:09"/>
    <x v="6"/>
    <s v="MRISHO WAZIRI ALLY"/>
    <s v="T568DYR: Harsh braking has been activated. At 07.02.2026 10:46:09 it moved with speed 65 km/h near 'Rn1, Haut-Katanga, Democratic Republic of the Congo, 15.02 km from Tumbwe'."/>
    <s v="Rn1, Democratic Republic of the Congo, Haut-Katanga, 15.02 km from Tumbwe"/>
    <n v="12"/>
  </r>
  <r>
    <n v="73"/>
    <x v="56"/>
    <d v="2026-02-07T08:02:41"/>
    <x v="6"/>
    <s v="HAMUDU MAJID MARUZUKU"/>
    <s v="T583DYR: Harsh braking has been activated. At 07.02.2026 08:02:41 it moved with speed 58 km/h near 'Great North Road, Muchinga Province, Zambia, Kalonje'."/>
    <s v="Great North Road, Zambia, Muchinga Province, Kalonje"/>
    <n v="3"/>
  </r>
  <r>
    <n v="74"/>
    <x v="57"/>
    <d v="2026-02-07T11:16:15"/>
    <x v="6"/>
    <s v="ABDALLAH BAKARI ABDALLAH"/>
    <s v="T793EBW: Harsh braking has been activated. At 07.02.2026 11:16:15 it moved with speed 58 km/h near 'Rn1, Haut-Katanga, Democratic Republic of the Congo, 4.02 km from Lwisha'."/>
    <s v="Rn1, Democratic Republic of the Congo, Haut-Katanga, 4.02 km from Lwisha"/>
    <n v="4"/>
  </r>
  <r>
    <n v="75"/>
    <x v="58"/>
    <d v="2026-02-07T14:12:58"/>
    <x v="6"/>
    <s v="SELEIMANI MNGODO  SELEMAINI"/>
    <s v="T954DSX: Harsh braking has been activated. At 07.02.2026 14:12:58 it moved with speed 56 km/h near 'Rn39, Lualaba, Democratic Republic of the Congo, Lutanda'."/>
    <s v="Rn39, Democratic Republic of the Congo, Lualaba, Lutanda"/>
    <n v="3"/>
  </r>
  <r>
    <n v="76"/>
    <x v="59"/>
    <d v="2026-02-08T06:57:38"/>
    <x v="7"/>
    <n v="0"/>
    <s v="T315EBX: Harsh braking has been activated. At 08.02.2026 06:57:38 it moved with speed 51 km/h near 'Great North Road, Central Province, Zambia, 4.77 km from Godfrey Kunda'."/>
    <s v="Great North Road, Zambia, Central Province, 4.77 km from Godfrey Kunda"/>
    <n v="6"/>
  </r>
  <r>
    <n v="77"/>
    <x v="60"/>
    <d v="2026-02-08T07:31:59"/>
    <x v="7"/>
    <s v="AMIRI HAMISI MIKURU"/>
    <s v="T713DYR: Harsh braking has been activated. At 08.02.2026 07:31:59 it moved with speed 51 km/h near 'T1, Njombe, Tanzania, 6.54 km from Nyololo'."/>
    <s v="T1, Tanzania, Njombe, 6.54 km from Nyololo"/>
    <n v="4"/>
  </r>
  <r>
    <n v="78"/>
    <x v="61"/>
    <d v="2026-02-08T08:57:44"/>
    <x v="7"/>
    <s v="ZAKARIA RAJABU KINANA"/>
    <s v="T840EBY: Harsh braking has been activated. At 08.02.2026 08:57:44 it moved with speed 51 km/h near 'Great North Road, Central Province, Zambia, 5.23 km from Mkushi'."/>
    <s v="Great North Road, Zambia, Central Province, 5.23 km from Mkushi"/>
    <n v="4"/>
  </r>
  <r>
    <n v="79"/>
    <x v="62"/>
    <d v="2026-02-08T16:27:34"/>
    <x v="7"/>
    <s v="MUSSA JUMA MOHAMED"/>
    <s v="T842EBY: Harsh braking has been activated. At 08.02.2026 16:27:34 it moved with speed 54 km/h near 'T3, Ndola, Copperbelt Province, Zambia'."/>
    <s v="Ndola, T3, Zambia, Copperbelt Province"/>
    <n v="3"/>
  </r>
  <r>
    <n v="80"/>
    <x v="34"/>
    <d v="2026-02-08T06:25:52"/>
    <x v="7"/>
    <s v="PATRICK MSONGWA MWANJIBILI"/>
    <s v="T875EBY: Harsh braking has been activated. At 08.02.2026 06:25:52 it moved with speed 55 km/h near 'Iringa Road, Morogoro, Kilosa, Tanzania, Kidayi 'A''."/>
    <s v="Iringa Road, Tanzania, Morogoro, Kilosa, Kidayi 'A'"/>
    <n v="3"/>
  </r>
  <r>
    <n v="81"/>
    <x v="24"/>
    <d v="2026-02-08T09:58:46"/>
    <x v="7"/>
    <s v="ALLY RASHID SAID"/>
    <s v="T905EBW: Harsh braking has been activated. At 08.02.2026 09:58:46 it moved with speed 60 km/h near 'T1, Mbeya, Tanzania, 1.79 km from Mfumbi'."/>
    <s v="T1, Tanzania, Mbeya, 1.79 km from Mfumbi"/>
    <n v="3"/>
  </r>
  <r>
    <n v="82"/>
    <x v="35"/>
    <d v="2026-02-08T14:55:04"/>
    <x v="7"/>
    <s v="ELIBAS EZEKIEL KITUNGWA"/>
    <s v="T907EBW: Harsh braking has been activated. At 08.02.2026 14:55:04 it moved with speed 66 km/h near 'T1, Njombe, Tanzania, 6.32 km from Nyololo'."/>
    <s v="T1, Tanzania, Njombe, 6.32 km from Nyololo"/>
    <n v="4"/>
  </r>
  <r>
    <n v="83"/>
    <x v="63"/>
    <d v="2026-02-09T10:55:21"/>
    <x v="8"/>
    <s v="HASSAN ABDALLAH JUMA"/>
    <s v="T146EBX: Harsh braking has been activated. At 09.02.2026 10:55:21 it moved with speed 54 km/h near 'Great North Road, Central Province, Zambia, 3.98 km from Serenje'."/>
    <s v="Great North Road, Zambia, Central Province, 3.98 km from Serenje"/>
    <n v="6"/>
  </r>
  <r>
    <n v="84"/>
    <x v="64"/>
    <d v="2026-02-09T12:02:09"/>
    <x v="8"/>
    <s v="JOEL SAMSON MANDAGO"/>
    <s v="T235EBX: Harsh braking has been activated. At 09.02.2026 12:02:09 it moved with speed 55 km/h near 'Avenue Kawama, Katuba, Congo (Democratic Republic of the)'."/>
    <s v="Katuba, Avenue Kawama, Congo (Democratic Republic of the)"/>
    <n v="5"/>
  </r>
  <r>
    <n v="85"/>
    <x v="1"/>
    <d v="2026-02-09T06:14:16"/>
    <x v="8"/>
    <s v="ISAYA MSHUKURU MMBANDO"/>
    <s v="T271EBY: Harsh braking has been activated. At 09.02.2026 06:14:16 it moved with speed 56 km/h near 'T1, Njombe, Tanzania, 2.30 km from Idofi'."/>
    <s v="T1, Tanzania, Njombe, 2.30 km from Idofi"/>
    <n v="4"/>
  </r>
  <r>
    <n v="86"/>
    <x v="65"/>
    <d v="2026-02-09T11:28:33"/>
    <x v="8"/>
    <s v="HOSEA MRINGI MACHA "/>
    <s v="T497DYR: Harsh braking has been activated. At 09.02.2026 11:28:33 it moved with speed 54 km/h near 'Iringa Road, Morogoro, Kilosa, Tanzania, 13.14 km from Msimba'."/>
    <s v="Iringa Road, Tanzania, Morogoro, Kilosa, 13.14 km from Msimba"/>
    <n v="13"/>
  </r>
  <r>
    <n v="87"/>
    <x v="66"/>
    <d v="2026-02-09T10:29:45"/>
    <x v="8"/>
    <s v="SAID SALUM MOHAMED"/>
    <s v="T521EBY: Harsh braking has been activated. At 09.02.2026 10:29:45 it moved with speed 51 km/h near 'Great North Road, Muchinga Province, Zambia, 2.18 km from Kaole'."/>
    <s v="Great North Road, Zambia, Muchinga Province, 2.18 km from Kaole"/>
    <n v="3"/>
  </r>
  <r>
    <n v="88"/>
    <x v="67"/>
    <d v="2026-02-09T07:17:27"/>
    <x v="8"/>
    <s v="MISTWAHI AMRI SAID"/>
    <s v="T589DYR: Harsh braking has been activated. At 09.02.2026 07:17:27 it moved with speed 53 km/h near 'Rn1, Haut-Katanga, Democratic Republic of the Congo, 11.61 km from Chamba'."/>
    <s v="Rn1, Democratic Republic of the Congo, Haut-Katanga, 11.61 km from Chamba"/>
    <n v="3"/>
  </r>
  <r>
    <n v="89"/>
    <x v="62"/>
    <d v="2026-02-09T15:23:42"/>
    <x v="8"/>
    <s v="MUSSA JUMA MOHAMED"/>
    <s v="T842EBY: Harsh braking has been activated. At 09.02.2026 15:23:42 it moved with speed 58 km/h near 'Great North Road, Muchinga Province, Zambia, 3.88 km from Kaloswe'."/>
    <s v="Great North Road, Zambia, Muchinga Province, 3.88 km from Kaloswe"/>
    <n v="3"/>
  </r>
  <r>
    <n v="90"/>
    <x v="22"/>
    <d v="2026-02-09T08:09:30"/>
    <x v="8"/>
    <s v="OMARY SAID MTAJI"/>
    <s v="T861EBY: Harsh braking has been activated. At 09.02.2026 08:09:30 it moved with speed 51 km/h near 'Great North Road, Central Province, Zambia, 11.84 km from Bwale'."/>
    <s v="Great North Road, Zambia, Central Province, 11.84 km from Bwale"/>
    <n v="3"/>
  </r>
  <r>
    <n v="91"/>
    <x v="68"/>
    <d v="2026-02-09T13:51:30"/>
    <x v="8"/>
    <s v="YAHAYA MWINCHUMU ZUBERI"/>
    <s v="T899EBW: Harsh braking has been activated. At 09.02.2026 13:51:30 it moved with speed 60 km/h near 'Great North Road, Muchinga Province, Zambia, 3.50 km from Isoka'."/>
    <s v="Great North Road, Zambia, Muchinga Province, 3.50 km from Isoka"/>
    <n v="3"/>
  </r>
  <r>
    <n v="92"/>
    <x v="35"/>
    <d v="2026-02-09T10:36:37"/>
    <x v="8"/>
    <s v="ELIBAS EZEKIEL KITUNGWA"/>
    <s v="T907EBW: Harsh braking has been activated. At 09.02.2026 10:36:37 it moved with speed 54 km/h near 'Iringa Road, Morogoro, Kilosa, Tanzania, 11.87 km from Msimba'."/>
    <s v="Iringa Road, Tanzania, Morogoro, Kilosa, 11.87 km from Msimba"/>
    <n v="9"/>
  </r>
  <r>
    <n v="93"/>
    <x v="69"/>
    <d v="2026-02-09T12:35:21"/>
    <x v="8"/>
    <s v="OMARI ATHUMANI SELEMANI"/>
    <s v="T930EBW: Harsh braking has been activated. At 09.02.2026 12:35:21 it moved with speed 55 km/h near 'Great North Road, Central Province, Zambia, 10.50 km from Tanemeka'."/>
    <s v="Great North Road, Zambia, Central Province, 10.50 km from Tanemeka"/>
    <n v="8"/>
  </r>
  <r>
    <n v="94"/>
    <x v="70"/>
    <d v="2026-02-09T10:07:48"/>
    <x v="8"/>
    <s v="SHABANI HARUNA SEMENTA"/>
    <s v="T955EBW: Harsh braking has been activated. At 09.02.2026 10:07:48 it moved with speed 68 km/h near 'Iringa Road, Iringa, Tanzania, Matassi'."/>
    <s v="Iringa Road, Tanzania, Iringa, Matassi"/>
    <n v="5"/>
  </r>
  <r>
    <n v="95"/>
    <x v="71"/>
    <d v="2026-02-10T10:02:50"/>
    <x v="9"/>
    <s v="MANENO MOHAMED KAKIMA"/>
    <s v="T379ECN: Harsh braking has been activated. At 10.02.2026 10:02:50 it moved with speed 52 km/h near 'Iringa Road, Morogoro, Kilosa, Tanzania, 12.29 km from Msimba'."/>
    <s v="Iringa Road, Tanzania, Morogoro, Kilosa, 12.29 km from Msimba"/>
    <n v="5"/>
  </r>
  <r>
    <n v="96"/>
    <x v="72"/>
    <d v="2026-02-10T12:12:44"/>
    <x v="9"/>
    <s v="MANDELA WILSON MANYILIZU"/>
    <s v="T591DTQ: Harsh braking has been activated. At 10.02.2026 12:12:44 it moved with speed 64 km/h near 'T1, Morogoro, Tanzania, 4.00 km from Fulwe'."/>
    <s v="T1, Tanzania, Morogoro, 4.00 km from Fulwe"/>
    <n v="6"/>
  </r>
  <r>
    <n v="97"/>
    <x v="16"/>
    <d v="2026-02-10T19:07:46"/>
    <x v="9"/>
    <s v="ELIA JUMA NZOWA"/>
    <s v="T728DYR: Harsh braking has been activated. At 10.02.2026 19:07:46 it moved with speed 61 km/h near 'Iringa Road, Morogoro, Kilosa, Tanzania, 13.94 km from Igagala'."/>
    <s v="Iringa Road, Tanzania, Morogoro, Kilosa, 13.94 km from Igagala"/>
    <n v="3"/>
  </r>
  <r>
    <n v="98"/>
    <x v="73"/>
    <d v="2026-02-10T10:46:07"/>
    <x v="9"/>
    <s v="YUSUPH ZIAGA SANGA"/>
    <s v="T817EBW: Harsh braking has been activated. At 10.02.2026 10:46:07 it moved with speed 72 km/h near 'Rn39, Lualaba, Democratic Republic of the Congo, 1.27 km from Kampulu'."/>
    <s v="Rn39, Democratic Republic of the Congo, Lualaba, 1.27 km from Kampulu"/>
    <n v="10"/>
  </r>
  <r>
    <n v="99"/>
    <x v="22"/>
    <d v="2026-02-10T07:29:21"/>
    <x v="9"/>
    <s v="OMARY SAID MTAJI"/>
    <s v="T861EBY: Harsh braking has been activated. At 10.02.2026 07:29:21 it moved with speed 61 km/h near 'T3, Copperbelt Province, Zambia, 7.71 km from Tonde'."/>
    <s v="T3, Zambia, Copperbelt Province, 7.71 km from Tonde"/>
    <n v="3"/>
  </r>
  <r>
    <n v="100"/>
    <x v="44"/>
    <d v="2026-02-10T06:49:05"/>
    <x v="9"/>
    <s v="ISSACK KONRADI KASIANO"/>
    <s v="T868EBW: Harsh braking has been activated. At 10.02.2026 06:49:05 it moved with speed 63 km/h near 'Iringa Road, Lundamatwe, Iringa, Tanzania'."/>
    <s v="Lundamatwe, Iringa Road, Tanzania, Iringa"/>
    <n v="3"/>
  </r>
  <r>
    <n v="101"/>
    <x v="74"/>
    <d v="2026-02-10T07:24:57"/>
    <x v="9"/>
    <s v="MADENGE SALUM SHOMARI"/>
    <s v="T892EBW: Harsh braking has been activated. At 10.02.2026 07:24:57 it moved with speed 57 km/h near 'Great North Road, Muchinga Province, Zambia, 2.33 km from Kalonje'."/>
    <s v="Great North Road, Zambia, Muchinga Province, 2.33 km from Kalonje"/>
    <n v="5"/>
  </r>
  <r>
    <n v="102"/>
    <x v="18"/>
    <d v="2026-02-11T13:20:07"/>
    <x v="10"/>
    <s v="GODFREY JOHN ANTHONY KUNDI"/>
    <s v="T107EBX: Harsh braking has been activated. At 11.02.2026 13:20:07 it moved with speed 52 km/h near 'Rn1, Haut-Katanga, Democratic Republic of the Congo, 45.40 km from Lubumbashi'."/>
    <s v="Rn1, Democratic Republic of the Congo, Haut-Katanga, 45.40 km from Lubumbashi"/>
    <n v="7"/>
  </r>
  <r>
    <n v="103"/>
    <x v="26"/>
    <d v="2026-02-11T13:50:28"/>
    <x v="10"/>
    <s v="BAHATI ATHUMANI MDOE"/>
    <s v="T153EBX: Harsh braking has been activated. At 11.02.2026 13:50:28 it moved with speed 60 km/h near 'Rn1, Haut-Katanga, Democratic Republic of the Congo, 23.23 km from Tumbwe'."/>
    <s v="Rn1, Democratic Republic of the Congo, Haut-Katanga, 23.23 km from Tumbwe"/>
    <n v="4"/>
  </r>
  <r>
    <n v="104"/>
    <x v="75"/>
    <d v="2026-02-11T14:12:32"/>
    <x v="10"/>
    <s v="MOHAMEDI MOSHI NYANZA"/>
    <s v="T318EBX: Harsh braking has been activated. At 11.02.2026 14:12:32 it moved with speed 53 km/h near 'Rn1, Haut-Katanga, Democratic Republic of the Congo, 6.81 km from Lwisha'."/>
    <s v="Rn1, Democratic Republic of the Congo, Haut-Katanga, 6.81 km from Lwisha"/>
    <n v="3"/>
  </r>
  <r>
    <n v="105"/>
    <x v="76"/>
    <d v="2026-02-11T07:59:08"/>
    <x v="10"/>
    <s v="JEREMIAHY SIMONE MWALUKO"/>
    <s v="T378ECN: Harsh braking has been activated. At 11.02.2026 07:59:08 it moved with speed 58 km/h near 'Rn39, Lualaba, Democratic Republic of the Congo, Kamipungu'."/>
    <s v="Rn39, Democratic Republic of the Congo, Lualaba, Kamipungu"/>
    <n v="3"/>
  </r>
  <r>
    <n v="106"/>
    <x v="40"/>
    <d v="2026-02-11T12:12:25"/>
    <x v="10"/>
    <s v="JUMANNE ALLY NJECHELE"/>
    <s v="T402ECN: Harsh braking has been activated. At 11.02.2026 12:12:25 it moved with speed 51 km/h near 'Great North Road, Central Province, Zambia, 9.71 km from Chifwefwe B'."/>
    <s v="Great North Road, Zambia, Central Province, 9.71 km from Chifwefwe B"/>
    <n v="3"/>
  </r>
  <r>
    <n v="107"/>
    <x v="77"/>
    <d v="2026-02-11T07:45:02"/>
    <x v="10"/>
    <s v="LAMECK CHARLES ROMAN"/>
    <s v="T492DYR: Harsh braking has been activated. At 11.02.2026 07:45:02 it moved with speed 69 km/h near 'Iringa Road, Morogoro, Kilosa, Tanzania, 4.61 km from Igagala'."/>
    <s v="Iringa Road, Tanzania, Morogoro, Kilosa, 4.61 km from Igagala"/>
    <n v="5"/>
  </r>
  <r>
    <n v="108"/>
    <x v="78"/>
    <d v="2026-02-11T11:36:41"/>
    <x v="10"/>
    <s v="GASPER ELICHILIA KINYAHA"/>
    <s v="T528EBY: Harsh braking has been activated. At 11.02.2026 11:36:41 it moved with speed 60 km/h near 'Rn1, Haut-Katanga, Democratic Republic of the Congo, 7.90 km from Lwafu'."/>
    <s v="Rn1, Democratic Republic of the Congo, Haut-Katanga, 7.90 km from Lwafu"/>
    <n v="3"/>
  </r>
  <r>
    <n v="109"/>
    <x v="21"/>
    <d v="2026-02-11T09:04:22"/>
    <x v="10"/>
    <s v="ISMAIL KISANDU RUBASHA"/>
    <s v="T572DYR: Harsh braking has been activated. At 11.02.2026 09:04:22 it moved with speed 59 km/h near 'T1, Pwani, Bagamoyo, Tanzania, 7.06 km from Vigwaza'."/>
    <s v="T1, Tanzania, Pwani, Bagamoyo, 7.06 km from Vigwaza"/>
    <n v="4"/>
  </r>
  <r>
    <n v="110"/>
    <x v="72"/>
    <d v="2026-02-11T09:12:45"/>
    <x v="10"/>
    <s v="MANDELA WILSON MANYILIZU"/>
    <s v="T591DTQ: Harsh braking has been activated. At 11.02.2026 09:12:45 it moved with speed 52 km/h near 'Iringa Road, Lundamatwe, Iringa, Tanzania'."/>
    <s v="Lundamatwe, Iringa Road, Tanzania, Iringa"/>
    <n v="3"/>
  </r>
  <r>
    <n v="111"/>
    <x v="29"/>
    <d v="2026-02-11T10:41:39"/>
    <x v="10"/>
    <s v="EZEKIEL AIZACK KIHANZA"/>
    <s v="T734EBX: Harsh braking has been activated. At 11.02.2026 10:41:39 it moved with speed 51 km/h near 'Great North Road, Central Province, Zambia, 4.14 km from Manjolo'."/>
    <s v="Great North Road, Zambia, Central Province, 4.14 km from Manjolo"/>
    <n v="7"/>
  </r>
  <r>
    <n v="112"/>
    <x v="30"/>
    <d v="2026-02-11T10:49:44"/>
    <x v="10"/>
    <s v="GERALD RAPHAEL SALAMALA"/>
    <s v="T741EBX: Harsh braking has been activated. At 11.02.2026 10:49:44 it moved with speed 59 km/h near 'T3, Copperbelt Province, Zambia, 16.28 km from Pukota'."/>
    <s v="T3, Zambia, Copperbelt Province, 16.28 km from Pukota"/>
    <n v="6"/>
  </r>
  <r>
    <n v="113"/>
    <x v="79"/>
    <d v="2026-02-11T09:29:18"/>
    <x v="10"/>
    <s v="SUNDAY EDWIN SOKA"/>
    <s v="T755EBX: Harsh braking has been activated. At 11.02.2026 09:29:18 it moved with speed 61 km/h near 'Rn1, Haut-Katanga, Democratic Republic of the Congo, Mulungwishi'."/>
    <s v="Rn1, Democratic Republic of the Congo, Haut-Katanga, Mulungwishi"/>
    <n v="5"/>
  </r>
  <r>
    <n v="114"/>
    <x v="49"/>
    <d v="2026-02-11T09:03:16"/>
    <x v="10"/>
    <s v="ABUBAKAR JUMA YUSUPH"/>
    <s v="T772DYR: Harsh braking has been activated. At 11.02.2026 09:03:16 it moved with speed 52 km/h near 'Iringa Road, Morogoro, Kilosa, Tanzania, 13.90 km from Igagala'."/>
    <s v="Iringa Road, Tanzania, Morogoro, Kilosa, 13.90 km from Igagala"/>
    <n v="4"/>
  </r>
  <r>
    <n v="115"/>
    <x v="80"/>
    <d v="2026-02-11T09:36:47"/>
    <x v="10"/>
    <s v="JAPHARY NASSORO JAPHARY"/>
    <s v="T803EBW: Harsh braking has been activated. At 11.02.2026 09:36:47 it moved with speed 57 km/h near 'Great North Road, Central Province, Zambia, 1.87 km from Mkushi River'."/>
    <s v="Great North Road, Zambia, Central Province, 1.87 km from Mkushi River"/>
    <n v="3"/>
  </r>
  <r>
    <n v="116"/>
    <x v="73"/>
    <d v="2026-02-11T08:10:43"/>
    <x v="10"/>
    <s v="YUSUPH ZIAGA SANGA"/>
    <s v="T817EBW: Harsh braking has been activated. At 11.02.2026 08:10:43 it moved with speed 62 km/h near 'Rn1, Haut-Katanga, Democratic Republic of the Congo, Mbalaka'."/>
    <s v="Rn1, Democratic Republic of the Congo, Haut-Katanga, Mbalaka"/>
    <n v="21"/>
  </r>
  <r>
    <n v="117"/>
    <x v="81"/>
    <d v="2026-02-11T08:15:50"/>
    <x v="10"/>
    <s v="ATANASI PETRO MAGOHE"/>
    <s v="T871EBY: Harsh braking has been activated. At 11.02.2026 08:15:50 it moved with speed 59 km/h near 'Rn39, Lualaba, Democratic Republic of the Congo, 1.38 km from Fungurume'."/>
    <s v="Rn39, Democratic Republic of the Congo, Lualaba, 1.38 km from Fungurume"/>
    <n v="3"/>
  </r>
  <r>
    <n v="118"/>
    <x v="25"/>
    <d v="2026-02-11T13:45:00"/>
    <x v="10"/>
    <s v="SALIMU SAIDI KIANDIKO"/>
    <s v="T914EBW: Harsh braking has been activated. At 11.02.2026 13:45:00 it moved with speed 55 km/h near 'Rn1, Haut-Katanga, Democratic Republic of the Congo, 16.03 km from Lwisha'."/>
    <s v="Rn1, Democratic Republic of the Congo, Haut-Katanga, 16.03 km from Lwisha"/>
    <n v="3"/>
  </r>
  <r>
    <n v="119"/>
    <x v="82"/>
    <d v="2026-02-12T09:12:14"/>
    <x v="11"/>
    <s v="DAVID CHRISTOPHER KESSY"/>
    <s v="T261EBX: Harsh braking has been activated. At 12.02.2026 09:12:14 it moved with speed 53 km/h near 'Great North Road, Central Province, Zambia, 8.21 km from Serenje'."/>
    <s v="Great North Road, Zambia, Central Province, 8.21 km from Serenje"/>
    <n v="5"/>
  </r>
  <r>
    <n v="120"/>
    <x v="83"/>
    <d v="2026-02-12T07:51:43"/>
    <x v="11"/>
    <s v="RAMADHANI NASSORO KILUA"/>
    <s v="T318EBY: Harsh braking has been activated. At 12.02.2026 07:51:43 it moved with speed 58 km/h near 'Great North Road, Central Province, Zambia, 7.93 km from Godfrey Kunda'."/>
    <s v="Great North Road, Zambia, Central Province, 7.93 km from Godfrey Kunda"/>
    <n v="3"/>
  </r>
  <r>
    <n v="121"/>
    <x v="40"/>
    <d v="2026-02-12T07:08:05"/>
    <x v="11"/>
    <s v="JUMANNE ALLY NJECHELE"/>
    <s v="T402ECN: Harsh braking has been activated. At 12.02.2026 07:08:05 it moved with speed 56 km/h near 'Great North Road, Muchinga Province, Zambia, 2.11 km from Godfrey Kunda'."/>
    <s v="Great North Road, Zambia, Muchinga Province, 2.11 km from Godfrey Kunda"/>
    <n v="9"/>
  </r>
  <r>
    <n v="122"/>
    <x v="5"/>
    <d v="2026-02-12T06:34:17"/>
    <x v="11"/>
    <s v="RAJABU MOHAMED MATUA"/>
    <s v="T407DHE: Harsh braking has been activated. At 12.02.2026 06:34:17 it moved with speed 54 km/h near 'Iringa Road, Morogoro, Tanzania, 1.26 km from Melela Mlandizi'."/>
    <s v="Iringa Road, Tanzania, Morogoro, 1.26 km from Melela Mlandizi"/>
    <n v="6"/>
  </r>
  <r>
    <n v="123"/>
    <x v="84"/>
    <d v="2026-02-12T08:38:46"/>
    <x v="11"/>
    <s v="MFAUME SALUM LWAUPA"/>
    <s v="T526EBY: Harsh braking has been activated. At 12.02.2026 08:38:46 it moved with speed 52 km/h near 'Great North Road, Muchinga Province, Zambia, 3.91 km from Kaloswe'."/>
    <s v="Great North Road, Zambia, Muchinga Province, 3.91 km from Kaloswe"/>
    <n v="3"/>
  </r>
  <r>
    <n v="124"/>
    <x v="85"/>
    <d v="2026-02-12T08:45:50"/>
    <x v="11"/>
    <s v="ABUBAKARY OMARY KABAKA"/>
    <s v="T677EBX: Harsh braking has been activated. At 12.02.2026 08:45:50 it moved with speed 53 km/h near 'Great North Road, Muchinga Province, Zambia, 9.41 km from Chinkumba'."/>
    <s v="Great North Road, Zambia, Muchinga Province, 9.41 km from Chinkumba"/>
    <n v="4"/>
  </r>
  <r>
    <n v="125"/>
    <x v="86"/>
    <d v="2026-02-12T07:36:34"/>
    <x v="11"/>
    <s v="EZEKIEL MASANJA LUGANDU"/>
    <s v="T725EBX: Harsh braking has been activated. At 12.02.2026 07:36:34 it moved with speed 58 km/h near 'Great North Road, Muchinga Province, Zambia, 7.88 km from Chinunda'."/>
    <s v="Great North Road, Zambia, Muchinga Province, 7.88 km from Chinunda"/>
    <n v="3"/>
  </r>
  <r>
    <n v="126"/>
    <x v="30"/>
    <d v="2026-02-12T08:38:37"/>
    <x v="11"/>
    <s v="GERALD RAPHAEL SALAMALA"/>
    <s v="T741EBX: Harsh braking has been activated. At 12.02.2026 08:38:37 it moved with speed 53 km/h near 'Great North Road, Muchinga Province, Zambia, 3.89 km from Kaloswe'."/>
    <s v="Great North Road, Zambia, Muchinga Province, 3.89 km from Kaloswe"/>
    <n v="4"/>
  </r>
  <r>
    <n v="127"/>
    <x v="87"/>
    <d v="2026-02-12T09:08:25"/>
    <x v="11"/>
    <s v="JABU RASHIDI ISSA"/>
    <s v="T754DEB: Harsh braking has been activated. At 12.02.2026 09:08:25 it moved with speed 56 km/h near 'M4, Copperbelt Province, Zambia, 4.97 km from Mufulira'."/>
    <s v="M4, Zambia, Copperbelt Province, 4.97 km from Mufulira"/>
    <n v="5"/>
  </r>
  <r>
    <n v="128"/>
    <x v="79"/>
    <d v="2026-02-12T12:34:16"/>
    <x v="11"/>
    <s v="SUNDAY EDWIN SOKA"/>
    <s v="T755EBX: Harsh braking has been activated. At 12.02.2026 12:34:16 it moved with speed 70 km/h near 'Rn1, Haut-Katanga, Democratic Republic of the Congo, 11.54 km from Chamba'."/>
    <s v="Rn1, Democratic Republic of the Congo, Haut-Katanga, 11.54 km from Chamba"/>
    <n v="9"/>
  </r>
  <r>
    <n v="129"/>
    <x v="73"/>
    <d v="2026-02-12T16:30:18"/>
    <x v="11"/>
    <s v="YUSUPH ZIAGA SANGA"/>
    <s v="T817EBW: Harsh braking has been activated. At 12.02.2026 16:30:18 it moved with speed 58 km/h near 'Rn1, Haut-Katanga, Democratic Republic of the Congo, 6.78 km from Kasumbalesa'."/>
    <s v="Rn1, Democratic Republic of the Congo, Haut-Katanga, 6.78 km from Kasumbalesa"/>
    <n v="12"/>
  </r>
  <r>
    <n v="130"/>
    <x v="88"/>
    <d v="2026-02-12T11:28:12"/>
    <x v="11"/>
    <s v="STEPHANO ABINELI ULOMI"/>
    <s v="T873EBY: Harsh braking has been activated. At 12.02.2026 11:28:12 it moved with speed 56 km/h near 'T3, Copperbelt Province, Zambia, 14.25 km from Pukota'."/>
    <s v="T3, Zambia, Copperbelt Province, 14.25 km from Pukota"/>
    <n v="3"/>
  </r>
  <r>
    <n v="131"/>
    <x v="89"/>
    <d v="2026-02-12T14:08:10"/>
    <x v="11"/>
    <s v="RAMADHAN RAHIBU SULEIMAN"/>
    <s v="T904EBW: Harsh braking has been activated. At 12.02.2026 14:08:10 it moved with speed 54 km/h near 'Route De Kanianina, Haut-Katanga, Democratic Republic of the Congo, 2.45 km from Kakila'."/>
    <s v="Route De Kanianina, Democratic Republic of the Congo, Haut-Katanga, 2.45 km from Kakila"/>
    <n v="3"/>
  </r>
  <r>
    <n v="132"/>
    <x v="90"/>
    <d v="2026-02-13T14:18:47"/>
    <x v="12"/>
    <s v="NASSIBU MSENGESI MLASA"/>
    <s v="T102EBX: Harsh braking has been activated. At 13.02.2026 14:18:47 it moved with speed 51 km/h near 'Great North Road, Central Province, Zambia, 6.64 km from Godfrey Kunda'."/>
    <s v="Great North Road, Zambia, Central Province, 6.64 km from Godfrey Kunda"/>
    <n v="3"/>
  </r>
  <r>
    <n v="133"/>
    <x v="91"/>
    <d v="2026-02-13T09:53:46"/>
    <x v="12"/>
    <s v="ABDUL SWEDI URASA"/>
    <s v="T147EBX: Harsh braking has been activated. At 13.02.2026 09:53:46 it moved with speed 52 km/h near 'Great North Road, Muchinga Province, Zambia, 2.41 km from Mpumba'."/>
    <s v="Great North Road, Zambia, Muchinga Province, 2.41 km from Mpumba"/>
    <n v="3"/>
  </r>
  <r>
    <n v="134"/>
    <x v="92"/>
    <d v="2026-02-13T10:41:11"/>
    <x v="12"/>
    <s v="RICHARD ALOYCE MAKYAO"/>
    <s v="T178EBX: Harsh braking has been activated. At 13.02.2026 10:41:11 it moved with speed 56 km/h near 'Great North Road, Muchinga Province, Zambia, 3.92 km from Kaloswe'."/>
    <s v="Great North Road, Zambia, Muchinga Province, 3.92 km from Kaloswe"/>
    <n v="3"/>
  </r>
  <r>
    <n v="135"/>
    <x v="20"/>
    <d v="2026-02-13T09:10:34"/>
    <x v="12"/>
    <s v="ELIAH YUSUPH MPANGO"/>
    <s v="T232EBX: Harsh braking has been activated. At 13.02.2026 09:10:34 it moved with speed 60 km/h near 'Great North Road, Muchinga Province, Zambia, 19.54 km from Katibunga'."/>
    <s v="Great North Road, Zambia, Muchinga Province, 19.54 km from Katibunga"/>
    <n v="7"/>
  </r>
  <r>
    <n v="136"/>
    <x v="51"/>
    <d v="2026-02-13T13:17:19"/>
    <x v="12"/>
    <s v="MOHAMEDI IDDI KULWA"/>
    <s v="T269EBX: Harsh braking has been activated. At 13.02.2026 13:17:19 it moved with speed 56 km/h near 'Iringa Road, Lundamatwe, Iringa, Tanzania'."/>
    <s v="Lundamatwe, Iringa Road, Tanzania, Iringa"/>
    <n v="5"/>
  </r>
  <r>
    <n v="137"/>
    <x v="93"/>
    <d v="2026-02-13T16:16:45"/>
    <x v="12"/>
    <s v="SALUM ALLY MAYANGA"/>
    <s v="T308EBX: Harsh braking has been activated. At 13.02.2026 16:16:45 it moved with speed 56 km/h near 'Great North Road, Central Province, Zambia, 6.58 km from Kanona'."/>
    <s v="Great North Road, Zambia, Central Province, 6.58 km from Kanona"/>
    <n v="7"/>
  </r>
  <r>
    <n v="138"/>
    <x v="94"/>
    <d v="2026-02-13T09:28:41"/>
    <x v="12"/>
    <s v="DAUD JOSEPH GINATIO"/>
    <s v="T386ECN: Harsh braking has been activated. At 13.02.2026 09:28:41 it moved with speed 66 km/h near 'Great North Road, Central Province, Zambia, 9.97 km from Mkushi'."/>
    <s v="Great North Road, Zambia, Central Province, 9.97 km from Mkushi"/>
    <n v="3"/>
  </r>
  <r>
    <n v="139"/>
    <x v="95"/>
    <d v="2026-02-13T08:11:41"/>
    <x v="12"/>
    <s v="OMARY IDDY MACHUPPA"/>
    <s v="T390ECN: Harsh braking has been activated. At 13.02.2026 08:11:41 it moved with speed 60 km/h near 'Great North Road, Muchinga Province, Zambia, 1.14 km from Mkasi'."/>
    <s v="Great North Road, Zambia, Muchinga Province, 1.14 km from Mkasi"/>
    <n v="3"/>
  </r>
  <r>
    <n v="140"/>
    <x v="96"/>
    <d v="2026-02-13T12:34:24"/>
    <x v="12"/>
    <s v="PASTOR GASPER MCHAU"/>
    <s v="T590DTQ: Harsh braking has been activated. At 13.02.2026 12:34:24 it moved with speed 56 km/h near 'Great North Road, Muchinga Province, Zambia, 12.71 km from Mwezo'."/>
    <s v="Great North Road, Zambia, Muchinga Province, 12.71 km from Mwezo"/>
    <n v="4"/>
  </r>
  <r>
    <n v="141"/>
    <x v="97"/>
    <d v="2026-02-13T10:47:43"/>
    <x v="12"/>
    <s v="HARFANI MANENO MGAWE"/>
    <s v="T680EBX: Harsh braking has been activated. At 13.02.2026 10:47:43 it moved with speed 55 km/h near 'Great North Road, Central Province, Zambia, 3.73 km from Ndabala'."/>
    <s v="Great North Road, Zambia, Central Province, 3.73 km from Ndabala"/>
    <n v="4"/>
  </r>
  <r>
    <n v="142"/>
    <x v="98"/>
    <d v="2026-02-13T07:59:42"/>
    <x v="12"/>
    <s v="MUMBA YASSINI KHAMISI"/>
    <s v="T710EBX: Harsh braking has been activated. At 13.02.2026 07:59:42 it moved with speed 51 km/h near 'Great North Road, Central Province, Zambia, 14.57 km from Kanona'."/>
    <s v="Great North Road, Zambia, Central Province, 14.57 km from Kanona"/>
    <n v="3"/>
  </r>
  <r>
    <n v="143"/>
    <x v="87"/>
    <d v="2026-02-13T11:45:13"/>
    <x v="12"/>
    <s v="JABU RASHIDI ISSA"/>
    <s v="T754DEB: Harsh braking has been activated. At 13.02.2026 11:45:13 it moved with speed 51 km/h near 'Great North Road, Central Province, Zambia, 5.87 km from Serenje'."/>
    <s v="Great North Road, Zambia, Central Province, 5.87 km from Serenje"/>
    <n v="4"/>
  </r>
  <r>
    <n v="144"/>
    <x v="99"/>
    <d v="2026-02-13T10:54:01"/>
    <x v="12"/>
    <n v="0"/>
    <s v="T770DYR: Harsh braking has been activated. At 13.02.2026 10:54:01 it moved with speed 52 km/h near 'Great North Road, Central Province, Zambia, 10.64 km from Muchinka'."/>
    <s v="Great North Road, Zambia, Central Province, 10.64 km from Muchinka"/>
    <n v="3"/>
  </r>
  <r>
    <n v="145"/>
    <x v="100"/>
    <d v="2026-02-13T16:30:27"/>
    <x v="12"/>
    <s v="REVOCATUS LAUREAN ANATORY"/>
    <s v="T839EBY: Harsh braking has been activated. At 13.02.2026 16:30:27 it moved with speed 55 km/h near 'Great North Road, Muchinga Province, Zambia, 4.34 km from Musata'."/>
    <s v="Great North Road, Zambia, Muchinga Province, 4.34 km from Musata"/>
    <n v="5"/>
  </r>
  <r>
    <n v="146"/>
    <x v="101"/>
    <d v="2026-02-13T08:21:08"/>
    <x v="12"/>
    <s v="HAMISI SELEMAN ZITTO"/>
    <s v="T849EBY: Harsh braking has been activated. At 13.02.2026 08:21:08 it moved with speed 58 km/h near 'Great North Road, Muchinga Province, Zambia, Mkasi'."/>
    <s v="Great North Road, Zambia, Muchinga Province, Mkasi"/>
    <n v="3"/>
  </r>
  <r>
    <n v="147"/>
    <x v="102"/>
    <d v="2026-02-13T11:57:37"/>
    <x v="12"/>
    <s v="SULEIMAN RAMADHANI KILIMWENGU"/>
    <s v="T858EBY: Harsh braking has been activated. At 13.02.2026 11:57:37 it moved with speed 52 km/h near 'Great North Road, Muchinga Province, Zambia, 5.07 km from Kalonje'."/>
    <s v="Great North Road, Zambia, Muchinga Province, 5.07 km from Kalonje"/>
    <n v="4"/>
  </r>
  <r>
    <n v="148"/>
    <x v="88"/>
    <d v="2026-02-13T07:28:19"/>
    <x v="12"/>
    <s v="STEPHANO ABINELI ULOMI"/>
    <s v="T873EBY: Harsh braking has been activated. At 13.02.2026 07:28:19 it moved with speed 53 km/h near 'Great North Road, Central Province, Zambia, 19.80 km from Serenje'."/>
    <s v="Great North Road, Zambia, Central Province, 19.80 km from Serenje"/>
    <n v="3"/>
  </r>
  <r>
    <n v="149"/>
    <x v="103"/>
    <d v="2026-02-13T09:30:44"/>
    <x v="12"/>
    <s v="ISSA MOHAMED KIMWAGA"/>
    <s v="T891EBW: Harsh braking has been activated. At 13.02.2026 09:30:44 it moved with speed 56 km/h near 'Great North Road, Muchinga Province, Zambia, 6.83 km from Mkasi'."/>
    <s v="Great North Road, Zambia, Muchinga Province, 6.83 km from Mkasi"/>
    <n v="8"/>
  </r>
  <r>
    <n v="150"/>
    <x v="89"/>
    <d v="2026-02-13T17:01:43"/>
    <x v="12"/>
    <s v="RAMADHAN RAHIBU SULEIMAN"/>
    <s v="T904EBW: Harsh braking has been activated. At 13.02.2026 17:01:43 it moved with speed 58 km/h near 'Rn1, Haut-Katanga, Democratic Republic of the Congo, 4.73 km from Tshinsenda'."/>
    <s v="Rn1, Democratic Republic of the Congo, Haut-Katanga, 4.73 km from Tshinsenda"/>
    <n v="5"/>
  </r>
  <r>
    <n v="151"/>
    <x v="104"/>
    <d v="2026-02-13T15:03:23"/>
    <x v="12"/>
    <s v="HASSANI MABROUCK TUNZA"/>
    <s v="T932EBW: Harsh braking has been activated. At 13.02.2026 15:03:23 it moved with speed 56 km/h near 'Rn1, Haut-Katanga, Democratic Republic of the Congo, 1.96 km from Sumbilili'."/>
    <s v="Rn1, Democratic Republic of the Congo, Haut-Katanga, 1.96 km from Sumbilili"/>
    <n v="3"/>
  </r>
  <r>
    <n v="152"/>
    <x v="105"/>
    <d v="2026-02-14T06:53:19"/>
    <x v="13"/>
    <s v="JUMANNE ALLY MUHINA"/>
    <s v="T259EBY: Harsh braking has been activated. At 14.02.2026 06:53:19 it moved with speed 57 km/h near 'Great North Road, Muchinga Province, Zambia, 5.06 km from Mkasi'."/>
    <s v="Great North Road, Zambia, Muchinga Province, 5.06 km from Mkasi"/>
    <n v="7"/>
  </r>
  <r>
    <n v="153"/>
    <x v="95"/>
    <d v="2026-02-14T08:03:54"/>
    <x v="13"/>
    <s v="OMARY IDDY MACHUPPA"/>
    <s v="T390ECN: Harsh braking has been activated. At 14.02.2026 08:03:54 it moved with speed 55 km/h near 'Great North Road, Muchinga Province, Zambia, 1.42 km from Musata'."/>
    <s v="Great North Road, Zambia, Muchinga Province, 1.42 km from Musata"/>
    <n v="6"/>
  </r>
  <r>
    <n v="154"/>
    <x v="8"/>
    <d v="2026-02-14T11:31:51"/>
    <x v="13"/>
    <s v="GABRIEL SHIJA MAHONA"/>
    <s v="T494DYR: Harsh braking has been activated. At 14.02.2026 11:31:51 it moved with speed 58 km/h near 'Great North Road, Muchinga Province, Zambia, 17.50 km from Mukukwe'."/>
    <s v="Great North Road, Zambia, Muchinga Province, 17.50 km from Mukukwe"/>
    <n v="10"/>
  </r>
  <r>
    <n v="155"/>
    <x v="106"/>
    <d v="2026-02-14T07:49:48"/>
    <x v="13"/>
    <s v="ERASTO CHARLES MTWEVE"/>
    <s v="T512EBY: Harsh braking has been activated. At 14.02.2026 07:49:48 it moved with speed 56 km/h near 'Rue De La Kamoa Mine, Lualaba, Democratic Republic of the Congo, 6.66 km from Kapata'."/>
    <s v="Rue De La Kamoa Mine, Democratic Republic of the Congo, Lualaba, 6.66 km from Kapata"/>
    <n v="3"/>
  </r>
  <r>
    <n v="156"/>
    <x v="107"/>
    <d v="2026-02-14T15:45:49"/>
    <x v="13"/>
    <s v="STAN ENISON LULANDALA"/>
    <s v="T561DYR: Harsh braking has been activated. At 14.02.2026 15:45:49 it moved with speed 63 km/h near 'Rn1, Haut-Katanga, Democratic Republic of the Congo, 5.40 km from Lwisha'."/>
    <s v="Rn1, Democratic Republic of the Congo, Haut-Katanga, 5.40 km from Lwisha"/>
    <n v="5"/>
  </r>
  <r>
    <n v="157"/>
    <x v="108"/>
    <d v="2026-02-14T08:10:21"/>
    <x v="13"/>
    <s v="RAMADHANI SALIMU SHEDAFA"/>
    <s v="T588DTQ: Harsh braking has been activated. At 14.02.2026 08:10:21 it moved with speed 53 km/h near 'Rue De La Kamoa Mine, Lualaba, Democratic Republic of the Congo, 1.53 km from Tshizunza'."/>
    <s v="Rue De La Kamoa Mine, Democratic Republic of the Congo, Lualaba, 1.53 km from Tshizunza"/>
    <n v="3"/>
  </r>
  <r>
    <n v="158"/>
    <x v="96"/>
    <d v="2026-02-14T11:38:37"/>
    <x v="13"/>
    <s v="PASTOR GASPER MCHAU"/>
    <s v="T590DTQ: Harsh braking has been activated. At 14.02.2026 11:38:37 it moved with speed 57 km/h near 'Great North Road, Muchinga Province, Zambia, 1.33 km from Kaloswe'."/>
    <s v="Great North Road, Zambia, Muchinga Province, 1.33 km from Kaloswe"/>
    <n v="7"/>
  </r>
  <r>
    <n v="159"/>
    <x v="109"/>
    <d v="2026-02-14T08:15:41"/>
    <x v="13"/>
    <s v="CHRISTIAN NKWELA MAPUNDA"/>
    <s v="T728EBX: Harsh braking has been activated. At 14.02.2026 08:15:41 it moved with speed 55 km/h near 'Great North Road, Muchinga Province, Zambia, Chinkumba'."/>
    <s v="Great North Road, Zambia, Muchinga Province, Chinkumba"/>
    <n v="4"/>
  </r>
  <r>
    <n v="160"/>
    <x v="79"/>
    <d v="2026-02-14T09:26:21"/>
    <x v="13"/>
    <s v="SUNDAY EDWIN SOKA"/>
    <s v="T755EBX: Harsh braking has been activated. At 14.02.2026 09:26:21 it moved with speed 67 km/h near 'M16, Copperbelt Province, Zambia, 9.56 km from Kalulushi'."/>
    <s v="M16, Zambia, Copperbelt Province, 9.56 km from Kalulushi"/>
    <n v="4"/>
  </r>
  <r>
    <n v="161"/>
    <x v="73"/>
    <d v="2026-02-14T09:21:57"/>
    <x v="13"/>
    <s v="YUSUPH ZIAGA SANGA"/>
    <s v="T817EBW: Harsh braking has been activated. At 14.02.2026 09:21:57 it moved with speed 64 km/h near 'M4, Copperbelt Province, Zambia, 4.78 km from Mufulira'."/>
    <s v="M4, Zambia, Copperbelt Province, 4.78 km from Mufulira"/>
    <n v="22"/>
  </r>
  <r>
    <n v="162"/>
    <x v="22"/>
    <d v="2026-02-14T09:30:23"/>
    <x v="13"/>
    <s v="OMARY SAID MTAJI"/>
    <s v="T861EBY: Harsh braking has been activated. At 14.02.2026 09:30:23 it moved with speed 55 km/h near 'Route Manshinga, Lubumbashi, Haut-Katanga, Democratic Republic of the Congo'."/>
    <s v="Lubumbashi, Route Manshinga, Democratic Republic of the Congo, Haut-Katanga"/>
    <n v="3"/>
  </r>
  <r>
    <n v="163"/>
    <x v="103"/>
    <d v="2026-02-14T10:35:02"/>
    <x v="13"/>
    <s v="ISSA MOHAMED KIMWAGA"/>
    <s v="T891EBW: Harsh braking has been activated. At 14.02.2026 10:35:02 it moved with speed 58 km/h near 'Great North Road, Central Province, Zambia, 9.10 km from Kanona'."/>
    <s v="Great North Road, Zambia, Central Province, 9.10 km from Kanona"/>
    <n v="10"/>
  </r>
  <r>
    <n v="164"/>
    <x v="69"/>
    <d v="2026-02-14T07:14:19"/>
    <x v="13"/>
    <s v="OMARI ATHUMANI SELEMANI"/>
    <s v="T930EBW: Harsh braking has been activated. At 14.02.2026 07:14:19 it moved with speed 54 km/h near 'Iringa Road, Morogoro, Kilosa, Tanzania, 9.44 km from Igagala'."/>
    <s v="Iringa Road, Tanzania, Morogoro, Kilosa, 9.44 km from Igagala"/>
    <n v="5"/>
  </r>
  <r>
    <n v="165"/>
    <x v="110"/>
    <d v="2026-02-14T07:31:43"/>
    <x v="13"/>
    <s v="JOSEPHAT ALOYCE KAHEMELE"/>
    <s v="T946EBW: Harsh braking has been activated. At 14.02.2026 07:31:43 it moved with speed 57 km/h near 'T1, Morogoro, Tanzania, 3.28 km from Fulwe'."/>
    <s v="T1, Tanzania, Morogoro, 3.28 km from Fulwe"/>
    <n v="4"/>
  </r>
  <r>
    <n v="166"/>
    <x v="105"/>
    <d v="2026-02-15T09:10:04"/>
    <x v="14"/>
    <s v="JUMANNE ALLY MUHINA"/>
    <s v="T259EBY: Harsh braking has been activated. At 15.02.2026 09:10:04 it moved with speed 56 km/h near 'Great North Road, Central Province, Zambia, 4.86 km from Chifwefwe B'."/>
    <s v="Great North Road, Zambia, Central Province, 4.86 km from Chifwefwe B"/>
    <n v="3"/>
  </r>
  <r>
    <n v="167"/>
    <x v="111"/>
    <d v="2026-02-15T09:54:47"/>
    <x v="14"/>
    <s v="WILLIAM RICHARD MACK"/>
    <s v="T286EBY: Harsh braking has been activated. At 15.02.2026 09:54:47 it moved with speed 60 km/h near 'Great North Road, Central Province, Zambia, 4.44 km from Mkushi'."/>
    <s v="Great North Road, Zambia, Central Province, 4.44 km from Mkushi"/>
    <n v="4"/>
  </r>
  <r>
    <n v="168"/>
    <x v="112"/>
    <d v="2026-02-15T11:52:31"/>
    <x v="14"/>
    <s v="MARTIN KYEJO MARTIN"/>
    <s v="T396ECN: Harsh braking has been activated. At 15.02.2026 11:52:31 it moved with speed 52 km/h near 'T35, Pwani, Bagamoyo, Tanzania, 1.15 km from Kifudwe'."/>
    <s v="T35, Tanzania, Pwani, Bagamoyo, 1.15 km from Kifudwe"/>
    <n v="3"/>
  </r>
  <r>
    <n v="169"/>
    <x v="8"/>
    <d v="2026-02-15T18:13:21"/>
    <x v="14"/>
    <s v="GABRIEL SHIJA MAHONA"/>
    <s v="T494DYR: Harsh braking has been activated. At 15.02.2026 18:13:21 it moved with speed 56 km/h near 'Great North Road, Central Province, Zambia, 14.72 km from Ndabala'."/>
    <s v="Great North Road, Zambia, Central Province, 14.72 km from Ndabala"/>
    <n v="24"/>
  </r>
  <r>
    <n v="170"/>
    <x v="107"/>
    <d v="2026-02-15T09:14:20"/>
    <x v="14"/>
    <s v="STAN ENISON LULANDALA"/>
    <s v="T561DYR: Harsh braking has been activated. At 15.02.2026 09:14:20 it moved with speed 53 km/h near 'Rn1, Haut-Katanga, Democratic Republic of the Congo, 2.28 km from Kasumbalesa'."/>
    <s v="Rn1, Democratic Republic of the Congo, Haut-Katanga, 2.28 km from Kasumbalesa"/>
    <n v="4"/>
  </r>
  <r>
    <n v="171"/>
    <x v="113"/>
    <d v="2026-02-15T15:58:34"/>
    <x v="14"/>
    <s v="HASSAN AWADHI TAMIM"/>
    <s v="T578DYR: Harsh braking has been activated. At 15.02.2026 15:58:34 it moved with speed 52 km/h near 'Rn39, Lualaba, Democratic Republic of the Congo, 4.09 km from Kazembe'."/>
    <s v="Rn39, Democratic Republic of the Congo, Lualaba, 4.09 km from Kazembe"/>
    <n v="5"/>
  </r>
  <r>
    <n v="172"/>
    <x v="67"/>
    <d v="2026-02-15T18:05:38"/>
    <x v="14"/>
    <s v="MISTWAHI AMRI SAID"/>
    <s v="T589DYR: Harsh braking has been activated. At 15.02.2026 18:05:38 it moved with speed 67 km/h near 'Rn1, Haut-Katanga, Democratic Republic of the Congo, 1.13 km from Mulungwishi'."/>
    <s v="Rn1, Democratic Republic of the Congo, Haut-Katanga, 1.13 km from Mulungwishi"/>
    <n v="3"/>
  </r>
  <r>
    <n v="173"/>
    <x v="109"/>
    <d v="2026-02-15T08:49:04"/>
    <x v="14"/>
    <s v="CHRISTIAN NKWELA MAPUNDA"/>
    <s v="T728EBX: Harsh braking has been activated. At 15.02.2026 08:49:04 it moved with speed 65 km/h near 'Great North Road, Central Province, Zambia, 11.04 km from Muchinka'."/>
    <s v="Great North Road, Zambia, Central Province, 11.04 km from Muchinka"/>
    <n v="3"/>
  </r>
  <r>
    <n v="174"/>
    <x v="79"/>
    <d v="2026-02-15T08:30:30"/>
    <x v="14"/>
    <s v="SUNDAY EDWIN SOKA"/>
    <s v="T755EBX: Harsh braking has been activated. At 15.02.2026 08:30:30 it moved with speed 61 km/h near 'Great North Road, Central Province, Zambia, 9.94 km from Kapiri Mposhi'."/>
    <s v="Great North Road, Zambia, Central Province, 9.94 km from Kapiri Mposhi"/>
    <n v="9"/>
  </r>
  <r>
    <n v="175"/>
    <x v="80"/>
    <d v="2026-02-15T07:39:10"/>
    <x v="14"/>
    <s v="JAPHARY NASSORO JAPHARY"/>
    <s v="T803EBW: Harsh braking has been activated. At 15.02.2026 07:39:10 it moved with speed 53 km/h near 'Iringa Road, Morogoro, Kilosa, Tanzania, 3.90 km from Msimba'."/>
    <s v="Iringa Road, Tanzania, Morogoro, Kilosa, 3.90 km from Msimba"/>
    <n v="3"/>
  </r>
  <r>
    <n v="176"/>
    <x v="73"/>
    <d v="2026-02-15T09:26:03"/>
    <x v="14"/>
    <s v="YUSUPH ZIAGA SANGA"/>
    <s v="T817EBW: Harsh braking has been activated. At 15.02.2026 09:26:03 it moved with speed 77 km/h near 'Great North Road, Central Province, Zambia, 11.54 km from Chitiwa'."/>
    <s v="Great North Road, Zambia, Central Province, 11.54 km from Chitiwa"/>
    <n v="21"/>
  </r>
  <r>
    <n v="177"/>
    <x v="74"/>
    <d v="2026-02-15T08:17:54"/>
    <x v="14"/>
    <s v="MADENGE SALUM SHOMARI"/>
    <s v="T892EBW: Harsh braking has been activated. At 15.02.2026 08:17:54 it moved with speed 55 km/h near 'T1, Mbeya, Tanzania, 4.25 km from Igawa'."/>
    <s v="T1, Tanzania, Mbeya, 4.25 km from Igawa"/>
    <n v="5"/>
  </r>
  <r>
    <n v="178"/>
    <x v="64"/>
    <d v="2026-02-16T09:07:52"/>
    <x v="15"/>
    <s v="JOEL SAMSON MANDAGO"/>
    <s v="T235EBX: Harsh braking has been activated. At 16.02.2026 09:07:52 it moved with speed 53 km/h near 'Rn1, Haut-Katanga, Democratic Republic of the Congo, 7.62 km from Sumbilili'."/>
    <s v="Rn1, Democratic Republic of the Congo, Haut-Katanga, 7.62 km from Sumbilili"/>
    <n v="3"/>
  </r>
  <r>
    <n v="179"/>
    <x v="111"/>
    <d v="2026-02-16T09:58:14"/>
    <x v="15"/>
    <s v="WILLIAM RICHARD MACK"/>
    <s v="T286EBY: Harsh braking has been activated. At 16.02.2026 09:58:14 it moved with speed 52 km/h near 'Great North Road, Muchinga Province, Zambia, 3.28 km from Chisoso'."/>
    <s v="Great North Road, Zambia, Muchinga Province, 3.28 km from Chisoso"/>
    <n v="4"/>
  </r>
  <r>
    <n v="180"/>
    <x v="3"/>
    <d v="2026-02-16T08:16:48"/>
    <x v="15"/>
    <s v="YUSUFU  SAMSON NICODEMUS"/>
    <s v="T331EBX: Harsh braking has been activated. At 16.02.2026 08:16:48 it moved with speed 61 km/h near 'Great North Road, Muchinga Province, Zambia, 5.97 km from Kamangu'."/>
    <s v="Great North Road, Zambia, Muchinga Province, 5.97 km from Kamangu"/>
    <n v="3"/>
  </r>
  <r>
    <n v="181"/>
    <x v="39"/>
    <d v="2026-02-16T15:52:39"/>
    <x v="15"/>
    <s v="OMARI SALIMU MOHAMEDI"/>
    <s v="T339EBX: Harsh braking has been activated. At 16.02.2026 15:52:39 it moved with speed 60 km/h near 'Great North Road, Central Province, Zambia, 6.61 km from Kanona'."/>
    <s v="Great North Road, Zambia, Central Province, 6.61 km from Kanona"/>
    <n v="6"/>
  </r>
  <r>
    <n v="182"/>
    <x v="114"/>
    <d v="2026-02-16T19:53:41"/>
    <x v="15"/>
    <s v="JITENGENI YAHYA MZEE"/>
    <s v="T340EBX: Harsh braking has been activated. At 16.02.2026 19:53:41 it moved with speed 56 km/h near 'Rn1, Haut-Katanga, Democratic Republic of the Congo, 8.77 km from Lwambo'."/>
    <s v="Rn1, Democratic Republic of the Congo, Haut-Katanga, 8.77 km from Lwambo"/>
    <n v="3"/>
  </r>
  <r>
    <n v="183"/>
    <x v="76"/>
    <d v="2026-02-16T07:44:33"/>
    <x v="15"/>
    <s v="JEREMIAHY SIMONE MWALUKO"/>
    <s v="T378ECN: Harsh braking has been activated. At 16.02.2026 07:44:33 it moved with speed 58 km/h near 'Great North Road, Muchinga Province, Zambia, 4.50 km from Chikwanda'."/>
    <s v="Great North Road, Zambia, Muchinga Province, 4.50 km from Chikwanda"/>
    <n v="5"/>
  </r>
  <r>
    <n v="184"/>
    <x v="40"/>
    <d v="2026-02-16T07:30:44"/>
    <x v="15"/>
    <s v="JUMANNE ALLY NJECHELE"/>
    <s v="T402ECN: Harsh braking has been activated. At 16.02.2026 07:30:44 it moved with speed 55 km/h near 'Iringa Road, Morogoro, Kilosa, Tanzania, 8.73 km from Igagala'."/>
    <s v="Iringa Road, Tanzania, Morogoro, Kilosa, 8.73 km from Igagala"/>
    <n v="5"/>
  </r>
  <r>
    <n v="185"/>
    <x v="7"/>
    <d v="2026-02-16T11:37:33"/>
    <x v="15"/>
    <s v="RAMADHANI SHABANI WAGAMOYO"/>
    <s v="T482DYR: Harsh braking has been activated. At 16.02.2026 11:37:33 it moved with speed 59 km/h near 'Great North Road, Muchinga Province, Zambia, 3.10 km from Mukwikile'."/>
    <s v="Great North Road, Zambia, Muchinga Province, 3.10 km from Mukwikile"/>
    <n v="3"/>
  </r>
  <r>
    <n v="186"/>
    <x v="77"/>
    <d v="2026-02-16T01:07:44"/>
    <x v="15"/>
    <s v="LAMECK CHARLES ROMAN"/>
    <s v="T492DYR: Harsh braking has been activated. At 16.02.2026 01:07:44 it moved with speed 54 km/h near 'Kilwa Road, Dar Es Salaam, Azimio, Tanzania'."/>
    <s v="Dar Es Salaam, Kilwa Road, Tanzania, Azimio"/>
    <n v="3"/>
  </r>
  <r>
    <n v="187"/>
    <x v="8"/>
    <d v="2026-02-16T11:19:59"/>
    <x v="15"/>
    <s v="GABRIEL SHIJA MAHONA"/>
    <s v="T494DYR: Harsh braking has been activated. At 16.02.2026 11:19:59 it moved with speed 57 km/h near 'T3, Copperbelt Province, Zambia, 4.20 km from Pukota'."/>
    <s v="T3, Zambia, Copperbelt Province, 4.20 km from Pukota"/>
    <n v="3"/>
  </r>
  <r>
    <n v="188"/>
    <x v="115"/>
    <d v="2026-02-16T14:56:01"/>
    <x v="15"/>
    <s v="DAVID NICHOLAUS MASAKA"/>
    <s v="T523EBY: Harsh braking has been activated. At 16.02.2026 14:56:01 it moved with speed 57 km/h near 'Great North Road, Muchinga Province, Zambia, 4.80 km from Godfrey Kunda'."/>
    <s v="Great North Road, Zambia, Muchinga Province, 4.80 km from Godfrey Kunda"/>
    <n v="4"/>
  </r>
  <r>
    <n v="189"/>
    <x v="116"/>
    <d v="2026-02-16T14:03:20"/>
    <x v="15"/>
    <s v="OMAR RASHID CHIKUNJE"/>
    <s v="T524EBY: Harsh braking has been activated. At 16.02.2026 14:03:20 it moved with speed 51 km/h near 'M3, Northern Province, Zambia, 2.21 km from Chikoti'."/>
    <s v="M3, Zambia, Northern Province, 2.21 km from Chikoti"/>
    <n v="4"/>
  </r>
  <r>
    <n v="190"/>
    <x v="107"/>
    <d v="2026-02-16T07:44:28"/>
    <x v="15"/>
    <s v="STAN ENISON LULANDALA"/>
    <s v="T561DYR: Harsh braking has been activated. At 16.02.2026 07:44:28 it moved with speed 53 km/h near 'M3, Luapula Province, Zambia, 20.83 km from Kundamtumu'."/>
    <s v="M3, Zambia, Luapula Province, 20.83 km from Kundamtumu"/>
    <n v="4"/>
  </r>
  <r>
    <n v="191"/>
    <x v="117"/>
    <d v="2026-02-16T11:55:27"/>
    <x v="15"/>
    <s v="AHMED CONSTANTINE MAGERE"/>
    <s v="T581DTQ: Harsh braking has been activated. At 16.02.2026 11:55:27 it moved with speed 54 km/h near 'Rn1, Haut-Katanga, Democratic Republic of the Congo, 1.87 km from Kapolowe'."/>
    <s v="Rn1, Democratic Republic of the Congo, Haut-Katanga, 1.87 km from Kapolowe"/>
    <n v="3"/>
  </r>
  <r>
    <n v="192"/>
    <x v="73"/>
    <d v="2026-02-16T10:12:00"/>
    <x v="15"/>
    <s v="YUSUPH ZIAGA SANGA"/>
    <s v="T817EBW: Harsh braking has been activated. At 16.02.2026 10:12:00 it moved with speed 51 km/h near 'Great North Road, Muchinga Province, Zambia, 4.81 km from Chisoso'."/>
    <s v="Great North Road, Zambia, Muchinga Province, 4.81 km from Chisoso"/>
    <n v="12"/>
  </r>
  <r>
    <n v="193"/>
    <x v="81"/>
    <d v="2026-02-16T08:49:57"/>
    <x v="15"/>
    <s v="ATANASI PETRO MAGOHE"/>
    <s v="T871EBY: Harsh braking has been activated. At 16.02.2026 08:49:57 it moved with speed 54 km/h near 'Great North Road, Central Province, Zambia, 2.33 km from Kanona'."/>
    <s v="Great North Road, Zambia, Central Province, 2.33 km from Kanona"/>
    <n v="4"/>
  </r>
  <r>
    <n v="194"/>
    <x v="45"/>
    <d v="2026-02-16T07:39:06"/>
    <x v="15"/>
    <s v="HAMISI RAMADHANI SULTAN"/>
    <s v="T878EBY: Harsh braking has been activated. At 16.02.2026 07:39:06 it moved with speed 52 km/h near 'Great North Road, Central Province, Zambia, 5.11 km from Kapiri Mposhi'."/>
    <s v="Great North Road, Zambia, Central Province, 5.11 km from Kapiri Mposhi"/>
    <n v="3"/>
  </r>
  <r>
    <n v="195"/>
    <x v="118"/>
    <d v="2026-02-16T17:01:29"/>
    <x v="15"/>
    <s v="MUSSA ABDI OMAR"/>
    <s v="T887EBW: Harsh braking has been activated. At 16.02.2026 17:01:29 it moved with speed 53 km/h near 'Great North Road, Muchinga Province, Zambia, 8.88 km from Chilonga'."/>
    <s v="Great North Road, Zambia, Muchinga Province, 8.88 km from Chilonga"/>
    <n v="3"/>
  </r>
  <r>
    <n v="196"/>
    <x v="74"/>
    <d v="2026-02-16T11:10:59"/>
    <x v="15"/>
    <s v="MADENGE SALUM SHOMARI"/>
    <s v="T892EBW: Harsh braking has been activated. At 16.02.2026 11:10:59 it moved with speed 62 km/h near 'Iringa Road, Lundamatwe, Iringa, Tanzania'."/>
    <s v="Lundamatwe, Iringa Road, Tanzania, Iringa"/>
    <n v="5"/>
  </r>
  <r>
    <n v="197"/>
    <x v="24"/>
    <d v="2026-02-16T15:47:25"/>
    <x v="15"/>
    <s v="ALLY RASHID SAID"/>
    <s v="T905EBW: Harsh braking has been activated. At 16.02.2026 15:47:25 it moved with speed 56 km/h near 'Iringa Road, Morogoro, Tanzania, 4.80 km from Mtipule'."/>
    <s v="Iringa Road, Tanzania, Morogoro, 4.80 km from Mtipule"/>
    <n v="3"/>
  </r>
  <r>
    <n v="198"/>
    <x v="119"/>
    <d v="2026-02-17T07:36:39"/>
    <x v="16"/>
    <s v="MOHAMEDI ISSA KIBARATI"/>
    <s v="T144EBX: Harsh braking has been activated. At 17.02.2026 07:36:39 it moved with speed 55 km/h near 'Great North Road, Muchinga Province, Zambia, 9.45 km from Mukwikile'."/>
    <s v="Great North Road, Zambia, Muchinga Province, 9.45 km from Mukwikile"/>
    <n v="5"/>
  </r>
  <r>
    <n v="199"/>
    <x v="64"/>
    <d v="2026-02-17T10:12:17"/>
    <x v="16"/>
    <s v="JOEL SAMSON MANDAGO"/>
    <s v="T235EBX: Harsh braking has been activated. At 17.02.2026 10:12:17 it moved with speed 51 km/h near 'Rn36, Haut-Katanga, Democratic Republic of the Congo, 11.65 km from Kadima'."/>
    <s v="Rn36, Democratic Republic of the Congo, Haut-Katanga, 11.65 km from Kadima"/>
    <n v="13"/>
  </r>
  <r>
    <n v="200"/>
    <x v="120"/>
    <d v="2026-02-17T11:16:03"/>
    <x v="16"/>
    <s v="MUSSA RAMADHAN MITEMILIGWA"/>
    <s v="T278EBY: Harsh braking has been activated. At 17.02.2026 11:16:03 it moved with speed 63 km/h near 'T2, Tanga, Handeni, Tanzania, Kwenkwale'."/>
    <s v="T2, Tanzania, Tanga, Handeni, Kwenkwale"/>
    <n v="3"/>
  </r>
  <r>
    <n v="201"/>
    <x v="114"/>
    <d v="2026-02-17T11:58:12"/>
    <x v="16"/>
    <s v="JITENGENI YAHYA MZEE"/>
    <s v="T340EBX: Harsh braking has been activated. At 17.02.2026 11:58:12 it moved with speed 51 km/h near 'Rn1, Haut-Katanga, Democratic Republic of the Congo, 3.72 km from Sumbilili'."/>
    <s v="Rn1, Democratic Republic of the Congo, Haut-Katanga, 3.72 km from Sumbilili"/>
    <n v="3"/>
  </r>
  <r>
    <n v="202"/>
    <x v="121"/>
    <d v="2026-02-17T14:24:08"/>
    <x v="16"/>
    <s v="MUSSA OMARY HAMZA"/>
    <s v="T498DYR: Harsh braking has been activated. At 17.02.2026 14:24:08 it moved with speed 51 km/h near 'M3, Luapula Province, Zambia, 18.28 km from Chembe'."/>
    <s v="M3, Zambia, Luapula Province, 18.28 km from Chembe"/>
    <n v="3"/>
  </r>
  <r>
    <n v="203"/>
    <x v="106"/>
    <d v="2026-02-17T09:56:07"/>
    <x v="16"/>
    <s v="ERASTO CHARLES MTWEVE"/>
    <s v="T512EBY: Harsh braking has been activated. At 17.02.2026 09:56:07 it moved with speed 63 km/h near 'M3, Northern Province, Zambia, Chiwembe'."/>
    <s v="M3, Zambia, Northern Province, Chiwembe"/>
    <n v="11"/>
  </r>
  <r>
    <n v="204"/>
    <x v="122"/>
    <d v="2026-02-17T09:56:09"/>
    <x v="16"/>
    <s v="HABIBU SELEMANI NTILLA"/>
    <s v="T520EBY: Harsh braking has been activated. At 17.02.2026 09:56:09 it moved with speed 61 km/h near 'Great North Road, Muchinga Province, Zambia, 2.28 km from Mpumba'."/>
    <s v="Great North Road, Zambia, Muchinga Province, 2.28 km from Mpumba"/>
    <n v="3"/>
  </r>
  <r>
    <n v="205"/>
    <x v="78"/>
    <d v="2026-02-17T07:25:13"/>
    <x v="16"/>
    <s v="GASPER ELICHILIA KINYAHA"/>
    <s v="T528EBY: Harsh braking has been activated. At 17.02.2026 07:25:13 it moved with speed 54 km/h near 'Great North Road, Central Province, Zambia, 9.60 km from Godfrey Kunda'."/>
    <s v="Great North Road, Zambia, Central Province, 9.60 km from Godfrey Kunda"/>
    <n v="3"/>
  </r>
  <r>
    <n v="206"/>
    <x v="107"/>
    <d v="2026-02-17T13:25:00"/>
    <x v="16"/>
    <s v="STAN ENISON LULANDALA"/>
    <s v="T561DYR: Harsh braking has been activated. At 17.02.2026 13:25:00 it moved with speed 54 km/h near 'T1, Mbeya, Tanzania, 3.95 km from Makwenje'."/>
    <s v="T1, Tanzania, Mbeya, 3.95 km from Makwenje"/>
    <n v="3"/>
  </r>
  <r>
    <n v="207"/>
    <x v="67"/>
    <d v="2026-02-17T18:41:46"/>
    <x v="16"/>
    <s v="MISTWAHI AMRI SAID"/>
    <s v="T589DYR: Harsh braking has been activated. At 17.02.2026 18:41:46 it moved with speed 64 km/h near 'M3, Northern Province, Zambia, 4.32 km from Luwingu'."/>
    <s v="M3, Zambia, Northern Province, 4.32 km from Luwingu"/>
    <n v="3"/>
  </r>
  <r>
    <n v="208"/>
    <x v="123"/>
    <d v="2026-02-17T03:24:27"/>
    <x v="16"/>
    <s v="SHOMAR MOHAMED MITAWA"/>
    <s v="T661DTQ: Harsh braking has been activated. At 17.02.2026 03:24:27 it moved with speed 52 km/h near 'Rn1, Haut-Katanga, Democratic Republic of the Congo, 6.99 km from Sumbilili'."/>
    <s v="Rn1, Democratic Republic of the Congo, Haut-Katanga, 6.99 km from Sumbilili"/>
    <n v="3"/>
  </r>
  <r>
    <n v="209"/>
    <x v="124"/>
    <d v="2026-02-17T15:13:37"/>
    <x v="16"/>
    <s v="SAID ATHUMANI NONGWA"/>
    <s v="T723DYR: Harsh braking has been activated. At 17.02.2026 15:13:37 it moved with speed 57 km/h near 'M3, Luapula Province, Zambia, 14.86 km from Kundamtumu'."/>
    <s v="M3, Zambia, Luapula Province, 14.86 km from Kundamtumu"/>
    <n v="6"/>
  </r>
  <r>
    <n v="210"/>
    <x v="89"/>
    <d v="2026-02-17T10:11:11"/>
    <x v="16"/>
    <s v="RAMADHAN RAHIBU SULEIMAN"/>
    <s v="T904EBW: Harsh braking has been activated. At 17.02.2026 10:11:11 it moved with speed 53 km/h near 'Great North Road, Central Province, Zambia, 6.47 km from Kanona'."/>
    <s v="Great North Road, Zambia, Central Province, 6.47 km from Kanona"/>
    <n v="8"/>
  </r>
  <r>
    <n v="211"/>
    <x v="24"/>
    <d v="2026-02-17T07:45:30"/>
    <x v="16"/>
    <s v="ALLY RASHID SAID"/>
    <s v="T905EBW: Harsh braking has been activated. At 17.02.2026 07:45:30 it moved with speed 53 km/h near 'Iringa Road, Iringa, Tanzania, Mahenge'."/>
    <s v="Iringa Road, Tanzania, Iringa, Mahenge"/>
    <n v="4"/>
  </r>
  <r>
    <n v="212"/>
    <x v="35"/>
    <d v="2026-02-17T09:28:30"/>
    <x v="16"/>
    <s v="ELIBAS EZEKIEL KITUNGWA"/>
    <s v="T907EBW: Harsh braking has been activated. At 17.02.2026 09:28:30 it moved with speed 54 km/h near 'Iringa Road, Morogoro, Tanzania, 4.49 km from Mtipule'."/>
    <s v="Iringa Road, Tanzania, Morogoro, 4.49 km from Mtipule"/>
    <n v="4"/>
  </r>
  <r>
    <n v="213"/>
    <x v="125"/>
    <d v="2026-02-17T12:27:08"/>
    <x v="16"/>
    <s v="MARCUS AUGUSTIN MBEYA"/>
    <s v="T927EBW: Harsh braking has been activated. At 17.02.2026 12:27:08 it moved with speed 52 km/h near 'T1, Mbeya, Tanzania, Lunwa'."/>
    <s v="T1, Tanzania, Mbeya, Lunwa"/>
    <n v="3"/>
  </r>
  <r>
    <n v="214"/>
    <x v="126"/>
    <d v="2026-02-17T10:10:53"/>
    <x v="16"/>
    <s v="ELIAS SAID MTEBENE"/>
    <s v="T980EBW: Harsh braking has been activated. At 17.02.2026 10:10:53 it moved with speed 58 km/h near 'Rn1, Haut-Katanga, Democratic Republic of the Congo, Mununu'."/>
    <s v="Rn1, Democratic Republic of the Congo, Haut-Katanga, Mununu"/>
    <n v="5"/>
  </r>
  <r>
    <n v="215"/>
    <x v="127"/>
    <d v="2026-02-18T08:22:12"/>
    <x v="17"/>
    <s v="OMARY FADHILI MSANGI"/>
    <s v="T154EBX: Harsh braking has been activated. At 18.02.2026 08:22:12 it moved with speed 52 km/h near 'Great North Road, Central Province, Zambia, 2.42 km from Kanona'."/>
    <s v="Great North Road, Zambia, Central Province, 2.42 km from Kanona"/>
    <n v="6"/>
  </r>
  <r>
    <n v="216"/>
    <x v="128"/>
    <d v="2026-02-18T07:46:53"/>
    <x v="17"/>
    <s v="AMOS KASEKE KUYOKWA"/>
    <s v="T175EBX: Harsh braking has been activated. At 18.02.2026 07:46:53 it moved with speed 52 km/h near 'Great North Road, Central Province, Zambia, 12.26 km from Muchinka'."/>
    <s v="Great North Road, Zambia, Central Province, 12.26 km from Muchinka"/>
    <n v="5"/>
  </r>
  <r>
    <n v="217"/>
    <x v="20"/>
    <d v="2026-02-18T13:23:12"/>
    <x v="17"/>
    <s v="ELIAH YUSUPH MPANGO"/>
    <s v="T232EBX: Harsh braking has been activated. At 18.02.2026 13:23:12 it moved with speed 61 km/h near 'Rn1, Haut-Katanga, Democratic Republic of the Congo, 4.06 km from Tshinsenda'."/>
    <s v="Rn1, Democratic Republic of the Congo, Haut-Katanga, 4.06 km from Tshinsenda"/>
    <n v="5"/>
  </r>
  <r>
    <n v="218"/>
    <x v="64"/>
    <d v="2026-02-18T08:29:11"/>
    <x v="17"/>
    <s v="JOEL SAMSON MANDAGO"/>
    <s v="T235EBX: Harsh braking has been activated. At 18.02.2026 08:29:11 it moved with speed 51 km/h near 'M1, Northern Province, Zambia, 6.99 km from Nondo'."/>
    <s v="M1, Zambia, Northern Province, 6.99 km from Nondo"/>
    <n v="4"/>
  </r>
  <r>
    <n v="219"/>
    <x v="1"/>
    <d v="2026-02-18T12:38:58"/>
    <x v="17"/>
    <s v="ISAYA MSHUKURU MMBANDO"/>
    <s v="T271EBY: Harsh braking has been activated. At 18.02.2026 12:38:58 it moved with speed 53 km/h near 'T2, Pwani, Bagamoyo, Tanzania, 1.70 km from Mandera'."/>
    <s v="T2, Tanzania, Pwani, Bagamoyo, 1.70 km from Mandera"/>
    <n v="5"/>
  </r>
  <r>
    <n v="220"/>
    <x v="114"/>
    <d v="2026-02-18T13:41:44"/>
    <x v="17"/>
    <s v="JITENGENI YAHYA MZEE"/>
    <s v="T340EBX: Harsh braking has been activated. At 18.02.2026 13:41:44 it moved with speed 61 km/h near 'M3, Luapula Province, Zambia, 13.33 km from Mansa'."/>
    <s v="M3, Zambia, Luapula Province, 13.33 km from Mansa"/>
    <n v="8"/>
  </r>
  <r>
    <n v="221"/>
    <x v="129"/>
    <d v="2026-02-18T10:24:17"/>
    <x v="17"/>
    <s v="ALLY RAMADHANI ZANDA"/>
    <s v="T499DYR: Harsh braking has been activated. At 18.02.2026 10:24:17 it moved with speed 63 km/h near 'M4, Copperbelt Province, Zambia, 11.83 km from Chambishi'."/>
    <s v="M4, Zambia, Copperbelt Province, 11.83 km from Chambishi"/>
    <n v="5"/>
  </r>
  <r>
    <n v="222"/>
    <x v="107"/>
    <d v="2026-02-18T11:19:54"/>
    <x v="17"/>
    <s v="STAN ENISON LULANDALA"/>
    <s v="T561DYR: Harsh braking has been activated. At 18.02.2026 11:19:54 it moved with speed 65 km/h near 'Iringa Road, Iringa, Tanzania, 1.82 km from Mahenge'."/>
    <s v="Iringa Road, Tanzania, Iringa, 1.82 km from Mahenge"/>
    <n v="4"/>
  </r>
  <r>
    <n v="223"/>
    <x v="113"/>
    <d v="2026-02-18T07:42:05"/>
    <x v="17"/>
    <s v="HASSAN AWADHI TAMIM"/>
    <s v="T578DYR: Harsh braking has been activated. At 18.02.2026 07:42:05 it moved with speed 61 km/h near 'M3, Northern Province, Zambia, Chiwembe'."/>
    <s v="M3, Zambia, Northern Province, Chiwembe"/>
    <n v="5"/>
  </r>
  <r>
    <n v="224"/>
    <x v="130"/>
    <d v="2026-02-18T11:46:53"/>
    <x v="17"/>
    <s v="SAID HATIB KINGODOLO"/>
    <s v="T587DTQ: Harsh braking has been activated. At 18.02.2026 11:46:53 it moved with speed 59 km/h near 'M1, Northern Province, Zambia, 9.88 km from Sementi'."/>
    <s v="M1, Zambia, Northern Province, 9.88 km from Sementi"/>
    <n v="3"/>
  </r>
  <r>
    <n v="225"/>
    <x v="9"/>
    <d v="2026-02-18T17:12:30"/>
    <x v="17"/>
    <s v="RAMADHANI MBEZI OMARY"/>
    <s v="T634DHL: Harsh braking has been activated. At 18.02.2026 17:12:30 it moved with speed 56 km/h near 'M3, Luapula Province, Zambia, 12.81 km from Kalundu'."/>
    <s v="M3, Zambia, Luapula Province, 12.81 km from Kalundu"/>
    <n v="3"/>
  </r>
  <r>
    <n v="226"/>
    <x v="124"/>
    <d v="2026-02-18T11:25:46"/>
    <x v="17"/>
    <s v="SAID ATHUMANI NONGWA"/>
    <s v="T723DYR: Harsh braking has been activated. At 18.02.2026 11:25:46 it moved with speed 53 km/h near 'Mbala - Nakonde Road, Northern Province, Zambia, 12.38 km from Nsokolo'."/>
    <s v="Mbala - Nakonde Road, Zambia, Northern Province, 12.38 km from Nsokolo"/>
    <n v="3"/>
  </r>
  <r>
    <n v="227"/>
    <x v="131"/>
    <d v="2026-02-18T18:36:49"/>
    <x v="17"/>
    <s v="ZACHALIA JOSEPH SHIMBI"/>
    <s v="T727DYR: Harsh braking has been activated. At 18.02.2026 18:36:49 it moved with speed 56 km/h near 'M3, Northern Province, Zambia, 12.80 km from Chitoshi'."/>
    <s v="M3, Zambia, Northern Province, 12.80 km from Chitoshi"/>
    <n v="3"/>
  </r>
  <r>
    <n v="228"/>
    <x v="132"/>
    <d v="2026-02-18T15:06:50"/>
    <x v="17"/>
    <s v="AMIRI TALIB SHEIN"/>
    <s v="T793DYR: Harsh braking has been activated. At 18.02.2026 15:06:50 it moved with speed 67 km/h near 'M3, Luapula Province, Zambia, 4.45 km from Mununga'."/>
    <s v="M3, Zambia, Luapula Province, 4.45 km from Mununga"/>
    <n v="15"/>
  </r>
  <r>
    <n v="229"/>
    <x v="125"/>
    <d v="2026-02-18T10:46:47"/>
    <x v="17"/>
    <s v="MARCUS AUGUSTIN MBEYA"/>
    <s v="T927EBW: Harsh braking has been activated. At 18.02.2026 10:46:47 it moved with speed 68 km/h near 'Iringa Road, Morogoro, Kilosa, Tanzania, 8.36 km from Igagala'."/>
    <s v="Iringa Road, Tanzania, Morogoro, Kilosa, 8.36 km from Igagala"/>
    <n v="3"/>
  </r>
  <r>
    <n v="230"/>
    <x v="70"/>
    <d v="2026-02-18T14:00:39"/>
    <x v="17"/>
    <s v="SHABANI HARUNA SEMENTA"/>
    <s v="T955EBW: Harsh braking has been activated. At 18.02.2026 14:00:39 it moved with speed 52 km/h near 'Iringa Road, Morogoro, Kilosa, Tanzania, 15.01 km from Msimba'."/>
    <s v="Iringa Road, Tanzania, Morogoro, Kilosa, 15.01 km from Msimba"/>
    <n v="8"/>
  </r>
  <r>
    <n v="231"/>
    <x v="1"/>
    <d v="2026-02-19T17:17:21"/>
    <x v="18"/>
    <s v="ISAYA MSHUKURU MMBANDO"/>
    <s v="T271EBY: Harsh braking has been activated. At 19.02.2026 17:17:21 it moved with speed 55 km/h near 'T2, Tanga, Handeni, Tanzania, 1.07 km from Kwedikwazu Magha'."/>
    <s v="T2, Tanzania, Tanga, Handeni, 1.07 km from Kwedikwazu Magha"/>
    <n v="3"/>
  </r>
  <r>
    <n v="232"/>
    <x v="114"/>
    <d v="2026-02-19T08:08:45"/>
    <x v="18"/>
    <s v="JITENGENI YAHYA MZEE"/>
    <s v="T340EBX: Harsh braking has been activated. At 19.02.2026 08:08:45 it moved with speed 56 km/h near 'M1, Northern Province, Zambia, 14.60 km from Nondo'."/>
    <s v="M1, Zambia, Northern Province, 14.60 km from Nondo"/>
    <n v="5"/>
  </r>
  <r>
    <n v="233"/>
    <x v="129"/>
    <d v="2026-02-19T07:20:48"/>
    <x v="18"/>
    <s v="ALLY RAMADHANI ZANDA"/>
    <s v="T499DYR: Harsh braking has been activated. At 19.02.2026 07:20:48 it moved with speed 59 km/h near 'Great North Road, Central Province, Zambia, 5.15 km from Kapiri Mposhi'."/>
    <s v="Great North Road, Zambia, Central Province, 5.15 km from Kapiri Mposhi"/>
    <n v="6"/>
  </r>
  <r>
    <n v="234"/>
    <x v="67"/>
    <d v="2026-02-19T17:09:48"/>
    <x v="18"/>
    <s v="MISTWAHI AMRI SAID"/>
    <s v="T589DYR: Harsh braking has been activated. At 19.02.2026 17:09:48 it moved with speed 67 km/h near 'T1, Njombe, Tanzania, 6.31 km from Igomelo'."/>
    <s v="T1, Tanzania, Njombe, 6.31 km from Igomelo"/>
    <n v="4"/>
  </r>
  <r>
    <n v="235"/>
    <x v="133"/>
    <d v="2026-02-19T16:00:46"/>
    <x v="18"/>
    <s v="MONDI STANSLAUS NDAKI"/>
    <s v="T742EBX: Harsh braking has been activated. At 19.02.2026 16:00:46 it moved with speed 61 km/h near 'Rn39, Lualaba, Democratic Republic of the Congo, Kabwe Dikuku (Sud)'."/>
    <s v="Rn39, Democratic Republic of the Congo, Lualaba, Kabwe Dikuku (Sud)"/>
    <n v="3"/>
  </r>
  <r>
    <n v="236"/>
    <x v="99"/>
    <d v="2026-02-19T19:06:41"/>
    <x v="18"/>
    <n v="0"/>
    <s v="T770DYR: Harsh braking has been activated. At 19.02.2026 19:06:41 it moved with speed 64 km/h near 'T1, Morogoro, Tanzania, Maseyu'."/>
    <s v="T1, Tanzania, Morogoro, Maseyu"/>
    <n v="4"/>
  </r>
  <r>
    <n v="237"/>
    <x v="49"/>
    <d v="2026-02-19T12:15:40"/>
    <x v="18"/>
    <s v="ABUBAKAR JUMA YUSUPH"/>
    <s v="T772DYR: Harsh braking has been activated. At 19.02.2026 12:15:40 it moved with speed 54 km/h near 'Iringa Road, Morogoro, Tanzania, 3.93 km from Kipera'."/>
    <s v="Iringa Road, Tanzania, Morogoro, 3.93 km from Kipera"/>
    <n v="4"/>
  </r>
  <r>
    <n v="238"/>
    <x v="132"/>
    <d v="2026-02-19T00:04:56"/>
    <x v="18"/>
    <s v="AMIRI TALIB SHEIN"/>
    <s v="T793DYR: Harsh braking has been activated. At 19.02.2026 00:04:56 it moved with speed 61 km/h near 'Mbala - Nakonde Road, Northern Province, Zambia, 12.98 km from Chilundumuzi'."/>
    <s v="Mbala - Nakonde Road, Zambia, Northern Province, 12.98 km from Chilundumuzi"/>
    <n v="3"/>
  </r>
  <r>
    <n v="239"/>
    <x v="23"/>
    <d v="2026-02-19T12:04:04"/>
    <x v="18"/>
    <s v="ABDULHAFIDH RADMAN ALLY"/>
    <s v="T862EBY: Harsh braking has been activated. At 19.02.2026 12:04:04 it moved with speed 52 km/h near 'Tanzania To Zambia Road, Iringa, Mufindi, Tanzania, 1.74 km from Sao-Hill Forest Plantation'."/>
    <s v="Tanzania To Zambia Road, Tanzania, Iringa, Mufindi, 1.74 km from Sao-Hill Forest Plantation"/>
    <n v="3"/>
  </r>
  <r>
    <n v="240"/>
    <x v="104"/>
    <d v="2026-02-19T10:07:30"/>
    <x v="18"/>
    <s v="HASSANI MABROUCK TUNZA"/>
    <s v="T932EBW: Harsh braking has been activated. At 19.02.2026 10:07:30 it moved with speed 55 km/h near 'Great North Road, Central Province, Zambia, 15.19 km from Muchinka'."/>
    <s v="Great North Road, Zambia, Central Province, 15.19 km from Muchinka"/>
    <n v="3"/>
  </r>
  <r>
    <n v="241"/>
    <x v="134"/>
    <d v="2026-02-19T08:31:49"/>
    <x v="18"/>
    <s v="OMARY SAID KITAMBO"/>
    <s v="T942DSX: Harsh braking has been activated. At 19.02.2026 08:31:49 it moved with speed 51 km/h near 'Great North Road, Muchinga Province, Zambia, 5.45 km from Chikwanda'."/>
    <s v="Great North Road, Zambia, Muchinga Province, 5.45 km from Chikwanda"/>
    <n v="4"/>
  </r>
  <r>
    <n v="242"/>
    <x v="46"/>
    <d v="2026-02-19T06:59:57"/>
    <x v="18"/>
    <s v="YUNUS ABDILLAH SULEIMAN"/>
    <s v="T950EBW: Harsh braking has been activated. At 19.02.2026 06:59:57 it moved with speed 54 km/h near 'Nelson Mandela Road, Dar Es Salaam, Chang'ombe, Tanzania'."/>
    <s v="Dar Es Salaam, Nelson Mandela Road, Tanzania, Chang'ombe"/>
    <n v="3"/>
  </r>
  <r>
    <n v="243"/>
    <x v="135"/>
    <d v="2026-02-19T17:01:46"/>
    <x v="18"/>
    <s v="RAJABU KONGO LADISLAUS"/>
    <s v="T993EBW: Harsh braking has been activated. At 19.02.2026 17:01:46 it moved with speed 51 km/h near 'Great North Road, Muchinga Province, Zambia, Kalonje'."/>
    <s v="Great North Road, Zambia, Muchinga Province, Kalonje"/>
    <n v="3"/>
  </r>
  <r>
    <n v="244"/>
    <x v="1"/>
    <d v="2026-02-20T07:11:28"/>
    <x v="19"/>
    <s v="ISAYA MSHUKURU MMBANDO"/>
    <s v="T271EBY: Harsh braking has been activated. At 20.02.2026 07:11:28 it moved with speed 58 km/h near 'T1, Morogoro, Tanzania, 2.26 km from Mikese'."/>
    <s v="T1, Tanzania, Morogoro, 2.26 km from Mikese"/>
    <n v="10"/>
  </r>
  <r>
    <n v="245"/>
    <x v="116"/>
    <d v="2026-02-20T11:54:50"/>
    <x v="19"/>
    <s v="OMAR RASHID CHIKUNJE"/>
    <s v="T524EBY: Harsh braking has been activated. At 20.02.2026 11:54:50 it moved with speed 58 km/h near 'Iringa Road, Lundamatwe, Iringa, Tanzania'."/>
    <s v="Lundamatwe, Iringa Road, Tanzania, Iringa"/>
    <n v="5"/>
  </r>
  <r>
    <n v="246"/>
    <x v="67"/>
    <d v="2026-02-20T08:53:55"/>
    <x v="19"/>
    <s v="MISTWAHI AMRI SAID"/>
    <s v="T589DYR: Harsh braking has been activated. At 20.02.2026 08:53:55 it moved with speed 58 km/h near 'Iringa Road, Iringa, Tanzania, Matassi'."/>
    <s v="Iringa Road, Tanzania, Iringa, Matassi"/>
    <n v="3"/>
  </r>
  <r>
    <n v="247"/>
    <x v="136"/>
    <d v="2026-02-20T08:46:07"/>
    <x v="19"/>
    <s v="AHMAD ABDULRRAHMAN AMIN"/>
    <s v="T702EBX: Harsh braking has been activated. At 20.02.2026 08:46:07 it moved with speed 58 km/h near 'Great North Road, Muchinga Province, Zambia, 19.48 km from Katibunga'."/>
    <s v="Great North Road, Zambia, Muchinga Province, 19.48 km from Katibunga"/>
    <n v="4"/>
  </r>
  <r>
    <n v="248"/>
    <x v="109"/>
    <d v="2026-02-20T15:01:14"/>
    <x v="19"/>
    <s v="CHRISTIAN NKWELA MAPUNDA"/>
    <s v="T728EBX: Harsh braking has been activated. At 20.02.2026 15:01:14 it moved with speed 62 km/h near 'Rn1, Haut-Katanga, Democratic Republic of the Congo, 1.44 km from Sakania'."/>
    <s v="Rn1, Democratic Republic of the Congo, Haut-Katanga, 1.44 km from Sakania"/>
    <n v="3"/>
  </r>
  <r>
    <n v="249"/>
    <x v="137"/>
    <d v="2026-02-20T09:48:03"/>
    <x v="19"/>
    <s v="KELNALDO MATHIS JUMA"/>
    <s v="T732EBX: Harsh braking has been activated. At 20.02.2026 09:48:03 it moved with speed 52 km/h near 'Great North Road, Muchinga Province, Zambia, 3.01 km from Rumbuka'."/>
    <s v="Great North Road, Zambia, Muchinga Province, 3.01 km from Rumbuka"/>
    <n v="3"/>
  </r>
  <r>
    <n v="250"/>
    <x v="138"/>
    <d v="2026-02-20T10:55:10"/>
    <x v="19"/>
    <s v="KHERI HASSAN MILANZI"/>
    <s v="T746DEB: Harsh braking has been activated. At 20.02.2026 10:55:10 it moved with speed 61 km/h near 'Iringa Road, Morogoro, Kilosa, Tanzania, 12.87 km from Msimba'."/>
    <s v="Iringa Road, Tanzania, Morogoro, Kilosa, 12.87 km from Msimba"/>
    <n v="3"/>
  </r>
  <r>
    <n v="251"/>
    <x v="132"/>
    <d v="2026-02-20T08:50:42"/>
    <x v="19"/>
    <s v="AMIRI TALIB SHEIN"/>
    <s v="T793DYR: Harsh braking has been activated. At 20.02.2026 08:50:42 it moved with speed 56 km/h near 'T1, Mbeya, Tanzania, 2.01 km from Mangere'."/>
    <s v="T1, Tanzania, Mbeya, 2.01 km from Mangere"/>
    <n v="3"/>
  </r>
  <r>
    <n v="252"/>
    <x v="73"/>
    <d v="2026-02-20T13:55:12"/>
    <x v="19"/>
    <s v="YUSUPH ZIAGA SANGA"/>
    <s v="T817EBW: Harsh braking has been activated. At 20.02.2026 13:55:12 it moved with speed 59 km/h near 'T1, Mbeya, Mbozi, Tanzania, 2.98 km from Vwawa'."/>
    <s v="T1, Tanzania, Mbeya, Mbozi, 2.98 km from Vwawa"/>
    <n v="12"/>
  </r>
  <r>
    <n v="253"/>
    <x v="139"/>
    <d v="2026-02-20T09:55:41"/>
    <x v="19"/>
    <s v="FREDRICK LAZARO KIMARO"/>
    <s v="T998EBW: Harsh braking has been activated. At 20.02.2026 09:55:41 it moved with speed 63 km/h near 'T1, Mbeya, Tanzania, 6.85 km from Igawa'."/>
    <s v="T1, Tanzania, Mbeya, 6.85 km from Igawa"/>
    <n v="3"/>
  </r>
  <r>
    <n v="254"/>
    <x v="140"/>
    <d v="2026-02-22T09:06:39"/>
    <x v="20"/>
    <s v="KITUNDA HUSSEIN KUDEBA"/>
    <s v="T689DEB: Harsh braking has been activated. At 22.02.2026 09:06:39 it moved with speed 54 km/h near 'Rn39, Lualaba, Democratic Republic of the Congo, 1.41 km from Kabwe Maradonna'."/>
    <s v="Rn39, Democratic Republic of the Congo, Lualaba, 1.41 km from Kabwe Maradonna"/>
    <n v="3"/>
  </r>
  <r>
    <n v="255"/>
    <x v="109"/>
    <d v="2026-02-22T12:15:20"/>
    <x v="20"/>
    <s v="CHRISTIAN NKWELA MAPUNDA"/>
    <s v="T728EBX: Harsh braking has been activated. At 22.02.2026 12:15:20 it moved with speed 55 km/h near 'Biayi Prolongée Avenue, Lubumbashi, Haut-Katanga, Democratic Republic of the Congo'."/>
    <s v="Lubumbashi, Biayi Prolongée Avenue, Democratic Republic of the Congo, Haut-Katanga"/>
    <n v="7"/>
  </r>
  <r>
    <n v="256"/>
    <x v="73"/>
    <d v="2026-02-22T06:38:52"/>
    <x v="20"/>
    <s v="YUSUPH ZIAGA SANGA"/>
    <s v="T817EBW: Harsh braking has been activated. At 22.02.2026 06:38:52 it moved with speed 66 km/h near 'T1, Morogoro, Tanzania, 2.52 km from Mkambarani'."/>
    <s v="T1, Tanzania, Morogoro, 2.52 km from Mkambarani"/>
    <n v="8"/>
  </r>
  <r>
    <n v="257"/>
    <x v="45"/>
    <d v="2026-02-22T11:38:17"/>
    <x v="20"/>
    <s v="HAMISI RAMADHANI SULTAN"/>
    <s v="T878EBY: Harsh braking has been activated. At 22.02.2026 11:38:17 it moved with speed 65 km/h near 'Iringa Road, Morogoro, Kilosa, Tanzania, 1.30 km from Msosa'."/>
    <s v="Iringa Road, Tanzania, Morogoro, Kilosa, 1.30 km from Msosa"/>
    <n v="4"/>
  </r>
  <r>
    <n v="258"/>
    <x v="89"/>
    <d v="2026-02-22T09:51:17"/>
    <x v="20"/>
    <s v="RAMADHAN RAHIBU SULEIMAN"/>
    <s v="T904EBW: Harsh braking has been activated. At 22.02.2026 09:51:17 it moved with speed 60 km/h near 'T1, Mbeya, Tanzania, 5.42 km from Igawa'."/>
    <s v="T1, Tanzania, Mbeya, 5.42 km from Igawa"/>
    <n v="3"/>
  </r>
  <r>
    <n v="259"/>
    <x v="70"/>
    <d v="2026-02-22T15:29:28"/>
    <x v="20"/>
    <s v="SHABANI HARUNA SEMENTA"/>
    <s v="T955EBW: Harsh braking has been activated. At 22.02.2026 15:29:28 it moved with speed 73 km/h near 'Great North Road, Muchinga Province, Zambia, 5.59 km from Mkasi'."/>
    <s v="Great North Road, Zambia, Muchinga Province, 5.59 km from Mkasi"/>
    <n v="11"/>
  </r>
  <r>
    <n v="260"/>
    <x v="12"/>
    <d v="2026-02-23T09:13:19"/>
    <x v="21"/>
    <s v="JUMA KOBA SAID"/>
    <s v="T329ECN: Harsh braking has been activated. At 23.02.2026 09:13:19 it moved with speed 54 km/h near 'Great North Road, Muchinga Province, Zambia, Kaloswe'."/>
    <s v="Great North Road, Zambia, Muchinga Province, Kaloswe"/>
    <n v="4"/>
  </r>
  <r>
    <n v="261"/>
    <x v="141"/>
    <d v="2026-02-23T08:15:05"/>
    <x v="21"/>
    <s v="NASSORO BUSHIRI MOHAMED"/>
    <s v="T493DYR: Harsh braking has been activated. At 23.02.2026 08:15:05 it moved with speed 54 km/h near 'Great North Road, Muchinga Province, Zambia, 1.63 km from Chinkumba'."/>
    <s v="Great North Road, Zambia, Muchinga Province, 1.63 km from Chinkumba"/>
    <n v="4"/>
  </r>
  <r>
    <n v="262"/>
    <x v="8"/>
    <d v="2026-02-23T12:16:54"/>
    <x v="21"/>
    <s v="GABRIEL SHIJA MAHONA"/>
    <s v="T494DYR: Harsh braking has been activated. At 23.02.2026 12:16:54 it moved with speed 66 km/h near 'Rn1, Haut-Katanga, Democratic Republic of the Congo, 15.16 km from Lwisha'."/>
    <s v="Rn1, Democratic Republic of the Congo, Haut-Katanga, 15.16 km from Lwisha"/>
    <n v="8"/>
  </r>
  <r>
    <n v="263"/>
    <x v="42"/>
    <d v="2026-02-23T09:01:53"/>
    <x v="21"/>
    <s v="OMARI ABEDI MOKA"/>
    <s v="T513EBY: Harsh braking has been activated. At 23.02.2026 09:01:53 it moved with speed 54 km/h near 'Iringa Road, Morogoro, Tanzania, 11.70 km from Morogoro'."/>
    <s v="Iringa Road, Tanzania, Morogoro, 11.70 km from Morogoro"/>
    <n v="3"/>
  </r>
  <r>
    <n v="264"/>
    <x v="78"/>
    <d v="2026-02-23T08:17:11"/>
    <x v="21"/>
    <s v="GASPER ELICHILIA KINYAHA"/>
    <s v="T528EBY: Harsh braking has been activated. At 23.02.2026 08:17:11 it moved with speed 59 km/h near 'T1, Njombe, Tanzania, Igando'."/>
    <s v="T1, Tanzania, Njombe, Igando"/>
    <n v="4"/>
  </r>
  <r>
    <n v="265"/>
    <x v="55"/>
    <d v="2026-02-23T15:45:29"/>
    <x v="21"/>
    <s v="MRISHO WAZIRI ALLY"/>
    <s v="T568DYR: Harsh braking has been activated. At 23.02.2026 15:45:29 it moved with speed 60 km/h near 'Rn1, Haut-Katanga, Democratic Republic of the Congo, 7.15 km from Kasumbalesa'."/>
    <s v="Rn1, Democratic Republic of the Congo, Haut-Katanga, 7.15 km from Kasumbalesa"/>
    <n v="4"/>
  </r>
  <r>
    <n v="266"/>
    <x v="96"/>
    <d v="2026-02-23T11:45:42"/>
    <x v="21"/>
    <s v="PASTOR GASPER MCHAU"/>
    <s v="T590DTQ: Harsh braking has been activated. At 23.02.2026 11:45:42 it moved with speed 55 km/h near 'Rn1, Haut-Katanga, Democratic Republic of the Congo, 30.41 km from Lubumbashi'."/>
    <s v="Rn1, Democratic Republic of the Congo, Haut-Katanga, 30.41 km from Lubumbashi"/>
    <n v="11"/>
  </r>
  <r>
    <n v="267"/>
    <x v="142"/>
    <d v="2026-02-23T10:07:53"/>
    <x v="21"/>
    <s v="MICHAEL CHEYO NKINGA"/>
    <s v="T696DEB: Harsh braking has been activated. At 23.02.2026 10:07:53 it moved with speed 57 km/h near 'Iringa Road, Morogoro, Kilosa, Tanzania, 13.62 km from Igagala'."/>
    <s v="Iringa Road, Tanzania, Morogoro, Kilosa, 13.62 km from Igagala"/>
    <n v="3"/>
  </r>
  <r>
    <n v="268"/>
    <x v="15"/>
    <d v="2026-02-23T11:02:48"/>
    <x v="21"/>
    <s v="KHALIDY MOHAMEDY KIDOMO"/>
    <s v="T724DYR: Harsh braking has been activated. At 23.02.2026 11:02:48 it moved with speed 62 km/h near 'Route De Likasi, Lubumbashi, Haut-Katanga, Democratic Republic of the Congo'."/>
    <s v="Lubumbashi, Route De Likasi, Democratic Republic of the Congo, Haut-Katanga"/>
    <n v="7"/>
  </r>
  <r>
    <n v="269"/>
    <x v="87"/>
    <d v="2026-02-23T16:58:41"/>
    <x v="21"/>
    <s v="JABU RASHIDI ISSA"/>
    <s v="T754DEB: Harsh braking has been activated. At 23.02.2026 16:58:41 it moved with speed 54 km/h near 'Iringa Road, Iringa, Tanzania, 3.50 km from Matassi'."/>
    <s v="Iringa Road, Tanzania, Iringa, 3.50 km from Matassi"/>
    <n v="9"/>
  </r>
  <r>
    <n v="270"/>
    <x v="89"/>
    <d v="2026-02-23T07:00:39"/>
    <x v="21"/>
    <s v="RAMADHAN RAHIBU SULEIMAN"/>
    <s v="T904EBW: Harsh braking has been activated. At 23.02.2026 07:00:39 it moved with speed 57 km/h near 'Iringa Road, Iringa, Tanzania, 1.19 km from Mahenge'."/>
    <s v="Iringa Road, Tanzania, Iringa, 1.19 km from Mahenge"/>
    <n v="14"/>
  </r>
  <r>
    <n v="271"/>
    <x v="24"/>
    <d v="2026-02-23T07:03:28"/>
    <x v="21"/>
    <s v="ALLY RASHID SAID"/>
    <s v="T905EBW: Harsh braking has been activated. At 23.02.2026 07:03:28 it moved with speed 63 km/h near 'Great North Road, Muchinga Province, Zambia, 5.73 km from Kamangu'."/>
    <s v="Great North Road, Zambia, Muchinga Province, 5.73 km from Kamangu"/>
    <n v="6"/>
  </r>
  <r>
    <n v="272"/>
    <x v="35"/>
    <d v="2026-02-23T10:22:53"/>
    <x v="21"/>
    <s v="ELIBAS EZEKIEL KITUNGWA"/>
    <s v="T907EBW: Harsh braking has been activated. At 23.02.2026 10:22:53 it moved with speed 69 km/h near 'Great North Road, Muchinga Province, Zambia, 3.04 km from Isoka'."/>
    <s v="Great North Road, Zambia, Muchinga Province, 3.04 km from Isoka"/>
    <n v="4"/>
  </r>
  <r>
    <n v="273"/>
    <x v="143"/>
    <d v="2026-02-23T13:47:48"/>
    <x v="21"/>
    <s v="ALPHONCE ADRIAN MAIGE"/>
    <s v="T933EBW: Harsh braking has been activated. At 23.02.2026 13:47:48 it moved with speed 53 km/h near 'Great North Road, Muchinga Province, Zambia, Chinunda'."/>
    <s v="Great North Road, Zambia, Muchinga Province, Chinunda"/>
    <n v="4"/>
  </r>
  <r>
    <n v="274"/>
    <x v="144"/>
    <d v="2026-02-23T08:06:00"/>
    <x v="21"/>
    <s v="ALLY MBARAKA ALLY"/>
    <s v="T934EBW: Harsh braking has been activated. At 23.02.2026 08:06:00 it moved with speed 53 km/h near 'Great North Road, Muchinga Province, Zambia, 13.21 km from Chifumbula'."/>
    <s v="Great North Road, Zambia, Muchinga Province, 13.21 km from Chifumbula"/>
    <n v="3"/>
  </r>
  <r>
    <n v="275"/>
    <x v="145"/>
    <d v="2026-02-24T14:59:41"/>
    <x v="22"/>
    <s v="JOSEPH PETRO JAMES"/>
    <s v="T233EBX: Harsh braking has been activated. At 24.02.2026 14:59:41 it moved with speed 67 km/h near 'T1, Morogoro, Kingolwira Ward, Morogoro Region, Tanzania'."/>
    <s v="Morogoro, T1, Tanzania, Kingolwira Ward, Morogoro Region"/>
    <n v="4"/>
  </r>
  <r>
    <n v="276"/>
    <x v="146"/>
    <d v="2026-02-24T15:36:34"/>
    <x v="22"/>
    <s v="STEVEN OCTAVIAN MILANZI"/>
    <s v="T375DHG: Harsh braking has been activated. At 24.02.2026 15:36:34 it moved with speed 73 km/h near 'Ndola - Kitwe Dual-Carriageway, Ndola, Copperbelt Province, Zambia'."/>
    <s v="Ndola, Ndola - Kitwe Dual-Carriageway, Zambia, Copperbelt Province"/>
    <n v="4"/>
  </r>
  <r>
    <n v="277"/>
    <x v="129"/>
    <d v="2026-02-24T08:26:42"/>
    <x v="22"/>
    <s v="ALLY RAMADHANI ZANDA"/>
    <s v="T499DYR: Harsh braking has been activated. At 24.02.2026 08:26:42 it moved with speed 54 km/h near 'T1, Njombe, Tanzania, 7.75 km from Nzivi'."/>
    <s v="Mafinga TC, T1, Tanzania, Sao Hill Ward, Iringa Region"/>
    <n v="3"/>
  </r>
  <r>
    <n v="278"/>
    <x v="87"/>
    <d v="2026-02-24T12:40:11"/>
    <x v="22"/>
    <s v="JABU RASHIDI ISSA"/>
    <s v="T754DEB: Harsh braking has been activated. At 24.02.2026 12:40:11 it moved with speed 68 km/h near 'Doma, Doma Ward, Mvomero DC, Morogoro Region, Tanzania'."/>
    <s v="Doma, Tanzania, Doma Ward, Mvomero DC, Morogoro Region"/>
    <n v="5"/>
  </r>
  <r>
    <n v="279"/>
    <x v="44"/>
    <d v="2026-02-24T07:29:53"/>
    <x v="22"/>
    <s v="ISSACK KONRADI KASIANO"/>
    <s v="T868EBW: Harsh braking has been activated. At 24.02.2026 07:29:53 it moved with speed 55 km/h near 'Great North Road, Muchinga Province, Zambia, 12.35 km from Mwezo'."/>
    <s v="Great North Road, Zambia, Muchinga Province, 12.35 km from Mwezo"/>
    <n v="8"/>
  </r>
  <r>
    <n v="280"/>
    <x v="35"/>
    <d v="2026-02-24T11:12:00"/>
    <x v="22"/>
    <s v="ELIBAS EZEKIEL KITUNGWA"/>
    <s v="T907EBW: Harsh braking has been activated. At 24.02.2026 11:12:00 it moved with speed 54 km/h near 'Great North Road, Central Province, Zambia, 11.79 km from Bwale'."/>
    <s v="Great North Road, Zambia, Central Province, 11.79 km from Bwale"/>
    <n v="3"/>
  </r>
  <r>
    <n v="281"/>
    <x v="147"/>
    <d v="2026-02-25T10:41:24"/>
    <x v="23"/>
    <s v="ALLY MARICK SEIF"/>
    <s v="T220EBX: Harsh braking has been activated. At 25.02.2026 10:41:24 it moved with speed 56 km/h near 'T3, Copperbelt Province, Zambia, 8.51 km from Tonde'."/>
    <s v="T3, Zambia, Copperbelt Province, 8.51 km from Tonde"/>
    <n v="3"/>
  </r>
  <r>
    <n v="282"/>
    <x v="51"/>
    <d v="2026-02-25T06:00:57"/>
    <x v="23"/>
    <s v="MOHAMEDI IDDI KULWA"/>
    <s v="T269EBX: Harsh braking has been activated. At 25.02.2026 06:00:57 it moved with speed 59 km/h near 'Msimba, Mikumi Ward, Kilosa DC, Morogoro Region, Tanzania'."/>
    <s v="Msimba, Tanzania, Mikumi Ward, Kilosa DC, Morogoro Region"/>
    <n v="3"/>
  </r>
  <r>
    <n v="283"/>
    <x v="5"/>
    <d v="2026-02-25T17:46:02"/>
    <x v="23"/>
    <s v="RAJABU MOHAMED MATUA"/>
    <s v="T407DHE: Harsh braking has been activated. At 25.02.2026 17:46:02 it moved with speed 52 km/h near 'Great North Road, Muchinga Province, Zambia, 4.68 km from Mukwikile'."/>
    <s v="Great North Road, Zambia, Muchinga Province, 4.68 km from Mukwikile"/>
    <n v="3"/>
  </r>
  <r>
    <n v="284"/>
    <x v="148"/>
    <d v="2026-02-25T13:08:44"/>
    <x v="23"/>
    <s v="MIKIDADI RASHIDI MGEZA"/>
    <s v="T600DTQ: Harsh braking has been activated. At 25.02.2026 13:08:44 it moved with speed 52 km/h near 'Rn39, Lualaba, Democratic Republic of the Congo, 2.93 km from Pumpi Route'."/>
    <s v="Rn39, Democratic Republic of the Congo, Lualaba, 2.93 km from Pumpi Route"/>
    <n v="4"/>
  </r>
  <r>
    <n v="285"/>
    <x v="149"/>
    <d v="2026-02-25T09:07:53"/>
    <x v="23"/>
    <s v="EMANUEL AGRICOLA MKENDA"/>
    <s v="T604DTQ: Harsh braking has been activated. At 25.02.2026 09:07:53 it moved with speed 52 km/h near 'Rn1, Haut-Katanga, Democratic Republic of the Congo, 4.05 km from Tshinsenda'."/>
    <s v="Rn1, Democratic Republic of the Congo, Haut-Katanga, 4.05 km from Tshinsenda"/>
    <n v="5"/>
  </r>
  <r>
    <n v="286"/>
    <x v="140"/>
    <d v="2026-02-25T09:30:09"/>
    <x v="23"/>
    <s v="KITUNDA HUSSEIN KUDEBA"/>
    <s v="T689DEB: Harsh braking has been activated. At 25.02.2026 09:30:09 it moved with speed 58 km/h near 'M3, Northern Province, Zambia, 1.26 km from Shikasenge'."/>
    <s v="M3, Zambia, Northern Province, 1.26 km from Shikasenge"/>
    <n v="3"/>
  </r>
  <r>
    <n v="287"/>
    <x v="44"/>
    <d v="2026-02-25T08:25:37"/>
    <x v="23"/>
    <s v="ISSACK KONRADI KASIANO"/>
    <s v="T868EBW: Harsh braking has been activated. At 25.02.2026 08:25:37 it moved with speed 52 km/h near 'Great North Road, Muchinga Province, Zambia, 1.14 km from Chinunda'."/>
    <s v="Great North Road, Zambia, Muchinga Province, 1.14 km from Chinunda"/>
    <n v="9"/>
  </r>
  <r>
    <n v="288"/>
    <x v="150"/>
    <d v="2026-02-25T07:20:20"/>
    <x v="23"/>
    <s v="TWAHIR RASHID MSAKA"/>
    <s v="T890EBW: Harsh braking has been activated. At 25.02.2026 07:20:20 it moved with speed 55 km/h near 'Great North Road, Central Province, Zambia, 9.67 km from Chifwefwe B'."/>
    <s v="Great North Road, Zambia, Central Province, 9.67 km from Chifwefwe B"/>
    <n v="6"/>
  </r>
  <r>
    <n v="289"/>
    <x v="35"/>
    <d v="2026-02-25T11:50:05"/>
    <x v="23"/>
    <s v="ELIBAS EZEKIEL KITUNGWA"/>
    <s v="T907EBW: Harsh braking has been activated. At 25.02.2026 11:50:05 it moved with speed 60 km/h near 'Ndola - Kitwe Dual-Carriageway, Copperbelt Province, Zambia, Ndola'."/>
    <s v="Ndola - Kitwe Dual-Carriageway, Zambia, Copperbelt Province, Ndola"/>
    <n v="3"/>
  </r>
  <r>
    <n v="290"/>
    <x v="151"/>
    <d v="2026-02-25T10:33:26"/>
    <x v="23"/>
    <s v="APOLO PETER MSIGWA"/>
    <s v="T945EBW: Harsh braking has been activated. At 25.02.2026 10:33:26 it moved with speed 57 km/h near 'Great North Road, Central Province, Zambia, 17.10 km from Muchinka'."/>
    <s v="Great North Road, Zambia, Central Province, 17.10 km from Muchinka"/>
    <n v="5"/>
  </r>
  <r>
    <n v="291"/>
    <x v="152"/>
    <d v="2026-02-26T07:23:34"/>
    <x v="24"/>
    <s v="ABDUL NASSORO SELEMANI"/>
    <s v="T259EBX: Harsh braking has been activated. At 26.02.2026 07:23:34 it moved with speed 54 km/h near 'Great North Road, Muchinga Province, Zambia, Kalonje'."/>
    <s v="Great North Road, Zambia, Muchinga Province, Kalonje"/>
    <n v="3"/>
  </r>
  <r>
    <n v="292"/>
    <x v="28"/>
    <d v="2026-02-26T12:55:09"/>
    <x v="24"/>
    <s v="HAMADI RASHID DOWILE"/>
    <s v="T392ECN: Harsh braking has been activated. At 26.02.2026 12:55:09 it moved with speed 60 km/h near 'Great North Road, Muchinga Province, Zambia, Chifumbula'."/>
    <s v="Great North Road, Zambia, Muchinga Province, Chifumbula"/>
    <n v="3"/>
  </r>
  <r>
    <n v="293"/>
    <x v="5"/>
    <d v="2026-02-26T10:19:36"/>
    <x v="24"/>
    <s v="RAJABU MOHAMED MATUA"/>
    <s v="T407DHE: Harsh braking has been activated. At 26.02.2026 10:19:36 it moved with speed 56 km/h near 'Great North Road, Central Province, Zambia, 5.70 km from Godfrey Kunda'."/>
    <s v="Great North Road, Zambia, Central Province, 5.70 km from Godfrey Kunda"/>
    <n v="3"/>
  </r>
  <r>
    <n v="294"/>
    <x v="153"/>
    <d v="2026-02-26T08:55:15"/>
    <x v="24"/>
    <s v="HASSAN MZEE BOHERO"/>
    <s v="T514EBY: Harsh braking has been activated. At 26.02.2026 08:55:15 it moved with speed 58 km/h near 'Great North Road, Muchinga Province, Zambia, 9.04 km from Mwezo'."/>
    <s v="Great North Road, Zambia, Muchinga Province, 9.04 km from Mwezo"/>
    <n v="3"/>
  </r>
  <r>
    <n v="295"/>
    <x v="154"/>
    <d v="2026-02-26T12:37:41"/>
    <x v="24"/>
    <s v="KELVIN JOSEPH MWAMI"/>
    <s v="T517EBY: Harsh braking has been activated. At 26.02.2026 12:37:41 it moved with speed 51 km/h near 'Great North Road, Central Province, Zambia, 16.64 km from Chitiwa'."/>
    <s v="Great North Road, Zambia, Central Province, 16.64 km from Chitiwa"/>
    <n v="10"/>
  </r>
  <r>
    <n v="296"/>
    <x v="88"/>
    <d v="2026-02-26T10:15:20"/>
    <x v="24"/>
    <s v="STEPHANO ABINELI ULOMI"/>
    <s v="T873EBY: Harsh braking has been activated. At 26.02.2026 10:15:20 it moved with speed 54 km/h near 'Nyerere Road, Dar es Salaam, Kiwalani Ward, Ilala, Dar es Salaam Region, Tanzania'."/>
    <s v="Dar es Salaam, Nyerere Road, Tanzania, Kiwalani Ward, Ilala, Dar es Salaam Region"/>
    <n v="3"/>
  </r>
  <r>
    <n v="297"/>
    <x v="155"/>
    <d v="2026-02-26T08:22:01"/>
    <x v="24"/>
    <s v="BOSCO BONIFACE KOMBA"/>
    <s v="T912EBW: Harsh braking has been activated. At 26.02.2026 08:22:01 it moved with speed 60 km/h near 'Great North Road, Muchinga Province, Zambia, 8.79 km from Godfrey Kunda'."/>
    <s v="Great North Road, Zambia, Muchinga Province, 8.79 km from Godfrey Kunda"/>
    <n v="3"/>
  </r>
  <r>
    <n v="298"/>
    <x v="154"/>
    <d v="2026-02-27T12:40:11"/>
    <x v="25"/>
    <s v="KELVIN JOSEPH MWAMI"/>
    <s v="T517EBY: Harsh braking has been activated. At 27.02.2026 12:40:11 it moved with speed 63 km/h near 'Great North Road, Muchinga Province, Zambia, 5.43 km from Chisoso'."/>
    <s v="Great North Road, Zambia, Muchinga Province, 5.43 km from Chisoso"/>
    <n v="6"/>
  </r>
  <r>
    <n v="299"/>
    <x v="55"/>
    <d v="2026-02-27T09:48:49"/>
    <x v="25"/>
    <s v="MRISHO WAZIRI ALLY"/>
    <s v="T568DYR: Harsh braking has been activated. At 27.02.2026 09:48:49 it moved with speed 53 km/h near 'T3, Copperbelt Province, Zambia, 18.27 km from Tonde'."/>
    <s v="T3, Zambia, Copperbelt Province, 18.27 km from Tonde"/>
    <n v="8"/>
  </r>
  <r>
    <n v="300"/>
    <x v="156"/>
    <d v="2026-02-27T11:51:35"/>
    <x v="25"/>
    <s v="MATHIAS ISDORY MGOMBE"/>
    <s v="T586DYR: Harsh braking has been activated. At 27.02.2026 11:51:35 it moved with speed 54 km/h near 'Rn1, Haut-Katanga, Democratic Republic of the Congo, 17.60 km from Lwisha'."/>
    <s v="Rn1, Democratic Republic of the Congo, Haut-Katanga, 17.60 km from Lwisha"/>
    <n v="3"/>
  </r>
  <r>
    <n v="301"/>
    <x v="157"/>
    <d v="2026-02-27T18:43:54"/>
    <x v="25"/>
    <s v="DAUDI ISSA NJUMITE"/>
    <s v="T638DHL: Harsh braking has been activated. At 27.02.2026 18:43:54 it moved with speed 51 km/h near 'Great North Road, Muchinga Province, Zambia, 5.17 km from Kalonje'."/>
    <s v="Great North Road, Zambia, Muchinga Province, 5.17 km from Kalonje"/>
    <n v="4"/>
  </r>
  <r>
    <n v="302"/>
    <x v="158"/>
    <d v="2026-02-27T11:43:01"/>
    <x v="25"/>
    <s v="ZUBERI HATIBU MJAHIDI"/>
    <s v="T768EBW: Harsh braking has been activated. At 27.02.2026 11:43:01 it moved with speed 54 km/h near 'Great North Road, Central Province, Zambia, 5.40 km from Manjolo'."/>
    <s v="Great North Road, Zambia, Central Province, 5.40 km from Manjolo"/>
    <n v="6"/>
  </r>
  <r>
    <n v="303"/>
    <x v="57"/>
    <d v="2026-02-27T07:29:58"/>
    <x v="25"/>
    <s v="ABDALLAH BAKARI ABDALLAH"/>
    <s v="T793EBW: Harsh braking has been activated. At 27.02.2026 07:29:58 it moved with speed 57 km/h near 'T3, Ndola, Copperbelt Province, Zambia'."/>
    <s v="Ndola, T3, Zambia, Copperbelt Province"/>
    <n v="3"/>
  </r>
  <r>
    <n v="304"/>
    <x v="159"/>
    <d v="2026-02-28T08:49:09"/>
    <x v="26"/>
    <s v="ISMAIL NASSORO SAID"/>
    <s v="T425DHG: Harsh braking has been activated. At 28.02.2026 08:49:09 it moved with speed 53 km/h near 'T3, Copperbelt Province, Zambia, 52.98 km from Ndola'."/>
    <s v="T3, Zambia, Copperbelt Province, 52.98 km from Ndola"/>
    <n v="5"/>
  </r>
  <r>
    <n v="305"/>
    <x v="160"/>
    <d v="2026-02-28T13:48:58"/>
    <x v="26"/>
    <s v="OTHUMAN SALUM MSIKA"/>
    <s v="T435DHG: Harsh braking has been activated. At 28.02.2026 13:48:58 it moved with speed 55 km/h near 'Ipolo, Utengule Usangu Ward, Mbarali DC, Mbeya Region, Tanzania'."/>
    <s v="Ipolo, Tanzania, Utengule Usangu Ward, Mbarali DC, Mbeya Region"/>
    <n v="3"/>
  </r>
  <r>
    <n v="306"/>
    <x v="161"/>
    <d v="2026-02-28T13:24:00"/>
    <x v="26"/>
    <s v="MOHAMED SELEMANI LUZUA"/>
    <s v="T511EBY: Harsh braking has been activated. At 28.02.2026 13:24:00 it moved with speed 62 km/h near 'Rn1, Haut-Katanga, Democratic Republic of the Congo, 2.09 km from Dikula'."/>
    <s v="Rn1, Democratic Republic of the Congo, Haut-Katanga, 2.09 km from Dikula"/>
    <n v="3"/>
  </r>
  <r>
    <n v="307"/>
    <x v="74"/>
    <d v="2026-02-28T06:42:05"/>
    <x v="26"/>
    <s v="MADENGE SALUM SHOMARI"/>
    <s v="T892EBW: Harsh braking has been activated. At 28.02.2026 06:42:05 it moved with speed 65 km/h near 'Wenda, Mseke Ward, Iringa DC, Iringa Region, Tanzania'."/>
    <s v="Wenda, Tanzania, Mseke Ward, Iringa DC, Iringa Region"/>
    <n v="6"/>
  </r>
  <r>
    <n v="308"/>
    <x v="36"/>
    <d v="2026-02-28T07:34:15"/>
    <x v="26"/>
    <s v="GODFREY FRANK MBOJA"/>
    <s v="T915EBW: Harsh braking has been activated. At 28.02.2026 07:34:15 it moved with speed 63 km/h near 'Rn39, Lualaba, Democratic Republic of the Congo, 1.34 km from Kampulu'."/>
    <s v="Rn39, Democratic Republic of the Congo, Lualaba, 1.34 km from Kampulu"/>
    <n v="4"/>
  </r>
  <r>
    <n v="309"/>
    <x v="69"/>
    <d v="2026-02-28T13:32:02"/>
    <x v="26"/>
    <s v="OMARI ATHUMANI SELEMANI"/>
    <s v="T930EBW: Harsh braking has been activated. At 28.02.2026 13:32:02 it moved with speed 56 km/h near 'Kidayi 'A', Malolo Ward, Kilosa DC, Morogoro Region, Tanzania'."/>
    <s v="Kidayi 'A', Tanzania, Malolo Ward, Kilosa DC, Morogoro Region"/>
    <n v="3"/>
  </r>
  <r>
    <n v="310"/>
    <x v="162"/>
    <d v="2026-02-28T10:06:39"/>
    <x v="26"/>
    <s v="SAMSONI JOSEPH USEGA"/>
    <s v="T952DSX: Harsh braking has been activated. At 28.02.2026 10:06:39 it moved with speed 62 km/h near 'Great North Road, Muchinga Province, Zambia, 10.01 km from Isoka'."/>
    <s v="Great North Road, Zambia, Muchinga Province, 10.01 km from Isoka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L9" firstHeaderRow="1" firstDataRow="2" firstDataCol="1" rowPageCount="1" colPageCount="1"/>
  <pivotFields count="12">
    <pivotField axis="axisRow" showAll="0">
      <items count="236">
        <item m="1" x="234"/>
        <item m="1" x="86"/>
        <item m="1" x="111"/>
        <item m="1" x="113"/>
        <item x="45"/>
        <item x="26"/>
        <item x="52"/>
        <item m="1" x="117"/>
        <item m="1" x="231"/>
        <item m="1" x="232"/>
        <item m="1" x="149"/>
        <item m="1" x="233"/>
        <item m="1" x="161"/>
        <item m="1" x="87"/>
        <item m="1" x="88"/>
        <item m="1" x="89"/>
        <item m="1" x="90"/>
        <item m="1" x="91"/>
        <item m="1" x="92"/>
        <item m="1" x="93"/>
        <item m="1" x="94"/>
        <item m="1" x="95"/>
        <item x="29"/>
        <item m="1" x="96"/>
        <item m="1" x="97"/>
        <item m="1" x="98"/>
        <item m="1" x="99"/>
        <item m="1" x="100"/>
        <item m="1" x="101"/>
        <item x="13"/>
        <item m="1" x="102"/>
        <item m="1" x="103"/>
        <item m="1" x="104"/>
        <item m="1" x="105"/>
        <item m="1" x="106"/>
        <item m="1" x="107"/>
        <item x="15"/>
        <item x="71"/>
        <item m="1" x="81"/>
        <item m="1" x="108"/>
        <item x="18"/>
        <item m="1" x="109"/>
        <item m="1" x="110"/>
        <item x="17"/>
        <item x="20"/>
        <item m="1" x="112"/>
        <item m="1" x="114"/>
        <item m="1" x="115"/>
        <item m="1" x="116"/>
        <item m="1" x="118"/>
        <item m="1" x="119"/>
        <item m="1" x="120"/>
        <item m="1" x="121"/>
        <item m="1" x="122"/>
        <item m="1" x="123"/>
        <item m="1" x="124"/>
        <item x="21"/>
        <item m="1" x="125"/>
        <item m="1" x="76"/>
        <item m="1" x="126"/>
        <item m="1" x="127"/>
        <item x="53"/>
        <item x="38"/>
        <item m="1" x="128"/>
        <item x="3"/>
        <item m="1" x="129"/>
        <item m="1" x="130"/>
        <item x="22"/>
        <item m="1" x="131"/>
        <item m="1" x="132"/>
        <item m="1" x="133"/>
        <item m="1" x="134"/>
        <item m="1" x="135"/>
        <item m="1" x="136"/>
        <item m="1" x="137"/>
        <item x="62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x="10"/>
        <item m="1" x="78"/>
        <item m="1" x="148"/>
        <item m="1" x="150"/>
        <item m="1" x="151"/>
        <item m="1" x="152"/>
        <item m="1" x="153"/>
        <item m="1" x="154"/>
        <item x="65"/>
        <item m="1" x="155"/>
        <item x="14"/>
        <item m="1" x="156"/>
        <item m="1" x="157"/>
        <item m="1" x="158"/>
        <item x="31"/>
        <item m="1" x="159"/>
        <item m="1" x="160"/>
        <item m="1" x="162"/>
        <item x="72"/>
        <item x="5"/>
        <item m="1" x="163"/>
        <item m="1" x="164"/>
        <item x="23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x="69"/>
        <item x="70"/>
        <item m="1" x="184"/>
        <item m="1" x="185"/>
        <item m="1" x="186"/>
        <item x="12"/>
        <item m="1" x="187"/>
        <item m="1" x="188"/>
        <item m="1" x="189"/>
        <item m="1" x="190"/>
        <item x="2"/>
        <item x="46"/>
        <item m="1" x="191"/>
        <item m="1" x="192"/>
        <item m="1" x="193"/>
        <item x="37"/>
        <item m="1" x="194"/>
        <item m="1" x="195"/>
        <item x="40"/>
        <item m="1" x="196"/>
        <item m="1" x="197"/>
        <item m="1" x="198"/>
        <item m="1" x="199"/>
        <item m="1" x="85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x="60"/>
        <item m="1" x="209"/>
        <item m="1" x="210"/>
        <item m="1" x="211"/>
        <item m="1" x="212"/>
        <item m="1" x="227"/>
        <item m="1" x="228"/>
        <item m="1" x="213"/>
        <item m="1" x="229"/>
        <item x="16"/>
        <item x="9"/>
        <item m="1" x="230"/>
        <item m="1" x="222"/>
        <item m="1" x="223"/>
        <item m="1" x="224"/>
        <item m="1" x="225"/>
        <item m="1" x="226"/>
        <item m="1" x="214"/>
        <item m="1" x="215"/>
        <item m="1" x="216"/>
        <item m="1" x="217"/>
        <item m="1" x="218"/>
        <item m="1" x="219"/>
        <item m="1" x="220"/>
        <item m="1" x="221"/>
        <item x="0"/>
        <item x="1"/>
        <item x="4"/>
        <item x="6"/>
        <item x="7"/>
        <item x="8"/>
        <item m="1" x="84"/>
        <item x="11"/>
        <item x="19"/>
        <item x="24"/>
        <item x="25"/>
        <item x="27"/>
        <item x="28"/>
        <item x="30"/>
        <item x="32"/>
        <item x="33"/>
        <item x="34"/>
        <item x="35"/>
        <item x="36"/>
        <item x="39"/>
        <item x="41"/>
        <item x="42"/>
        <item x="43"/>
        <item x="44"/>
        <item m="1" x="83"/>
        <item x="47"/>
        <item m="1" x="79"/>
        <item x="48"/>
        <item x="49"/>
        <item x="50"/>
        <item m="1" x="80"/>
        <item m="1" x="82"/>
        <item x="51"/>
        <item x="54"/>
        <item x="55"/>
        <item x="56"/>
        <item x="57"/>
        <item x="58"/>
        <item x="59"/>
        <item m="1" x="77"/>
        <item x="61"/>
        <item x="63"/>
        <item x="64"/>
        <item x="66"/>
        <item x="67"/>
        <item x="68"/>
        <item m="1" x="75"/>
        <item x="73"/>
        <item x="74"/>
        <item t="default"/>
      </items>
    </pivotField>
    <pivotField showAll="0"/>
    <pivotField showAll="0"/>
    <pivotField showAll="0"/>
    <pivotField showAll="0"/>
    <pivotField axis="axisPage" showAll="0">
      <items count="79">
        <item m="1" x="77"/>
        <item m="1" x="26"/>
        <item m="1" x="27"/>
        <item m="1" x="28"/>
        <item m="1" x="29"/>
        <item m="1" x="30"/>
        <item m="1" x="31"/>
        <item m="1" x="32"/>
        <item m="1" x="76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numFmtId="168" showAll="0"/>
    <pivotField axis="axisCol" dataField="1" showAll="0">
      <items count="7">
        <item x="0"/>
        <item x="1"/>
        <item m="1" x="4"/>
        <item m="1" x="5"/>
        <item m="1" x="3"/>
        <item x="2"/>
        <item t="default"/>
      </items>
    </pivotField>
  </pivotFields>
  <rowFields count="1">
    <field x="0"/>
  </rowFields>
  <rowItems count="5">
    <i>
      <x v="104"/>
    </i>
    <i>
      <x v="129"/>
    </i>
    <i>
      <x v="233"/>
    </i>
    <i>
      <x v="234"/>
    </i>
    <i t="grand">
      <x/>
    </i>
  </rowItems>
  <colFields count="1">
    <field x="11"/>
  </colFields>
  <colItems count="2">
    <i>
      <x/>
    </i>
    <i t="grand">
      <x/>
    </i>
  </colItems>
  <pageFields count="1">
    <pageField fld="5" item="77" hier="-1"/>
  </pageFields>
  <dataFields count="1">
    <dataField name="Count of Offense" fld="1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3" firstHeaderRow="1" firstDataRow="1" firstDataCol="1" rowPageCount="1" colPageCount="1"/>
  <pivotFields count="9">
    <pivotField showAll="0"/>
    <pivotField axis="axisRow" showAll="0">
      <items count="138">
        <item m="1" x="112"/>
        <item x="32"/>
        <item m="1" x="113"/>
        <item m="1" x="108"/>
        <item x="1"/>
        <item x="58"/>
        <item m="1" x="106"/>
        <item m="1" x="85"/>
        <item x="4"/>
        <item m="1" x="87"/>
        <item m="1" x="84"/>
        <item m="1" x="114"/>
        <item x="12"/>
        <item m="1" x="97"/>
        <item x="14"/>
        <item x="50"/>
        <item m="1" x="90"/>
        <item x="33"/>
        <item x="5"/>
        <item m="1" x="98"/>
        <item m="1" x="91"/>
        <item m="1" x="101"/>
        <item m="1" x="107"/>
        <item m="1" x="94"/>
        <item m="1" x="95"/>
        <item x="51"/>
        <item m="1" x="102"/>
        <item m="1" x="93"/>
        <item m="1" x="115"/>
        <item x="29"/>
        <item x="71"/>
        <item x="31"/>
        <item x="37"/>
        <item m="1" x="96"/>
        <item m="1" x="88"/>
        <item x="15"/>
        <item x="21"/>
        <item m="1" x="86"/>
        <item x="22"/>
        <item m="1" x="110"/>
        <item m="1" x="103"/>
        <item x="39"/>
        <item m="1" x="99"/>
        <item x="75"/>
        <item m="1" x="92"/>
        <item m="1" x="104"/>
        <item m="1" x="111"/>
        <item x="56"/>
        <item x="25"/>
        <item x="46"/>
        <item x="16"/>
        <item m="1" x="89"/>
        <item m="1" x="105"/>
        <item m="1" x="109"/>
        <item x="77"/>
        <item m="1" x="116"/>
        <item m="1" x="100"/>
        <item x="47"/>
        <item x="27"/>
        <item m="1" x="117"/>
        <item x="43"/>
        <item m="1" x="118"/>
        <item x="66"/>
        <item x="9"/>
        <item x="7"/>
        <item x="19"/>
        <item m="1" x="119"/>
        <item m="1" x="120"/>
        <item m="1" x="121"/>
        <item x="64"/>
        <item x="48"/>
        <item x="23"/>
        <item m="1" x="122"/>
        <item m="1" x="123"/>
        <item m="1" x="124"/>
        <item m="1" x="125"/>
        <item x="70"/>
        <item x="72"/>
        <item m="1" x="126"/>
        <item m="1" x="127"/>
        <item x="8"/>
        <item m="1" x="128"/>
        <item x="18"/>
        <item m="1" x="129"/>
        <item m="1" x="130"/>
        <item m="1" x="131"/>
        <item m="1" x="132"/>
        <item m="1" x="133"/>
        <item x="26"/>
        <item x="17"/>
        <item m="1" x="134"/>
        <item m="1" x="135"/>
        <item m="1" x="136"/>
        <item x="3"/>
        <item x="0"/>
        <item x="2"/>
        <item x="6"/>
        <item x="10"/>
        <item x="11"/>
        <item x="13"/>
        <item x="20"/>
        <item x="24"/>
        <item x="28"/>
        <item x="30"/>
        <item x="34"/>
        <item x="35"/>
        <item x="36"/>
        <item x="38"/>
        <item x="40"/>
        <item x="41"/>
        <item x="42"/>
        <item x="44"/>
        <item x="45"/>
        <item x="49"/>
        <item x="52"/>
        <item x="53"/>
        <item x="54"/>
        <item x="55"/>
        <item x="57"/>
        <item x="59"/>
        <item x="60"/>
        <item x="61"/>
        <item x="62"/>
        <item x="63"/>
        <item x="65"/>
        <item x="67"/>
        <item x="68"/>
        <item x="69"/>
        <item x="73"/>
        <item x="74"/>
        <item x="76"/>
        <item x="78"/>
        <item x="79"/>
        <item x="80"/>
        <item x="81"/>
        <item x="82"/>
        <item x="83"/>
        <item t="default"/>
      </items>
    </pivotField>
    <pivotField showAll="0"/>
    <pivotField axis="axisPage" showAll="0">
      <items count="60"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m="1" x="2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10">
    <i>
      <x v="14"/>
    </i>
    <i>
      <x v="49"/>
    </i>
    <i>
      <x v="64"/>
    </i>
    <i>
      <x v="99"/>
    </i>
    <i>
      <x v="122"/>
    </i>
    <i>
      <x v="133"/>
    </i>
    <i>
      <x v="134"/>
    </i>
    <i>
      <x v="135"/>
    </i>
    <i>
      <x v="136"/>
    </i>
    <i t="grand">
      <x/>
    </i>
  </rowItems>
  <colItems count="1">
    <i/>
  </colItems>
  <pageFields count="1">
    <pageField fld="3" item="58" hier="-1"/>
  </pageFields>
  <dataFields count="1">
    <dataField name="Sum of Count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 rowPageCount="1" colPageCount="1"/>
  <pivotFields count="8">
    <pivotField showAll="0"/>
    <pivotField axis="axisRow" showAll="0">
      <items count="540">
        <item x="258"/>
        <item x="343"/>
        <item x="76"/>
        <item x="259"/>
        <item x="392"/>
        <item m="1" x="491"/>
        <item x="290"/>
        <item x="14"/>
        <item x="365"/>
        <item x="171"/>
        <item x="367"/>
        <item m="1" x="458"/>
        <item x="334"/>
        <item x="18"/>
        <item m="1" x="508"/>
        <item x="245"/>
        <item x="101"/>
        <item x="124"/>
        <item x="36"/>
        <item x="39"/>
        <item x="42"/>
        <item x="127"/>
        <item x="408"/>
        <item x="337"/>
        <item x="423"/>
        <item x="132"/>
        <item m="1" x="535"/>
        <item x="437"/>
        <item x="49"/>
        <item m="1" x="538"/>
        <item x="188"/>
        <item m="1" x="504"/>
        <item x="94"/>
        <item x="340"/>
        <item x="227"/>
        <item x="56"/>
        <item x="134"/>
        <item x="108"/>
        <item x="399"/>
        <item x="438"/>
        <item x="374"/>
        <item x="271"/>
        <item x="256"/>
        <item x="159"/>
        <item x="199"/>
        <item x="403"/>
        <item x="41"/>
        <item x="30"/>
        <item m="1" x="464"/>
        <item x="351"/>
        <item x="300"/>
        <item m="1" x="506"/>
        <item m="1" x="452"/>
        <item m="1" x="537"/>
        <item x="267"/>
        <item x="61"/>
        <item x="51"/>
        <item x="313"/>
        <item x="444"/>
        <item m="1" x="494"/>
        <item x="84"/>
        <item x="189"/>
        <item m="1" x="451"/>
        <item x="274"/>
        <item x="162"/>
        <item x="210"/>
        <item m="1" x="528"/>
        <item x="59"/>
        <item m="1" x="463"/>
        <item x="228"/>
        <item x="0"/>
        <item x="295"/>
        <item x="336"/>
        <item x="211"/>
        <item x="381"/>
        <item x="214"/>
        <item m="1" x="446"/>
        <item x="143"/>
        <item m="1" x="487"/>
        <item x="202"/>
        <item m="1" x="520"/>
        <item x="148"/>
        <item m="1" x="521"/>
        <item x="410"/>
        <item m="1" x="489"/>
        <item x="400"/>
        <item m="1" x="477"/>
        <item x="279"/>
        <item x="206"/>
        <item x="353"/>
        <item m="1" x="522"/>
        <item x="327"/>
        <item x="432"/>
        <item m="1" x="459"/>
        <item x="344"/>
        <item x="421"/>
        <item x="176"/>
        <item x="93"/>
        <item m="1" x="470"/>
        <item x="424"/>
        <item x="427"/>
        <item m="1" x="510"/>
        <item m="1" x="505"/>
        <item x="207"/>
        <item x="20"/>
        <item m="1" x="511"/>
        <item x="422"/>
        <item x="306"/>
        <item x="299"/>
        <item x="185"/>
        <item x="249"/>
        <item x="186"/>
        <item x="358"/>
        <item x="141"/>
        <item x="112"/>
        <item x="201"/>
        <item x="115"/>
        <item x="278"/>
        <item x="393"/>
        <item m="1" x="523"/>
        <item x="280"/>
        <item x="419"/>
        <item x="13"/>
        <item x="170"/>
        <item m="1" x="507"/>
        <item x="370"/>
        <item x="371"/>
        <item x="181"/>
        <item m="1" x="448"/>
        <item x="213"/>
        <item x="45"/>
        <item x="91"/>
        <item x="153"/>
        <item x="384"/>
        <item x="60"/>
        <item x="96"/>
        <item x="433"/>
        <item x="195"/>
        <item x="196"/>
        <item m="1" x="467"/>
        <item x="391"/>
        <item m="1" x="524"/>
        <item x="288"/>
        <item x="315"/>
        <item m="1" x="525"/>
        <item x="118"/>
        <item x="289"/>
        <item x="223"/>
        <item x="350"/>
        <item x="122"/>
        <item x="174"/>
        <item m="1" x="526"/>
        <item x="354"/>
        <item x="151"/>
        <item x="323"/>
        <item x="307"/>
        <item x="47"/>
        <item x="375"/>
        <item x="388"/>
        <item m="1" x="469"/>
        <item m="1" x="527"/>
        <item x="75"/>
        <item m="1" x="480"/>
        <item x="345"/>
        <item x="167"/>
        <item x="78"/>
        <item m="1" x="492"/>
        <item x="120"/>
        <item x="380"/>
        <item x="26"/>
        <item x="225"/>
        <item m="1" x="461"/>
        <item x="106"/>
        <item x="88"/>
        <item x="356"/>
        <item x="310"/>
        <item x="154"/>
        <item x="155"/>
        <item m="1" x="516"/>
        <item x="231"/>
        <item x="273"/>
        <item x="220"/>
        <item x="329"/>
        <item x="71"/>
        <item x="441"/>
        <item x="364"/>
        <item m="1" x="482"/>
        <item x="396"/>
        <item x="16"/>
        <item x="244"/>
        <item x="263"/>
        <item x="38"/>
        <item m="1" x="519"/>
        <item x="86"/>
        <item x="251"/>
        <item x="254"/>
        <item x="138"/>
        <item x="68"/>
        <item x="402"/>
        <item m="1" x="513"/>
        <item x="161"/>
        <item x="1"/>
        <item x="221"/>
        <item x="348"/>
        <item m="1" x="529"/>
        <item x="261"/>
        <item x="175"/>
        <item x="99"/>
        <item x="296"/>
        <item x="442"/>
        <item x="416"/>
        <item x="89"/>
        <item m="1" x="462"/>
        <item x="54"/>
        <item x="253"/>
        <item x="302"/>
        <item x="270"/>
        <item x="156"/>
        <item x="111"/>
        <item x="272"/>
        <item x="194"/>
        <item x="360"/>
        <item x="144"/>
        <item x="198"/>
        <item x="98"/>
        <item m="1" x="473"/>
        <item x="291"/>
        <item m="1" x="530"/>
        <item x="121"/>
        <item m="1" x="488"/>
        <item x="379"/>
        <item m="1" x="496"/>
        <item x="17"/>
        <item x="177"/>
        <item m="1" x="531"/>
        <item x="209"/>
        <item x="35"/>
        <item x="322"/>
        <item x="297"/>
        <item x="87"/>
        <item x="265"/>
        <item x="298"/>
        <item m="1" x="460"/>
        <item x="308"/>
        <item x="411"/>
        <item x="52"/>
        <item x="219"/>
        <item x="58"/>
        <item m="1" x="532"/>
        <item x="230"/>
        <item x="359"/>
        <item x="139"/>
        <item x="387"/>
        <item x="233"/>
        <item x="234"/>
        <item m="1" x="472"/>
        <item x="145"/>
        <item x="275"/>
        <item x="332"/>
        <item x="12"/>
        <item x="242"/>
        <item x="224"/>
        <item x="15"/>
        <item m="1" x="533"/>
        <item x="383"/>
        <item x="286"/>
        <item x="55"/>
        <item x="169"/>
        <item x="25"/>
        <item x="126"/>
        <item x="43"/>
        <item x="326"/>
        <item m="1" x="475"/>
        <item x="361"/>
        <item x="425"/>
        <item x="277"/>
        <item x="239"/>
        <item x="4"/>
        <item x="6"/>
        <item m="1" x="449"/>
        <item x="428"/>
        <item x="19"/>
        <item x="82"/>
        <item x="321"/>
        <item x="129"/>
        <item x="46"/>
        <item m="1" x="500"/>
        <item x="436"/>
        <item x="184"/>
        <item x="284"/>
        <item x="339"/>
        <item x="373"/>
        <item m="1" x="450"/>
        <item x="110"/>
        <item x="63"/>
        <item x="67"/>
        <item m="1" x="481"/>
        <item x="276"/>
        <item x="74"/>
        <item x="426"/>
        <item x="314"/>
        <item x="240"/>
        <item x="165"/>
        <item x="241"/>
        <item x="205"/>
        <item x="222"/>
        <item m="1" x="455"/>
        <item x="147"/>
        <item x="11"/>
        <item x="294"/>
        <item x="22"/>
        <item x="24"/>
        <item x="179"/>
        <item m="1" x="445"/>
        <item x="37"/>
        <item x="105"/>
        <item x="283"/>
        <item x="131"/>
        <item m="1" x="468"/>
        <item m="1" x="447"/>
        <item x="357"/>
        <item x="439"/>
        <item x="386"/>
        <item m="1" x="509"/>
        <item x="390"/>
        <item x="70"/>
        <item x="434"/>
        <item x="146"/>
        <item x="163"/>
        <item x="318"/>
        <item x="28"/>
        <item x="180"/>
        <item m="1" x="474"/>
        <item x="83"/>
        <item x="130"/>
        <item x="217"/>
        <item x="309"/>
        <item x="64"/>
        <item x="232"/>
        <item x="235"/>
        <item x="73"/>
        <item x="204"/>
        <item x="435"/>
        <item x="304"/>
        <item x="90"/>
        <item m="1" x="501"/>
        <item x="404"/>
        <item x="2"/>
        <item x="3"/>
        <item x="77"/>
        <item x="116"/>
        <item x="117"/>
        <item x="352"/>
        <item x="29"/>
        <item x="40"/>
        <item x="355"/>
        <item x="248"/>
        <item x="212"/>
        <item x="48"/>
        <item m="1" x="490"/>
        <item x="10"/>
        <item x="333"/>
        <item x="378"/>
        <item x="208"/>
        <item x="320"/>
        <item m="1" x="456"/>
        <item x="301"/>
        <item x="95"/>
        <item x="193"/>
        <item m="1" x="479"/>
        <item x="237"/>
        <item m="1" x="534"/>
        <item x="8"/>
        <item x="262"/>
        <item x="33"/>
        <item x="190"/>
        <item x="69"/>
        <item x="168"/>
        <item x="398"/>
        <item x="409"/>
        <item m="1" x="517"/>
        <item x="252"/>
        <item x="269"/>
        <item x="362"/>
        <item x="405"/>
        <item x="346"/>
        <item m="1" x="466"/>
        <item x="172"/>
        <item x="173"/>
        <item x="281"/>
        <item x="246"/>
        <item x="178"/>
        <item x="182"/>
        <item x="372"/>
        <item m="1" x="536"/>
        <item x="325"/>
        <item x="268"/>
        <item x="376"/>
        <item x="414"/>
        <item m="1" x="476"/>
        <item x="397"/>
        <item x="104"/>
        <item m="1" x="495"/>
        <item x="187"/>
        <item x="192"/>
        <item x="292"/>
        <item m="1" x="497"/>
        <item x="34"/>
        <item x="197"/>
        <item m="1" x="498"/>
        <item x="317"/>
        <item x="260"/>
        <item x="23"/>
        <item x="81"/>
        <item x="44"/>
        <item x="417"/>
        <item x="324"/>
        <item m="1" x="499"/>
        <item x="216"/>
        <item x="430"/>
        <item x="218"/>
        <item x="53"/>
        <item x="401"/>
        <item m="1" x="485"/>
        <item x="331"/>
        <item x="366"/>
        <item x="342"/>
        <item x="97"/>
        <item m="1" x="454"/>
        <item m="1" x="502"/>
        <item x="150"/>
        <item x="32"/>
        <item x="125"/>
        <item x="226"/>
        <item x="62"/>
        <item x="113"/>
        <item x="349"/>
        <item x="149"/>
        <item x="293"/>
        <item x="57"/>
        <item x="135"/>
        <item x="109"/>
        <item m="1" x="465"/>
        <item x="137"/>
        <item x="140"/>
        <item m="1" x="503"/>
        <item x="377"/>
        <item x="166"/>
        <item x="406"/>
        <item m="1" x="486"/>
        <item x="415"/>
        <item x="128"/>
        <item x="238"/>
        <item m="1" x="457"/>
        <item m="1" x="493"/>
        <item x="65"/>
        <item x="157"/>
        <item x="236"/>
        <item x="7"/>
        <item x="305"/>
        <item x="119"/>
        <item x="247"/>
        <item x="341"/>
        <item x="142"/>
        <item x="413"/>
        <item x="100"/>
        <item x="319"/>
        <item m="1" x="478"/>
        <item x="72"/>
        <item x="79"/>
        <item x="266"/>
        <item x="285"/>
        <item x="412"/>
        <item x="50"/>
        <item x="107"/>
        <item x="114"/>
        <item x="160"/>
        <item x="368"/>
        <item x="152"/>
        <item x="215"/>
        <item m="1" x="484"/>
        <item x="92"/>
        <item x="385"/>
        <item x="287"/>
        <item x="257"/>
        <item m="1" x="512"/>
        <item x="9"/>
        <item m="1" x="514"/>
        <item m="1" x="515"/>
        <item x="429"/>
        <item x="250"/>
        <item x="431"/>
        <item x="363"/>
        <item x="103"/>
        <item x="418"/>
        <item x="80"/>
        <item x="85"/>
        <item m="1" x="518"/>
        <item x="158"/>
        <item x="443"/>
        <item x="330"/>
        <item x="66"/>
        <item x="394"/>
        <item x="420"/>
        <item x="282"/>
        <item x="102"/>
        <item x="183"/>
        <item x="338"/>
        <item x="311"/>
        <item x="255"/>
        <item x="200"/>
        <item x="303"/>
        <item x="243"/>
        <item x="347"/>
        <item x="328"/>
        <item m="1" x="471"/>
        <item x="27"/>
        <item x="264"/>
        <item x="191"/>
        <item m="1" x="453"/>
        <item x="136"/>
        <item x="5"/>
        <item x="312"/>
        <item x="389"/>
        <item x="369"/>
        <item x="407"/>
        <item x="31"/>
        <item x="229"/>
        <item x="440"/>
        <item x="316"/>
        <item m="1" x="483"/>
        <item x="21"/>
        <item x="123"/>
        <item x="133"/>
        <item x="164"/>
        <item x="203"/>
        <item x="335"/>
        <item x="382"/>
        <item x="395"/>
        <item t="default"/>
      </items>
    </pivotField>
    <pivotField showAll="0"/>
    <pivotField axis="axisPage" showAll="0">
      <items count="117">
        <item m="1" x="113"/>
        <item m="1" x="114"/>
        <item m="1" x="115"/>
        <item m="1" x="111"/>
        <item m="1" x="112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35">
    <i>
      <x v="16"/>
    </i>
    <i>
      <x v="21"/>
    </i>
    <i>
      <x v="32"/>
    </i>
    <i>
      <x v="46"/>
    </i>
    <i>
      <x v="50"/>
    </i>
    <i>
      <x v="55"/>
    </i>
    <i>
      <x v="58"/>
    </i>
    <i>
      <x v="100"/>
    </i>
    <i>
      <x v="135"/>
    </i>
    <i>
      <x v="150"/>
    </i>
    <i>
      <x v="181"/>
    </i>
    <i>
      <x v="188"/>
    </i>
    <i>
      <x v="209"/>
    </i>
    <i>
      <x v="216"/>
    </i>
    <i>
      <x v="271"/>
    </i>
    <i>
      <x v="288"/>
    </i>
    <i>
      <x v="290"/>
    </i>
    <i>
      <x v="294"/>
    </i>
    <i>
      <x v="298"/>
    </i>
    <i>
      <x v="309"/>
    </i>
    <i>
      <x v="314"/>
    </i>
    <i>
      <x v="315"/>
    </i>
    <i>
      <x v="375"/>
    </i>
    <i>
      <x v="410"/>
    </i>
    <i>
      <x v="413"/>
    </i>
    <i>
      <x v="418"/>
    </i>
    <i>
      <x v="424"/>
    </i>
    <i>
      <x v="434"/>
    </i>
    <i>
      <x v="435"/>
    </i>
    <i>
      <x v="465"/>
    </i>
    <i>
      <x v="496"/>
    </i>
    <i>
      <x v="499"/>
    </i>
    <i>
      <x v="521"/>
    </i>
    <i>
      <x v="533"/>
    </i>
    <i t="grand">
      <x/>
    </i>
  </rowItems>
  <colItems count="1">
    <i/>
  </colItems>
  <pageFields count="1">
    <pageField fld="3" item="115" hier="-1"/>
  </pageFields>
  <dataFields count="1">
    <dataField name="Sum of NO OF EVENTS" fld="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CK NO">
  <location ref="D3:E11" firstHeaderRow="1" firstDataRow="1" firstDataCol="1" rowPageCount="1" colPageCount="1"/>
  <pivotFields count="8">
    <pivotField showAll="0"/>
    <pivotField axis="axisRow" showAll="0">
      <items count="371">
        <item m="1" x="176"/>
        <item m="1" x="273"/>
        <item m="1" x="226"/>
        <item m="1" x="295"/>
        <item x="119"/>
        <item m="1" x="209"/>
        <item m="1" x="365"/>
        <item x="128"/>
        <item x="92"/>
        <item m="1" x="359"/>
        <item x="11"/>
        <item m="1" x="360"/>
        <item x="51"/>
        <item m="1" x="334"/>
        <item m="1" x="366"/>
        <item m="1" x="361"/>
        <item m="1" x="255"/>
        <item m="1" x="164"/>
        <item x="39"/>
        <item x="4"/>
        <item m="1" x="214"/>
        <item x="13"/>
        <item x="77"/>
        <item x="141"/>
        <item x="129"/>
        <item m="1" x="184"/>
        <item x="107"/>
        <item m="1" x="367"/>
        <item m="1" x="233"/>
        <item m="1" x="310"/>
        <item m="1" x="168"/>
        <item m="1" x="218"/>
        <item m="1" x="342"/>
        <item x="142"/>
        <item m="1" x="236"/>
        <item m="1" x="258"/>
        <item m="1" x="368"/>
        <item x="86"/>
        <item x="16"/>
        <item x="109"/>
        <item m="1" x="201"/>
        <item m="1" x="198"/>
        <item m="1" x="332"/>
        <item m="1" x="362"/>
        <item x="22"/>
        <item m="1" x="324"/>
        <item x="88"/>
        <item x="45"/>
        <item m="1" x="369"/>
        <item x="103"/>
        <item x="74"/>
        <item x="68"/>
        <item m="1" x="225"/>
        <item m="1" x="363"/>
        <item m="1" x="364"/>
        <item m="1" x="206"/>
        <item x="19"/>
        <item x="82"/>
        <item x="83"/>
        <item m="1" x="254"/>
        <item m="1" x="348"/>
        <item x="12"/>
        <item m="1" x="265"/>
        <item x="6"/>
        <item m="1" x="349"/>
        <item x="159"/>
        <item x="7"/>
        <item x="65"/>
        <item m="1" x="350"/>
        <item x="67"/>
        <item m="1" x="217"/>
        <item m="1" x="320"/>
        <item x="136"/>
        <item m="1" x="351"/>
        <item m="1" x="185"/>
        <item m="1" x="338"/>
        <item m="1" x="272"/>
        <item m="1" x="352"/>
        <item x="61"/>
        <item x="62"/>
        <item m="1" x="235"/>
        <item m="1" x="221"/>
        <item x="144"/>
        <item x="134"/>
        <item x="151"/>
        <item x="46"/>
        <item m="1" x="280"/>
        <item m="1" x="344"/>
        <item x="90"/>
        <item x="63"/>
        <item m="1" x="279"/>
        <item m="1" x="256"/>
        <item x="27"/>
        <item x="3"/>
        <item m="1" x="163"/>
        <item m="1" x="353"/>
        <item m="1" x="354"/>
        <item x="54"/>
        <item x="161"/>
        <item x="55"/>
        <item m="1" x="193"/>
        <item x="96"/>
        <item x="123"/>
        <item m="1" x="312"/>
        <item x="48"/>
        <item x="87"/>
        <item x="79"/>
        <item m="1" x="283"/>
        <item x="57"/>
        <item m="1" x="262"/>
        <item m="1" x="355"/>
        <item m="1" x="211"/>
        <item x="33"/>
        <item x="100"/>
        <item m="1" x="293"/>
        <item m="1" x="253"/>
        <item x="150"/>
        <item x="89"/>
        <item x="47"/>
        <item m="1" x="356"/>
        <item m="1" x="357"/>
        <item m="1" x="196"/>
        <item m="1" x="213"/>
        <item x="116"/>
        <item m="1" x="329"/>
        <item m="1" x="215"/>
        <item x="97"/>
        <item m="1" x="202"/>
        <item m="1" x="358"/>
        <item m="1" x="192"/>
        <item x="21"/>
        <item x="72"/>
        <item x="135"/>
        <item x="18"/>
        <item x="73"/>
        <item x="2"/>
        <item m="1" x="231"/>
        <item x="146"/>
        <item m="1" x="229"/>
        <item x="154"/>
        <item m="1" x="173"/>
        <item m="1" x="190"/>
        <item x="20"/>
        <item x="41"/>
        <item x="149"/>
        <item x="32"/>
        <item m="1" x="174"/>
        <item x="15"/>
        <item x="30"/>
        <item m="1" x="199"/>
        <item m="1" x="172"/>
        <item x="26"/>
        <item m="1" x="339"/>
        <item m="1" x="340"/>
        <item x="111"/>
        <item m="1" x="341"/>
        <item x="121"/>
        <item x="156"/>
        <item x="157"/>
        <item x="10"/>
        <item m="1" x="234"/>
        <item x="36"/>
        <item x="64"/>
        <item x="5"/>
        <item m="1" x="219"/>
        <item m="1" x="266"/>
        <item x="70"/>
        <item x="0"/>
        <item x="153"/>
        <item x="35"/>
        <item m="1" x="343"/>
        <item m="1" x="186"/>
        <item m="1" x="281"/>
        <item x="59"/>
        <item m="1" x="261"/>
        <item x="14"/>
        <item x="29"/>
        <item x="44"/>
        <item x="50"/>
        <item m="1" x="345"/>
        <item x="94"/>
        <item m="1" x="223"/>
        <item m="1" x="346"/>
        <item x="138"/>
        <item m="1" x="287"/>
        <item m="1" x="228"/>
        <item m="1" x="347"/>
        <item m="1" x="247"/>
        <item m="1" x="205"/>
        <item x="24"/>
        <item m="1" x="271"/>
        <item m="1" x="171"/>
        <item m="1" x="197"/>
        <item x="137"/>
        <item m="1" x="170"/>
        <item x="115"/>
        <item x="80"/>
        <item m="1" x="237"/>
        <item x="8"/>
        <item x="60"/>
        <item x="158"/>
        <item x="28"/>
        <item m="1" x="238"/>
        <item m="1" x="239"/>
        <item x="34"/>
        <item m="1" x="240"/>
        <item m="1" x="241"/>
        <item m="1" x="242"/>
        <item m="1" x="243"/>
        <item x="49"/>
        <item m="1" x="244"/>
        <item m="1" x="245"/>
        <item m="1" x="166"/>
        <item m="1" x="246"/>
        <item m="1" x="248"/>
        <item x="118"/>
        <item x="75"/>
        <item m="1" x="249"/>
        <item m="1" x="250"/>
        <item m="1" x="251"/>
        <item m="1" x="252"/>
        <item x="99"/>
        <item x="152"/>
        <item x="85"/>
        <item x="17"/>
        <item x="1"/>
        <item x="120"/>
        <item m="1" x="257"/>
        <item m="1" x="203"/>
        <item m="1" x="232"/>
        <item x="113"/>
        <item m="1" x="178"/>
        <item x="140"/>
        <item m="1" x="259"/>
        <item m="1" x="182"/>
        <item m="1" x="222"/>
        <item x="71"/>
        <item x="40"/>
        <item x="42"/>
        <item m="1" x="260"/>
        <item x="127"/>
        <item m="1" x="263"/>
        <item m="1" x="264"/>
        <item x="78"/>
        <item m="1" x="267"/>
        <item x="81"/>
        <item x="69"/>
        <item m="1" x="230"/>
        <item m="1" x="268"/>
        <item m="1" x="220"/>
        <item m="1" x="269"/>
        <item x="93"/>
        <item x="38"/>
        <item m="1" x="270"/>
        <item x="114"/>
        <item x="124"/>
        <item m="1" x="274"/>
        <item m="1" x="275"/>
        <item m="1" x="276"/>
        <item m="1" x="277"/>
        <item m="1" x="278"/>
        <item m="1" x="208"/>
        <item m="1" x="282"/>
        <item x="148"/>
        <item x="131"/>
        <item m="1" x="284"/>
        <item m="1" x="285"/>
        <item m="1" x="286"/>
        <item x="53"/>
        <item m="1" x="288"/>
        <item m="1" x="289"/>
        <item m="1" x="290"/>
        <item m="1" x="291"/>
        <item m="1" x="191"/>
        <item m="1" x="292"/>
        <item x="133"/>
        <item x="104"/>
        <item m="1" x="169"/>
        <item m="1" x="294"/>
        <item m="1" x="296"/>
        <item m="1" x="297"/>
        <item m="1" x="298"/>
        <item m="1" x="299"/>
        <item x="122"/>
        <item x="91"/>
        <item m="1" x="300"/>
        <item x="130"/>
        <item m="1" x="301"/>
        <item m="1" x="302"/>
        <item m="1" x="303"/>
        <item m="1" x="179"/>
        <item m="1" x="304"/>
        <item m="1" x="165"/>
        <item m="1" x="305"/>
        <item m="1" x="306"/>
        <item m="1" x="307"/>
        <item x="112"/>
        <item m="1" x="308"/>
        <item m="1" x="216"/>
        <item m="1" x="309"/>
        <item m="1" x="224"/>
        <item m="1" x="311"/>
        <item m="1" x="189"/>
        <item m="1" x="313"/>
        <item m="1" x="314"/>
        <item m="1" x="315"/>
        <item m="1" x="316"/>
        <item m="1" x="317"/>
        <item m="1" x="318"/>
        <item m="1" x="319"/>
        <item m="1" x="321"/>
        <item m="1" x="322"/>
        <item m="1" x="323"/>
        <item x="147"/>
        <item m="1" x="325"/>
        <item m="1" x="326"/>
        <item m="1" x="327"/>
        <item m="1" x="328"/>
        <item m="1" x="330"/>
        <item x="9"/>
        <item m="1" x="331"/>
        <item m="1" x="183"/>
        <item x="155"/>
        <item m="1" x="333"/>
        <item m="1" x="335"/>
        <item m="1" x="167"/>
        <item m="1" x="336"/>
        <item m="1" x="337"/>
        <item m="1" x="180"/>
        <item x="98"/>
        <item m="1" x="175"/>
        <item m="1" x="177"/>
        <item m="1" x="181"/>
        <item m="1" x="187"/>
        <item m="1" x="188"/>
        <item x="66"/>
        <item m="1" x="194"/>
        <item m="1" x="195"/>
        <item x="162"/>
        <item m="1" x="200"/>
        <item m="1" x="204"/>
        <item m="1" x="207"/>
        <item m="1" x="210"/>
        <item m="1" x="212"/>
        <item x="105"/>
        <item m="1" x="227"/>
        <item x="31"/>
        <item x="25"/>
        <item x="23"/>
        <item x="37"/>
        <item x="43"/>
        <item x="52"/>
        <item x="56"/>
        <item x="58"/>
        <item x="76"/>
        <item x="84"/>
        <item x="95"/>
        <item x="101"/>
        <item x="102"/>
        <item x="106"/>
        <item x="108"/>
        <item x="110"/>
        <item x="117"/>
        <item x="125"/>
        <item x="126"/>
        <item x="132"/>
        <item x="139"/>
        <item x="143"/>
        <item x="145"/>
        <item x="160"/>
        <item t="default"/>
      </items>
    </pivotField>
    <pivotField showAll="0"/>
    <pivotField axis="axisPage" showAll="0">
      <items count="119">
        <item m="1" x="116"/>
        <item m="1" x="117"/>
        <item m="1" x="113"/>
        <item m="1" x="114"/>
        <item m="1" x="115"/>
        <item m="1" x="111"/>
        <item m="1" x="112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8">
    <i>
      <x v="50"/>
    </i>
    <i>
      <x v="65"/>
    </i>
    <i>
      <x v="98"/>
    </i>
    <i>
      <x v="161"/>
    </i>
    <i>
      <x v="246"/>
    </i>
    <i>
      <x v="338"/>
    </i>
    <i>
      <x v="369"/>
    </i>
    <i t="grand">
      <x/>
    </i>
  </rowItems>
  <colItems count="1">
    <i/>
  </colItems>
  <pageFields count="1">
    <pageField fld="3" item="117" hier="-1"/>
  </pageFields>
  <dataFields count="1">
    <dataField name="NO OF EVENTS " fld="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H1161" totalsRowShown="0" headerRowDxfId="66" dataDxfId="64" headerRowBorderDxfId="65" tableBorderDxfId="63" totalsRowBorderDxfId="62">
  <autoFilter ref="A1:H1161" xr:uid="{00000000-0009-0000-0100-000001000000}"/>
  <tableColumns count="8">
    <tableColumn id="1" xr3:uid="{00000000-0010-0000-0000-000001000000}" name="SN" dataDxfId="61"/>
    <tableColumn id="2" xr3:uid="{00000000-0010-0000-0000-000002000000}" name="TRUCK NO " dataDxfId="60"/>
    <tableColumn id="3" xr3:uid="{00000000-0010-0000-0000-000003000000}" name="Event time" dataDxfId="59"/>
    <tableColumn id="4" xr3:uid="{00000000-0010-0000-0000-000004000000}" name="RPT_DT" dataDxfId="58">
      <calculatedColumnFormula>LEFT(C:C,10)</calculatedColumnFormula>
    </tableColumn>
    <tableColumn id="5" xr3:uid="{00000000-0010-0000-0000-000005000000}" name="Time received" dataDxfId="57">
      <calculatedColumnFormula>VLOOKUP(Table3[[#This Row],[TRUCK NO ]],[1]Sheet2!$B:$E,4,0)</calculatedColumnFormula>
    </tableColumn>
    <tableColumn id="6" xr3:uid="{00000000-0010-0000-0000-000006000000}" name="Event text" dataDxfId="56"/>
    <tableColumn id="7" xr3:uid="{00000000-0010-0000-0000-000007000000}" name="Location" dataDxfId="55"/>
    <tableColumn id="8" xr3:uid="{00000000-0010-0000-0000-000008000000}" name="NO OF EVENTS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H311" totalsRowShown="0" headerRowDxfId="53" dataDxfId="51" headerRowBorderDxfId="52" tableBorderDxfId="50" totalsRowBorderDxfId="49">
  <tableColumns count="8">
    <tableColumn id="1" xr3:uid="{00000000-0010-0000-0100-000001000000}" name="SN" dataDxfId="48"/>
    <tableColumn id="2" xr3:uid="{00000000-0010-0000-0100-000002000000}" name="Row Labels" dataDxfId="47"/>
    <tableColumn id="3" xr3:uid="{00000000-0010-0000-0100-000003000000}" name="Event time" dataDxfId="46"/>
    <tableColumn id="4" xr3:uid="{00000000-0010-0000-0100-000004000000}" name="RPT_DT" dataDxfId="45">
      <calculatedColumnFormula>LEFT(Table2[[#This Row],[Event time]],10)</calculatedColumnFormula>
    </tableColumn>
    <tableColumn id="10" xr3:uid="{00000000-0010-0000-0100-00000A000000}" name="DRIVER NAME " dataDxfId="44">
      <calculatedColumnFormula>VLOOKUP(Table2[[#This Row],[Row Labels]],[1]Sheet2!$B:$E,4,0)</calculatedColumnFormula>
    </tableColumn>
    <tableColumn id="5" xr3:uid="{00000000-0010-0000-0100-000005000000}" name="Event text" dataDxfId="43"/>
    <tableColumn id="7" xr3:uid="{00000000-0010-0000-0100-000007000000}" name="Location" dataDxfId="42"/>
    <tableColumn id="8" xr3:uid="{00000000-0010-0000-0100-000008000000}" name="Count of Time received" dataDxfId="41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I216" totalsRowShown="0" headerRowDxfId="40" dataDxfId="38" headerRowBorderDxfId="39" tableBorderDxfId="37" totalsRowBorderDxfId="36">
  <tableColumns count="9">
    <tableColumn id="1" xr3:uid="{00000000-0010-0000-0200-000001000000}" name="SN" dataDxfId="35" totalsRowDxfId="34"/>
    <tableColumn id="2" xr3:uid="{00000000-0010-0000-0200-000002000000}" name="TRUCK NO  " dataDxfId="33" totalsRowDxfId="32"/>
    <tableColumn id="3" xr3:uid="{00000000-0010-0000-0200-000003000000}" name="Time" dataDxfId="31" totalsRowDxfId="30"/>
    <tableColumn id="4" xr3:uid="{00000000-0010-0000-0200-000004000000}" name="RPT_DT" dataDxfId="29" totalsRowDxfId="28">
      <calculatedColumnFormula>LEFT(Table1[[#This Row],[Time]],10)</calculatedColumnFormula>
    </tableColumn>
    <tableColumn id="10" xr3:uid="{00000000-0010-0000-0200-00000A000000}" name="DRIVER NAME" dataDxfId="27" totalsRowDxfId="26">
      <calculatedColumnFormula>VLOOKUP(Table1[[#This Row],[TRUCK NO  ]],[1]Sheet2!$B:$E,4,0)</calculatedColumnFormula>
    </tableColumn>
    <tableColumn id="11" xr3:uid="{00000000-0010-0000-0200-00000B000000}" name="MAX SPEED" dataDxfId="25"/>
    <tableColumn id="6" xr3:uid="{00000000-0010-0000-0200-000006000000}" name="Location" dataDxfId="24" totalsRowDxfId="23"/>
    <tableColumn id="7" xr3:uid="{00000000-0010-0000-0200-000007000000}" name="Speed limit" dataDxfId="22" totalsRowDxfId="21"/>
    <tableColumn id="8" xr3:uid="{00000000-0010-0000-0200-000008000000}" name="Count" dataDxfId="20" totalsRow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L91" totalsRowShown="0" headerRowDxfId="18" dataDxfId="16" headerRowBorderDxfId="17" tableBorderDxfId="15" totalsRowBorderDxfId="14">
  <tableColumns count="12">
    <tableColumn id="1" xr3:uid="{00000000-0010-0000-0300-000001000000}" name="Vehicle no" dataDxfId="13"/>
    <tableColumn id="2" xr3:uid="{00000000-0010-0000-0300-000002000000}" name="Driver name " dataDxfId="12">
      <calculatedColumnFormula>VLOOKUP(Table4[[#This Row],[Vehicle no]],[1]Sheet2!$B:$J,4,0)</calculatedColumnFormula>
    </tableColumn>
    <tableColumn id="3" xr3:uid="{00000000-0010-0000-0300-000003000000}" name="TM NAME " dataDxfId="11">
      <calculatedColumnFormula>VLOOKUP(Table4[[#This Row],[Vehicle no]],[1]Sheet2!$B:$J,9,0)</calculatedColumnFormula>
    </tableColumn>
    <tableColumn id="4" xr3:uid="{00000000-0010-0000-0300-000004000000}" name="TC NAME" dataDxfId="10">
      <calculatedColumnFormula>VLOOKUP(Table4[[#This Row],[Vehicle no]],[1]Sheet2!$B:$J,8,0)</calculatedColumnFormula>
    </tableColumn>
    <tableColumn id="5" xr3:uid="{00000000-0010-0000-0300-000005000000}" name="Beginning" dataDxfId="9"/>
    <tableColumn id="6" xr3:uid="{00000000-0010-0000-0300-000006000000}" name="RPT_DT" dataDxfId="8">
      <calculatedColumnFormula>LEFT(E:E,10)</calculatedColumnFormula>
    </tableColumn>
    <tableColumn id="7" xr3:uid="{00000000-0010-0000-0300-000007000000}" name="Initial location" dataDxfId="7"/>
    <tableColumn id="8" xr3:uid="{00000000-0010-0000-0300-000008000000}" name="End" dataDxfId="6"/>
    <tableColumn id="9" xr3:uid="{00000000-0010-0000-0300-000009000000}" name="Final location" dataDxfId="5"/>
    <tableColumn id="10" xr3:uid="{00000000-0010-0000-0300-00000A000000}" name="DURATION " dataDxfId="4"/>
    <tableColumn id="11" xr3:uid="{00000000-0010-0000-0300-00000B000000}" name="Mileage" dataDxfId="3"/>
    <tableColumn id="12" xr3:uid="{00000000-0010-0000-0300-00000C000000}" name="Offen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3"/>
  <sheetViews>
    <sheetView topLeftCell="A2" zoomScale="93" zoomScaleNormal="81" workbookViewId="0">
      <selection activeCell="D5" sqref="D5"/>
    </sheetView>
  </sheetViews>
  <sheetFormatPr defaultRowHeight="14.4" x14ac:dyDescent="0.3"/>
  <cols>
    <col min="1" max="1" width="24.109375" customWidth="1"/>
    <col min="2" max="2" width="25.88671875" bestFit="1" customWidth="1"/>
    <col min="3" max="3" width="14" customWidth="1"/>
    <col min="4" max="4" width="11.21875" customWidth="1"/>
    <col min="5" max="5" width="25.88671875" bestFit="1" customWidth="1"/>
    <col min="6" max="6" width="27" customWidth="1"/>
    <col min="7" max="7" width="15.33203125" bestFit="1" customWidth="1"/>
    <col min="8" max="8" width="13.44140625" bestFit="1" customWidth="1"/>
    <col min="9" max="9" width="16.5546875" bestFit="1" customWidth="1"/>
    <col min="10" max="10" width="14.5546875" style="1" bestFit="1" customWidth="1"/>
  </cols>
  <sheetData>
    <row r="1" spans="2:11" ht="15" customHeight="1" x14ac:dyDescent="0.3"/>
    <row r="2" spans="2:11" x14ac:dyDescent="0.3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K2" s="1"/>
    </row>
    <row r="3" spans="2:11" x14ac:dyDescent="0.3">
      <c r="B3" s="8" t="s">
        <v>8</v>
      </c>
      <c r="C3" s="13">
        <f>COUNTIF('NIGHT DRIVING REPORT '!L:L,C2)</f>
        <v>29</v>
      </c>
      <c r="D3" s="14">
        <f>COUNTIF('NIGHT DRIVING REPORT '!L:L,D2)</f>
        <v>60</v>
      </c>
      <c r="E3" s="15">
        <f>COUNTIF('NIGHT DRIVING REPORT '!L:L,E2)</f>
        <v>0</v>
      </c>
      <c r="F3" s="13">
        <v>1</v>
      </c>
      <c r="G3" s="16">
        <f>SUM('IDLING VIOLATION'!H:H)</f>
        <v>4292</v>
      </c>
      <c r="H3" s="17">
        <f>SUM('HARSH BRAKE VIOLATION'!H:H)</f>
        <v>1535</v>
      </c>
      <c r="I3" s="18">
        <f>SUM(' OVER SPEEDING VIOLATION '!I:I)</f>
        <v>943</v>
      </c>
      <c r="K3" s="1"/>
    </row>
    <row r="4" spans="2:11" ht="13.8" customHeight="1" x14ac:dyDescent="0.3">
      <c r="B4" s="72">
        <v>46081</v>
      </c>
      <c r="C4" s="13">
        <v>0</v>
      </c>
      <c r="D4" s="13">
        <v>4</v>
      </c>
      <c r="E4" s="13">
        <v>0</v>
      </c>
      <c r="F4" s="13">
        <v>0</v>
      </c>
      <c r="G4" s="10">
        <v>120</v>
      </c>
      <c r="H4" s="10">
        <v>28</v>
      </c>
      <c r="I4" s="10">
        <v>22</v>
      </c>
      <c r="K4" s="1"/>
    </row>
    <row r="5" spans="2:11" x14ac:dyDescent="0.3">
      <c r="F5" s="2"/>
      <c r="H5" s="2"/>
    </row>
    <row r="8" spans="2:11" x14ac:dyDescent="0.3">
      <c r="H8" s="5"/>
    </row>
    <row r="33" spans="3:8" x14ac:dyDescent="0.3">
      <c r="C33" s="86" t="s">
        <v>9</v>
      </c>
      <c r="D33" s="85"/>
      <c r="E33" s="85"/>
      <c r="F33" s="84" t="s">
        <v>10</v>
      </c>
      <c r="G33" s="85"/>
      <c r="H33" s="85"/>
    </row>
  </sheetData>
  <mergeCells count="2">
    <mergeCell ref="F33:H33"/>
    <mergeCell ref="C33:E33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"/>
  <sheetViews>
    <sheetView zoomScale="85" zoomScaleNormal="85" workbookViewId="0">
      <selection activeCell="J1" sqref="J1:M11"/>
    </sheetView>
  </sheetViews>
  <sheetFormatPr defaultColWidth="8.88671875" defaultRowHeight="14.4" x14ac:dyDescent="0.3"/>
  <cols>
    <col min="1" max="1" width="13" style="4" bestFit="1" customWidth="1"/>
    <col min="2" max="2" width="20.21875" style="4" bestFit="1" customWidth="1"/>
    <col min="3" max="3" width="8.88671875" style="4" customWidth="1"/>
    <col min="4" max="4" width="12.5546875" style="4" bestFit="1" customWidth="1"/>
    <col min="5" max="5" width="14.109375" style="4" bestFit="1" customWidth="1"/>
    <col min="6" max="6" width="9.44140625" style="4" customWidth="1"/>
    <col min="7" max="7" width="13" style="4" bestFit="1" customWidth="1"/>
    <col min="8" max="8" width="12.88671875" style="4" bestFit="1" customWidth="1"/>
    <col min="9" max="9" width="14.109375" style="4" bestFit="1" customWidth="1"/>
    <col min="10" max="10" width="15.44140625" style="4" bestFit="1" customWidth="1"/>
    <col min="11" max="11" width="16.21875" style="4" bestFit="1" customWidth="1"/>
    <col min="12" max="14" width="10.5546875" style="4" bestFit="1" customWidth="1"/>
    <col min="15" max="15" width="11.44140625" style="4" bestFit="1" customWidth="1"/>
    <col min="16" max="16" width="10.44140625" style="4" bestFit="1" customWidth="1"/>
    <col min="17" max="19" width="8.88671875" style="4" customWidth="1"/>
    <col min="20" max="16384" width="8.88671875" style="4"/>
  </cols>
  <sheetData>
    <row r="1" spans="1:12" x14ac:dyDescent="0.3">
      <c r="A1" s="19" t="s">
        <v>11</v>
      </c>
      <c r="B1" t="s">
        <v>12</v>
      </c>
      <c r="D1" s="19" t="s">
        <v>11</v>
      </c>
      <c r="E1" t="s">
        <v>12</v>
      </c>
      <c r="G1" s="19" t="s">
        <v>11</v>
      </c>
      <c r="H1" t="s">
        <v>13</v>
      </c>
      <c r="J1" s="19" t="s">
        <v>11</v>
      </c>
      <c r="K1" t="s">
        <v>12</v>
      </c>
    </row>
    <row r="2" spans="1:12" x14ac:dyDescent="0.3">
      <c r="A2" s="87" t="s">
        <v>14</v>
      </c>
      <c r="B2" s="88"/>
      <c r="D2" s="89" t="s">
        <v>15</v>
      </c>
      <c r="E2" s="90"/>
      <c r="F2" s="12"/>
      <c r="G2" s="87" t="s">
        <v>16</v>
      </c>
      <c r="H2" s="88"/>
      <c r="J2" s="87" t="s">
        <v>17</v>
      </c>
      <c r="K2" s="88"/>
      <c r="L2" s="88"/>
    </row>
    <row r="3" spans="1:12" x14ac:dyDescent="0.3">
      <c r="A3" s="19" t="s">
        <v>18</v>
      </c>
      <c r="B3" t="s">
        <v>19</v>
      </c>
      <c r="D3" s="19" t="s">
        <v>20</v>
      </c>
      <c r="E3" t="s">
        <v>21</v>
      </c>
      <c r="G3" s="19" t="s">
        <v>18</v>
      </c>
      <c r="H3" t="s">
        <v>22</v>
      </c>
      <c r="J3" s="19" t="s">
        <v>23</v>
      </c>
      <c r="K3" s="19" t="s">
        <v>24</v>
      </c>
    </row>
    <row r="4" spans="1:12" x14ac:dyDescent="0.3">
      <c r="A4" s="5" t="s">
        <v>25</v>
      </c>
      <c r="B4">
        <v>4</v>
      </c>
      <c r="D4" s="5" t="s">
        <v>26</v>
      </c>
      <c r="E4">
        <v>6</v>
      </c>
      <c r="G4" s="5" t="s">
        <v>27</v>
      </c>
      <c r="H4">
        <v>11</v>
      </c>
      <c r="J4" s="19" t="s">
        <v>18</v>
      </c>
      <c r="K4" t="s">
        <v>2</v>
      </c>
      <c r="L4" t="s">
        <v>28</v>
      </c>
    </row>
    <row r="5" spans="1:12" x14ac:dyDescent="0.3">
      <c r="A5" s="5" t="s">
        <v>29</v>
      </c>
      <c r="B5">
        <v>3</v>
      </c>
      <c r="D5" s="5" t="s">
        <v>30</v>
      </c>
      <c r="E5">
        <v>5</v>
      </c>
      <c r="G5" s="5" t="s">
        <v>31</v>
      </c>
      <c r="H5">
        <v>1</v>
      </c>
      <c r="J5" s="5" t="s">
        <v>32</v>
      </c>
      <c r="K5">
        <v>1</v>
      </c>
      <c r="L5">
        <v>1</v>
      </c>
    </row>
    <row r="6" spans="1:12" x14ac:dyDescent="0.3">
      <c r="A6" s="5" t="s">
        <v>33</v>
      </c>
      <c r="B6">
        <v>3</v>
      </c>
      <c r="D6" s="5" t="s">
        <v>34</v>
      </c>
      <c r="E6">
        <v>3</v>
      </c>
      <c r="G6" s="5" t="s">
        <v>35</v>
      </c>
      <c r="H6">
        <v>1</v>
      </c>
      <c r="J6" s="5" t="s">
        <v>36</v>
      </c>
      <c r="K6">
        <v>1</v>
      </c>
      <c r="L6">
        <v>1</v>
      </c>
    </row>
    <row r="7" spans="1:12" x14ac:dyDescent="0.3">
      <c r="A7" s="5" t="s">
        <v>37</v>
      </c>
      <c r="B7">
        <v>4</v>
      </c>
      <c r="D7" s="5" t="s">
        <v>38</v>
      </c>
      <c r="E7">
        <v>4</v>
      </c>
      <c r="G7" s="5" t="s">
        <v>39</v>
      </c>
      <c r="H7">
        <v>1</v>
      </c>
      <c r="J7" s="5" t="s">
        <v>35</v>
      </c>
      <c r="K7">
        <v>1</v>
      </c>
      <c r="L7">
        <v>1</v>
      </c>
    </row>
    <row r="8" spans="1:12" x14ac:dyDescent="0.3">
      <c r="A8" s="5" t="s">
        <v>40</v>
      </c>
      <c r="B8">
        <v>3</v>
      </c>
      <c r="D8" s="5" t="s">
        <v>41</v>
      </c>
      <c r="E8">
        <v>3</v>
      </c>
      <c r="G8" s="5" t="s">
        <v>42</v>
      </c>
      <c r="H8">
        <v>1</v>
      </c>
      <c r="J8" s="5" t="s">
        <v>43</v>
      </c>
      <c r="K8">
        <v>1</v>
      </c>
      <c r="L8">
        <v>1</v>
      </c>
    </row>
    <row r="9" spans="1:12" x14ac:dyDescent="0.3">
      <c r="A9" s="5" t="s">
        <v>44</v>
      </c>
      <c r="B9">
        <v>4</v>
      </c>
      <c r="D9" s="5" t="s">
        <v>45</v>
      </c>
      <c r="E9">
        <v>4</v>
      </c>
      <c r="G9" s="5" t="s">
        <v>38</v>
      </c>
      <c r="H9">
        <v>4</v>
      </c>
      <c r="J9" s="5" t="s">
        <v>28</v>
      </c>
      <c r="K9">
        <v>4</v>
      </c>
      <c r="L9">
        <v>4</v>
      </c>
    </row>
    <row r="10" spans="1:12" x14ac:dyDescent="0.3">
      <c r="A10" s="5" t="s">
        <v>46</v>
      </c>
      <c r="B10">
        <v>3</v>
      </c>
      <c r="D10" s="5" t="s">
        <v>42</v>
      </c>
      <c r="E10">
        <v>3</v>
      </c>
      <c r="G10" s="5" t="s">
        <v>37</v>
      </c>
      <c r="H10">
        <v>1</v>
      </c>
    </row>
    <row r="11" spans="1:12" x14ac:dyDescent="0.3">
      <c r="A11" s="5" t="s">
        <v>47</v>
      </c>
      <c r="B11">
        <v>4</v>
      </c>
      <c r="D11" s="5" t="s">
        <v>28</v>
      </c>
      <c r="E11">
        <v>28</v>
      </c>
      <c r="G11" s="5" t="s">
        <v>48</v>
      </c>
      <c r="H11">
        <v>1</v>
      </c>
    </row>
    <row r="12" spans="1:12" x14ac:dyDescent="0.3">
      <c r="A12" s="5" t="s">
        <v>49</v>
      </c>
      <c r="B12">
        <v>4</v>
      </c>
      <c r="G12" s="5" t="s">
        <v>50</v>
      </c>
      <c r="H12">
        <v>1</v>
      </c>
    </row>
    <row r="13" spans="1:12" x14ac:dyDescent="0.3">
      <c r="A13" s="5" t="s">
        <v>51</v>
      </c>
      <c r="B13">
        <v>3</v>
      </c>
      <c r="G13" s="5" t="s">
        <v>28</v>
      </c>
      <c r="H13">
        <v>22</v>
      </c>
    </row>
    <row r="14" spans="1:12" x14ac:dyDescent="0.3">
      <c r="A14" s="5" t="s">
        <v>52</v>
      </c>
      <c r="B14">
        <v>4</v>
      </c>
    </row>
    <row r="15" spans="1:12" x14ac:dyDescent="0.3">
      <c r="A15" s="5" t="s">
        <v>53</v>
      </c>
      <c r="B15">
        <v>3</v>
      </c>
    </row>
    <row r="16" spans="1:12" x14ac:dyDescent="0.3">
      <c r="A16" s="5" t="s">
        <v>54</v>
      </c>
      <c r="B16">
        <v>3</v>
      </c>
    </row>
    <row r="17" spans="1:2" x14ac:dyDescent="0.3">
      <c r="A17" s="5" t="s">
        <v>55</v>
      </c>
      <c r="B17">
        <v>4</v>
      </c>
    </row>
    <row r="18" spans="1:2" x14ac:dyDescent="0.3">
      <c r="A18" s="5" t="s">
        <v>56</v>
      </c>
      <c r="B18">
        <v>4</v>
      </c>
    </row>
    <row r="19" spans="1:2" x14ac:dyDescent="0.3">
      <c r="A19" s="5" t="s">
        <v>57</v>
      </c>
      <c r="B19">
        <v>3</v>
      </c>
    </row>
    <row r="20" spans="1:2" x14ac:dyDescent="0.3">
      <c r="A20" s="5" t="s">
        <v>58</v>
      </c>
      <c r="B20">
        <v>3</v>
      </c>
    </row>
    <row r="21" spans="1:2" x14ac:dyDescent="0.3">
      <c r="A21" s="5" t="s">
        <v>59</v>
      </c>
      <c r="B21">
        <v>3</v>
      </c>
    </row>
    <row r="22" spans="1:2" x14ac:dyDescent="0.3">
      <c r="A22" s="5" t="s">
        <v>60</v>
      </c>
      <c r="B22">
        <v>4</v>
      </c>
    </row>
    <row r="23" spans="1:2" x14ac:dyDescent="0.3">
      <c r="A23" s="5" t="s">
        <v>61</v>
      </c>
      <c r="B23">
        <v>3</v>
      </c>
    </row>
    <row r="24" spans="1:2" x14ac:dyDescent="0.3">
      <c r="A24" s="5" t="s">
        <v>62</v>
      </c>
      <c r="B24">
        <v>3</v>
      </c>
    </row>
    <row r="25" spans="1:2" x14ac:dyDescent="0.3">
      <c r="A25" s="5" t="s">
        <v>48</v>
      </c>
      <c r="B25">
        <v>3</v>
      </c>
    </row>
    <row r="26" spans="1:2" x14ac:dyDescent="0.3">
      <c r="A26" s="5" t="s">
        <v>63</v>
      </c>
      <c r="B26">
        <v>5</v>
      </c>
    </row>
    <row r="27" spans="1:2" x14ac:dyDescent="0.3">
      <c r="A27" s="5" t="s">
        <v>64</v>
      </c>
      <c r="B27">
        <v>4</v>
      </c>
    </row>
    <row r="28" spans="1:2" x14ac:dyDescent="0.3">
      <c r="A28" s="5" t="s">
        <v>34</v>
      </c>
      <c r="B28">
        <v>4</v>
      </c>
    </row>
    <row r="29" spans="1:2" x14ac:dyDescent="0.3">
      <c r="A29" s="5" t="s">
        <v>65</v>
      </c>
      <c r="B29">
        <v>4</v>
      </c>
    </row>
    <row r="30" spans="1:2" x14ac:dyDescent="0.3">
      <c r="A30" s="5" t="s">
        <v>66</v>
      </c>
      <c r="B30">
        <v>4</v>
      </c>
    </row>
    <row r="31" spans="1:2" x14ac:dyDescent="0.3">
      <c r="A31" s="5" t="s">
        <v>67</v>
      </c>
      <c r="B31">
        <v>3</v>
      </c>
    </row>
    <row r="32" spans="1:2" x14ac:dyDescent="0.3">
      <c r="A32" s="5" t="s">
        <v>68</v>
      </c>
      <c r="B32">
        <v>4</v>
      </c>
    </row>
    <row r="33" spans="1:2" x14ac:dyDescent="0.3">
      <c r="A33" s="5" t="s">
        <v>69</v>
      </c>
      <c r="B33">
        <v>3</v>
      </c>
    </row>
    <row r="34" spans="1:2" x14ac:dyDescent="0.3">
      <c r="A34" s="5" t="s">
        <v>70</v>
      </c>
      <c r="B34">
        <v>3</v>
      </c>
    </row>
    <row r="35" spans="1:2" x14ac:dyDescent="0.3">
      <c r="A35" s="5" t="s">
        <v>71</v>
      </c>
      <c r="B35">
        <v>3</v>
      </c>
    </row>
    <row r="36" spans="1:2" x14ac:dyDescent="0.3">
      <c r="A36" s="5" t="s">
        <v>72</v>
      </c>
      <c r="B36">
        <v>4</v>
      </c>
    </row>
    <row r="37" spans="1:2" x14ac:dyDescent="0.3">
      <c r="A37" s="5" t="s">
        <v>73</v>
      </c>
      <c r="B37">
        <v>4</v>
      </c>
    </row>
    <row r="38" spans="1:2" x14ac:dyDescent="0.3">
      <c r="A38" s="5" t="s">
        <v>28</v>
      </c>
      <c r="B38">
        <v>120</v>
      </c>
    </row>
  </sheetData>
  <mergeCells count="4">
    <mergeCell ref="G2:H2"/>
    <mergeCell ref="J2:L2"/>
    <mergeCell ref="A2:B2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61"/>
  <sheetViews>
    <sheetView zoomScaleNormal="100" workbookViewId="0">
      <pane ySplit="1" topLeftCell="A1122" activePane="bottomLeft" state="frozen"/>
      <selection pane="bottomLeft" activeCell="E868" sqref="E868"/>
    </sheetView>
  </sheetViews>
  <sheetFormatPr defaultRowHeight="14.4" x14ac:dyDescent="0.3"/>
  <cols>
    <col min="1" max="1" width="4.88671875" customWidth="1"/>
    <col min="2" max="2" width="8.6640625" customWidth="1"/>
    <col min="3" max="3" width="14.33203125" style="59" bestFit="1" customWidth="1"/>
    <col min="4" max="4" width="7.88671875" style="56" bestFit="1" customWidth="1"/>
    <col min="5" max="5" width="14.33203125" style="59" bestFit="1" customWidth="1"/>
    <col min="6" max="6" width="126.21875" bestFit="1" customWidth="1"/>
    <col min="7" max="7" width="48.44140625" bestFit="1" customWidth="1"/>
    <col min="8" max="8" width="13.21875" bestFit="1" customWidth="1"/>
  </cols>
  <sheetData>
    <row r="1" spans="1:8" x14ac:dyDescent="0.3">
      <c r="A1" s="47" t="s">
        <v>74</v>
      </c>
      <c r="B1" s="43" t="s">
        <v>75</v>
      </c>
      <c r="C1" s="57" t="s">
        <v>76</v>
      </c>
      <c r="D1" s="54" t="s">
        <v>11</v>
      </c>
      <c r="E1" s="57" t="s">
        <v>77</v>
      </c>
      <c r="F1" s="43" t="s">
        <v>78</v>
      </c>
      <c r="G1" s="43" t="s">
        <v>79</v>
      </c>
      <c r="H1" s="48" t="s">
        <v>80</v>
      </c>
    </row>
    <row r="2" spans="1:8" x14ac:dyDescent="0.3">
      <c r="A2" s="34">
        <v>1</v>
      </c>
      <c r="B2" s="46" t="s">
        <v>81</v>
      </c>
      <c r="C2" s="58">
        <v>46054.456157407411</v>
      </c>
      <c r="D2" s="55" t="s">
        <v>82</v>
      </c>
      <c r="E2" s="58">
        <v>46054.477037037039</v>
      </c>
      <c r="F2" s="46" t="s">
        <v>83</v>
      </c>
      <c r="G2" s="46" t="s">
        <v>84</v>
      </c>
      <c r="H2" s="49">
        <v>3</v>
      </c>
    </row>
    <row r="3" spans="1:8" x14ac:dyDescent="0.3">
      <c r="A3" s="34">
        <v>2</v>
      </c>
      <c r="B3" s="46" t="s">
        <v>85</v>
      </c>
      <c r="C3" s="58">
        <v>46054.386712962973</v>
      </c>
      <c r="D3" s="55" t="s">
        <v>82</v>
      </c>
      <c r="E3" s="58">
        <v>46054.407581018517</v>
      </c>
      <c r="F3" s="46" t="s">
        <v>86</v>
      </c>
      <c r="G3" s="46" t="s">
        <v>87</v>
      </c>
      <c r="H3" s="49">
        <v>3</v>
      </c>
    </row>
    <row r="4" spans="1:8" x14ac:dyDescent="0.3">
      <c r="A4" s="34">
        <v>3</v>
      </c>
      <c r="B4" s="46" t="s">
        <v>88</v>
      </c>
      <c r="C4" s="58">
        <v>46054.451655092591</v>
      </c>
      <c r="D4" s="55" t="s">
        <v>82</v>
      </c>
      <c r="E4" s="58">
        <v>46054.472500000003</v>
      </c>
      <c r="F4" s="46" t="s">
        <v>89</v>
      </c>
      <c r="G4" s="46" t="s">
        <v>90</v>
      </c>
      <c r="H4" s="49">
        <v>5</v>
      </c>
    </row>
    <row r="5" spans="1:8" x14ac:dyDescent="0.3">
      <c r="A5" s="34">
        <v>4</v>
      </c>
      <c r="B5" s="46" t="s">
        <v>91</v>
      </c>
      <c r="C5" s="58">
        <v>46054.530393518522</v>
      </c>
      <c r="D5" s="55" t="s">
        <v>82</v>
      </c>
      <c r="E5" s="58">
        <v>46054.551226851851</v>
      </c>
      <c r="F5" s="46" t="s">
        <v>92</v>
      </c>
      <c r="G5" s="46" t="s">
        <v>93</v>
      </c>
      <c r="H5" s="49">
        <v>3</v>
      </c>
    </row>
    <row r="6" spans="1:8" x14ac:dyDescent="0.3">
      <c r="A6" s="34">
        <v>5</v>
      </c>
      <c r="B6" s="46" t="s">
        <v>94</v>
      </c>
      <c r="C6" s="58">
        <v>46054.625173611108</v>
      </c>
      <c r="D6" s="55" t="s">
        <v>82</v>
      </c>
      <c r="E6" s="58">
        <v>46054.64603009259</v>
      </c>
      <c r="F6" s="46" t="s">
        <v>95</v>
      </c>
      <c r="G6" s="46" t="s">
        <v>96</v>
      </c>
      <c r="H6" s="49">
        <v>3</v>
      </c>
    </row>
    <row r="7" spans="1:8" x14ac:dyDescent="0.3">
      <c r="A7" s="34">
        <v>6</v>
      </c>
      <c r="B7" s="46" t="s">
        <v>72</v>
      </c>
      <c r="C7" s="58">
        <v>46054.389166666668</v>
      </c>
      <c r="D7" s="55" t="s">
        <v>82</v>
      </c>
      <c r="E7" s="58">
        <v>46054.410011574073</v>
      </c>
      <c r="F7" s="46" t="s">
        <v>97</v>
      </c>
      <c r="G7" s="46" t="s">
        <v>98</v>
      </c>
      <c r="H7" s="49">
        <v>3</v>
      </c>
    </row>
    <row r="8" spans="1:8" x14ac:dyDescent="0.3">
      <c r="A8" s="34">
        <v>7</v>
      </c>
      <c r="B8" s="46" t="s">
        <v>99</v>
      </c>
      <c r="C8" s="58">
        <v>46054.347951388889</v>
      </c>
      <c r="D8" s="55" t="s">
        <v>82</v>
      </c>
      <c r="E8" s="58">
        <v>46054.368796296287</v>
      </c>
      <c r="F8" s="46" t="s">
        <v>100</v>
      </c>
      <c r="G8" s="46" t="s">
        <v>101</v>
      </c>
      <c r="H8" s="49">
        <v>3</v>
      </c>
    </row>
    <row r="9" spans="1:8" x14ac:dyDescent="0.3">
      <c r="A9" s="34">
        <v>8</v>
      </c>
      <c r="B9" s="46" t="s">
        <v>102</v>
      </c>
      <c r="C9" s="58">
        <v>46054.48609953704</v>
      </c>
      <c r="D9" s="55" t="s">
        <v>82</v>
      </c>
      <c r="E9" s="58">
        <v>46054.506979166668</v>
      </c>
      <c r="F9" s="46" t="s">
        <v>103</v>
      </c>
      <c r="G9" s="46" t="s">
        <v>104</v>
      </c>
      <c r="H9" s="49">
        <v>3</v>
      </c>
    </row>
    <row r="10" spans="1:8" x14ac:dyDescent="0.3">
      <c r="A10" s="34">
        <v>9</v>
      </c>
      <c r="B10" s="46" t="s">
        <v>105</v>
      </c>
      <c r="C10" s="58">
        <v>46054.464525462958</v>
      </c>
      <c r="D10" s="55" t="s">
        <v>82</v>
      </c>
      <c r="E10" s="58">
        <v>46054.493483796286</v>
      </c>
      <c r="F10" s="46" t="s">
        <v>106</v>
      </c>
      <c r="G10" s="46" t="s">
        <v>107</v>
      </c>
      <c r="H10" s="49">
        <v>7</v>
      </c>
    </row>
    <row r="11" spans="1:8" x14ac:dyDescent="0.3">
      <c r="A11" s="34">
        <v>10</v>
      </c>
      <c r="B11" s="46" t="s">
        <v>108</v>
      </c>
      <c r="C11" s="58">
        <v>46054.368275462963</v>
      </c>
      <c r="D11" s="55" t="s">
        <v>82</v>
      </c>
      <c r="E11" s="58">
        <v>46054.389120370368</v>
      </c>
      <c r="F11" s="46" t="s">
        <v>109</v>
      </c>
      <c r="G11" s="46" t="s">
        <v>110</v>
      </c>
      <c r="H11" s="49">
        <v>3</v>
      </c>
    </row>
    <row r="12" spans="1:8" x14ac:dyDescent="0.3">
      <c r="A12" s="34">
        <v>11</v>
      </c>
      <c r="B12" s="46" t="s">
        <v>111</v>
      </c>
      <c r="C12" s="58">
        <v>46054.549444444441</v>
      </c>
      <c r="D12" s="55" t="s">
        <v>82</v>
      </c>
      <c r="E12" s="58">
        <v>46054.570289351846</v>
      </c>
      <c r="F12" s="46" t="s">
        <v>112</v>
      </c>
      <c r="G12" s="46" t="s">
        <v>113</v>
      </c>
      <c r="H12" s="49">
        <v>3</v>
      </c>
    </row>
    <row r="13" spans="1:8" x14ac:dyDescent="0.3">
      <c r="A13" s="34">
        <v>12</v>
      </c>
      <c r="B13" s="46" t="s">
        <v>114</v>
      </c>
      <c r="C13" s="58">
        <v>46054.486909722233</v>
      </c>
      <c r="D13" s="55" t="s">
        <v>82</v>
      </c>
      <c r="E13" s="58">
        <v>46054.507789351846</v>
      </c>
      <c r="F13" s="46" t="s">
        <v>115</v>
      </c>
      <c r="G13" s="46" t="s">
        <v>116</v>
      </c>
      <c r="H13" s="49">
        <v>5</v>
      </c>
    </row>
    <row r="14" spans="1:8" x14ac:dyDescent="0.3">
      <c r="A14" s="34">
        <v>13</v>
      </c>
      <c r="B14" s="46" t="s">
        <v>117</v>
      </c>
      <c r="C14" s="58">
        <v>46054.40960648148</v>
      </c>
      <c r="D14" s="55" t="s">
        <v>82</v>
      </c>
      <c r="E14" s="58">
        <v>46054.430474537039</v>
      </c>
      <c r="F14" s="46" t="s">
        <v>118</v>
      </c>
      <c r="G14" s="46" t="s">
        <v>119</v>
      </c>
      <c r="H14" s="49">
        <v>4</v>
      </c>
    </row>
    <row r="15" spans="1:8" x14ac:dyDescent="0.3">
      <c r="A15" s="34">
        <v>14</v>
      </c>
      <c r="B15" s="46" t="s">
        <v>120</v>
      </c>
      <c r="C15" s="58">
        <v>46054.262719907398</v>
      </c>
      <c r="D15" s="55" t="s">
        <v>82</v>
      </c>
      <c r="E15" s="58">
        <v>46054.283576388887</v>
      </c>
      <c r="F15" s="46" t="s">
        <v>121</v>
      </c>
      <c r="G15" s="46" t="s">
        <v>122</v>
      </c>
      <c r="H15" s="49">
        <v>5</v>
      </c>
    </row>
    <row r="16" spans="1:8" x14ac:dyDescent="0.3">
      <c r="A16" s="34">
        <v>15</v>
      </c>
      <c r="B16" s="46" t="s">
        <v>123</v>
      </c>
      <c r="C16" s="58">
        <v>46054.369085648148</v>
      </c>
      <c r="D16" s="55" t="s">
        <v>82</v>
      </c>
      <c r="E16" s="58">
        <v>46054.389930555553</v>
      </c>
      <c r="F16" s="46" t="s">
        <v>124</v>
      </c>
      <c r="G16" s="46" t="s">
        <v>125</v>
      </c>
      <c r="H16" s="49">
        <v>4</v>
      </c>
    </row>
    <row r="17" spans="1:8" x14ac:dyDescent="0.3">
      <c r="A17" s="34">
        <v>16</v>
      </c>
      <c r="B17" s="46" t="s">
        <v>126</v>
      </c>
      <c r="C17" s="58">
        <v>46054.369259259263</v>
      </c>
      <c r="D17" s="55" t="s">
        <v>82</v>
      </c>
      <c r="E17" s="58">
        <v>46054.390115740738</v>
      </c>
      <c r="F17" s="46" t="s">
        <v>127</v>
      </c>
      <c r="G17" s="46" t="s">
        <v>128</v>
      </c>
      <c r="H17" s="49">
        <v>5</v>
      </c>
    </row>
    <row r="18" spans="1:8" x14ac:dyDescent="0.3">
      <c r="A18" s="34">
        <v>17</v>
      </c>
      <c r="B18" s="46" t="s">
        <v>53</v>
      </c>
      <c r="C18" s="58">
        <v>46054.313275462962</v>
      </c>
      <c r="D18" s="55" t="s">
        <v>82</v>
      </c>
      <c r="E18" s="58">
        <v>46054.334155092591</v>
      </c>
      <c r="F18" s="46" t="s">
        <v>129</v>
      </c>
      <c r="G18" s="46" t="s">
        <v>98</v>
      </c>
      <c r="H18" s="49">
        <v>7</v>
      </c>
    </row>
    <row r="19" spans="1:8" x14ac:dyDescent="0.3">
      <c r="A19" s="34">
        <v>18</v>
      </c>
      <c r="B19" s="46" t="s">
        <v>130</v>
      </c>
      <c r="C19" s="58">
        <v>46054.351053240738</v>
      </c>
      <c r="D19" s="55" t="s">
        <v>82</v>
      </c>
      <c r="E19" s="58">
        <v>46054.371932870366</v>
      </c>
      <c r="F19" s="46" t="s">
        <v>131</v>
      </c>
      <c r="G19" s="46" t="s">
        <v>104</v>
      </c>
      <c r="H19" s="49">
        <v>4</v>
      </c>
    </row>
    <row r="20" spans="1:8" x14ac:dyDescent="0.3">
      <c r="A20" s="34">
        <v>19</v>
      </c>
      <c r="B20" s="46" t="s">
        <v>132</v>
      </c>
      <c r="C20" s="58">
        <v>46054.575821759259</v>
      </c>
      <c r="D20" s="55" t="s">
        <v>82</v>
      </c>
      <c r="E20" s="58">
        <v>46054.596678240741</v>
      </c>
      <c r="F20" s="46" t="s">
        <v>133</v>
      </c>
      <c r="G20" s="46" t="s">
        <v>134</v>
      </c>
      <c r="H20" s="49">
        <v>3</v>
      </c>
    </row>
    <row r="21" spans="1:8" x14ac:dyDescent="0.3">
      <c r="A21" s="34">
        <v>20</v>
      </c>
      <c r="B21" s="46" t="s">
        <v>135</v>
      </c>
      <c r="C21" s="58">
        <v>46054.37054398148</v>
      </c>
      <c r="D21" s="55" t="s">
        <v>82</v>
      </c>
      <c r="E21" s="58">
        <v>46054.391400462962</v>
      </c>
      <c r="F21" s="46" t="s">
        <v>136</v>
      </c>
      <c r="G21" s="46" t="s">
        <v>137</v>
      </c>
      <c r="H21" s="49">
        <v>3</v>
      </c>
    </row>
    <row r="22" spans="1:8" x14ac:dyDescent="0.3">
      <c r="A22" s="34">
        <v>21</v>
      </c>
      <c r="B22" s="46" t="s">
        <v>138</v>
      </c>
      <c r="C22" s="58">
        <v>46054.545347222222</v>
      </c>
      <c r="D22" s="55" t="s">
        <v>82</v>
      </c>
      <c r="E22" s="58">
        <v>46054.566192129627</v>
      </c>
      <c r="F22" s="46" t="s">
        <v>139</v>
      </c>
      <c r="G22" s="46" t="s">
        <v>140</v>
      </c>
      <c r="H22" s="49">
        <v>3</v>
      </c>
    </row>
    <row r="23" spans="1:8" x14ac:dyDescent="0.3">
      <c r="A23" s="34">
        <v>22</v>
      </c>
      <c r="B23" s="46" t="s">
        <v>141</v>
      </c>
      <c r="C23" s="58">
        <v>46054.359629629631</v>
      </c>
      <c r="D23" s="55" t="s">
        <v>82</v>
      </c>
      <c r="E23" s="58">
        <v>46054.380474537043</v>
      </c>
      <c r="F23" s="46" t="s">
        <v>142</v>
      </c>
      <c r="G23" s="46" t="s">
        <v>113</v>
      </c>
      <c r="H23" s="49">
        <v>4</v>
      </c>
    </row>
    <row r="24" spans="1:8" x14ac:dyDescent="0.3">
      <c r="A24" s="34">
        <v>23</v>
      </c>
      <c r="B24" s="46" t="s">
        <v>30</v>
      </c>
      <c r="C24" s="58">
        <v>46054.54582175926</v>
      </c>
      <c r="D24" s="55" t="s">
        <v>82</v>
      </c>
      <c r="E24" s="58">
        <v>46054.566655092603</v>
      </c>
      <c r="F24" s="46" t="s">
        <v>143</v>
      </c>
      <c r="G24" s="46" t="s">
        <v>140</v>
      </c>
      <c r="H24" s="49">
        <v>3</v>
      </c>
    </row>
    <row r="25" spans="1:8" x14ac:dyDescent="0.3">
      <c r="A25" s="34">
        <v>24</v>
      </c>
      <c r="B25" s="46" t="s">
        <v>144</v>
      </c>
      <c r="C25" s="58">
        <v>46054.36917824074</v>
      </c>
      <c r="D25" s="55" t="s">
        <v>82</v>
      </c>
      <c r="E25" s="58">
        <v>46054.390057870369</v>
      </c>
      <c r="F25" s="46" t="s">
        <v>145</v>
      </c>
      <c r="G25" s="46" t="s">
        <v>146</v>
      </c>
      <c r="H25" s="49">
        <v>3</v>
      </c>
    </row>
    <row r="26" spans="1:8" x14ac:dyDescent="0.3">
      <c r="A26" s="34">
        <v>25</v>
      </c>
      <c r="B26" s="46" t="s">
        <v>42</v>
      </c>
      <c r="C26" s="58">
        <v>46054.404641203713</v>
      </c>
      <c r="D26" s="55" t="s">
        <v>82</v>
      </c>
      <c r="E26" s="58">
        <v>46054.425497685188</v>
      </c>
      <c r="F26" s="46" t="s">
        <v>147</v>
      </c>
      <c r="G26" s="46" t="s">
        <v>148</v>
      </c>
      <c r="H26" s="49">
        <v>4</v>
      </c>
    </row>
    <row r="27" spans="1:8" x14ac:dyDescent="0.3">
      <c r="A27" s="34">
        <v>26</v>
      </c>
      <c r="B27" s="46" t="s">
        <v>149</v>
      </c>
      <c r="C27" s="58">
        <v>46054.378078703703</v>
      </c>
      <c r="D27" s="55" t="s">
        <v>82</v>
      </c>
      <c r="E27" s="58">
        <v>46054.398935185192</v>
      </c>
      <c r="F27" s="46" t="s">
        <v>150</v>
      </c>
      <c r="G27" s="46" t="s">
        <v>151</v>
      </c>
      <c r="H27" s="49">
        <v>3</v>
      </c>
    </row>
    <row r="28" spans="1:8" x14ac:dyDescent="0.3">
      <c r="A28" s="34">
        <v>27</v>
      </c>
      <c r="B28" s="46" t="s">
        <v>152</v>
      </c>
      <c r="C28" s="58">
        <v>46054.352847222217</v>
      </c>
      <c r="D28" s="55" t="s">
        <v>82</v>
      </c>
      <c r="E28" s="58">
        <v>46054.373738425929</v>
      </c>
      <c r="F28" s="46" t="s">
        <v>153</v>
      </c>
      <c r="G28" s="46" t="s">
        <v>154</v>
      </c>
      <c r="H28" s="49">
        <v>3</v>
      </c>
    </row>
    <row r="29" spans="1:8" x14ac:dyDescent="0.3">
      <c r="A29" s="34">
        <v>28</v>
      </c>
      <c r="B29" s="46" t="s">
        <v>155</v>
      </c>
      <c r="C29" s="58">
        <v>46054.537152777782</v>
      </c>
      <c r="D29" s="55" t="s">
        <v>82</v>
      </c>
      <c r="E29" s="58">
        <v>46054.55804398148</v>
      </c>
      <c r="F29" s="46" t="s">
        <v>156</v>
      </c>
      <c r="G29" s="46" t="s">
        <v>157</v>
      </c>
      <c r="H29" s="49">
        <v>3</v>
      </c>
    </row>
    <row r="30" spans="1:8" x14ac:dyDescent="0.3">
      <c r="A30" s="34">
        <v>29</v>
      </c>
      <c r="B30" s="46" t="s">
        <v>158</v>
      </c>
      <c r="C30" s="58">
        <v>46054.178194444437</v>
      </c>
      <c r="D30" s="55" t="s">
        <v>82</v>
      </c>
      <c r="E30" s="58">
        <v>46054.19903935185</v>
      </c>
      <c r="F30" s="46" t="s">
        <v>159</v>
      </c>
      <c r="G30" s="46" t="s">
        <v>160</v>
      </c>
      <c r="H30" s="49">
        <v>3</v>
      </c>
    </row>
    <row r="31" spans="1:8" x14ac:dyDescent="0.3">
      <c r="A31" s="34">
        <v>30</v>
      </c>
      <c r="B31" s="46" t="s">
        <v>161</v>
      </c>
      <c r="C31" s="58">
        <v>46054.507094907407</v>
      </c>
      <c r="D31" s="55" t="s">
        <v>82</v>
      </c>
      <c r="E31" s="58">
        <v>46054.527939814812</v>
      </c>
      <c r="F31" s="46" t="s">
        <v>162</v>
      </c>
      <c r="G31" s="46" t="s">
        <v>163</v>
      </c>
      <c r="H31" s="49">
        <v>4</v>
      </c>
    </row>
    <row r="32" spans="1:8" x14ac:dyDescent="0.3">
      <c r="A32" s="34">
        <v>31</v>
      </c>
      <c r="B32" s="46" t="s">
        <v>164</v>
      </c>
      <c r="C32" s="58">
        <v>46054.369293981479</v>
      </c>
      <c r="D32" s="55" t="s">
        <v>82</v>
      </c>
      <c r="E32" s="58">
        <v>46054.390185185177</v>
      </c>
      <c r="F32" s="46" t="s">
        <v>165</v>
      </c>
      <c r="G32" s="46" t="s">
        <v>166</v>
      </c>
      <c r="H32" s="49">
        <v>5</v>
      </c>
    </row>
    <row r="33" spans="1:8" x14ac:dyDescent="0.3">
      <c r="A33" s="34">
        <v>32</v>
      </c>
      <c r="B33" s="46" t="s">
        <v>167</v>
      </c>
      <c r="C33" s="58">
        <v>46054.31591435185</v>
      </c>
      <c r="D33" s="55" t="s">
        <v>82</v>
      </c>
      <c r="E33" s="58">
        <v>46054.336770833332</v>
      </c>
      <c r="F33" s="46" t="s">
        <v>168</v>
      </c>
      <c r="G33" s="46" t="s">
        <v>169</v>
      </c>
      <c r="H33" s="49">
        <v>3</v>
      </c>
    </row>
    <row r="34" spans="1:8" x14ac:dyDescent="0.3">
      <c r="A34" s="34">
        <v>33</v>
      </c>
      <c r="B34" s="46" t="s">
        <v>170</v>
      </c>
      <c r="C34" s="58">
        <v>46054.605266203696</v>
      </c>
      <c r="D34" s="55" t="s">
        <v>82</v>
      </c>
      <c r="E34" s="58">
        <v>46054.626111111109</v>
      </c>
      <c r="F34" s="46" t="s">
        <v>171</v>
      </c>
      <c r="G34" s="46" t="s">
        <v>172</v>
      </c>
      <c r="H34" s="49">
        <v>5</v>
      </c>
    </row>
    <row r="35" spans="1:8" x14ac:dyDescent="0.3">
      <c r="A35" s="34">
        <v>34</v>
      </c>
      <c r="B35" s="46" t="s">
        <v>173</v>
      </c>
      <c r="C35" s="58">
        <v>46054.782673611109</v>
      </c>
      <c r="D35" s="55" t="s">
        <v>82</v>
      </c>
      <c r="E35" s="58">
        <v>46054.803518518522</v>
      </c>
      <c r="F35" s="46" t="s">
        <v>174</v>
      </c>
      <c r="G35" s="46" t="s">
        <v>175</v>
      </c>
      <c r="H35" s="49">
        <v>3</v>
      </c>
    </row>
    <row r="36" spans="1:8" x14ac:dyDescent="0.3">
      <c r="A36" s="34">
        <v>35</v>
      </c>
      <c r="B36" s="46" t="s">
        <v>176</v>
      </c>
      <c r="C36" s="58">
        <v>46054.364745370367</v>
      </c>
      <c r="D36" s="55" t="s">
        <v>82</v>
      </c>
      <c r="E36" s="58">
        <v>46054.385578703703</v>
      </c>
      <c r="F36" s="46" t="s">
        <v>177</v>
      </c>
      <c r="G36" s="46" t="s">
        <v>178</v>
      </c>
      <c r="H36" s="49">
        <v>4</v>
      </c>
    </row>
    <row r="37" spans="1:8" x14ac:dyDescent="0.3">
      <c r="A37" s="34">
        <v>36</v>
      </c>
      <c r="B37" s="46" t="s">
        <v>179</v>
      </c>
      <c r="C37" s="58">
        <v>46054.390462962961</v>
      </c>
      <c r="D37" s="55" t="s">
        <v>82</v>
      </c>
      <c r="E37" s="58">
        <v>46054.411296296297</v>
      </c>
      <c r="F37" s="46" t="s">
        <v>180</v>
      </c>
      <c r="G37" s="46" t="s">
        <v>98</v>
      </c>
      <c r="H37" s="49">
        <v>6</v>
      </c>
    </row>
    <row r="38" spans="1:8" x14ac:dyDescent="0.3">
      <c r="A38" s="34">
        <v>37</v>
      </c>
      <c r="B38" s="46" t="s">
        <v>181</v>
      </c>
      <c r="C38" s="58">
        <v>46054.632361111107</v>
      </c>
      <c r="D38" s="55" t="s">
        <v>82</v>
      </c>
      <c r="E38" s="58">
        <v>46054.653229166674</v>
      </c>
      <c r="F38" s="46" t="s">
        <v>182</v>
      </c>
      <c r="G38" s="46" t="s">
        <v>183</v>
      </c>
      <c r="H38" s="49">
        <v>4</v>
      </c>
    </row>
    <row r="39" spans="1:8" x14ac:dyDescent="0.3">
      <c r="A39" s="34">
        <v>38</v>
      </c>
      <c r="B39" s="46" t="s">
        <v>62</v>
      </c>
      <c r="C39" s="58">
        <v>46054.309236111112</v>
      </c>
      <c r="D39" s="55" t="s">
        <v>82</v>
      </c>
      <c r="E39" s="58">
        <v>46054.330092592587</v>
      </c>
      <c r="F39" s="46" t="s">
        <v>184</v>
      </c>
      <c r="G39" s="46" t="s">
        <v>185</v>
      </c>
      <c r="H39" s="49">
        <v>4</v>
      </c>
    </row>
    <row r="40" spans="1:8" x14ac:dyDescent="0.3">
      <c r="A40" s="34">
        <v>39</v>
      </c>
      <c r="B40" s="46" t="s">
        <v>186</v>
      </c>
      <c r="C40" s="58">
        <v>46054.580625000002</v>
      </c>
      <c r="D40" s="55" t="s">
        <v>82</v>
      </c>
      <c r="E40" s="58">
        <v>46054.601493055547</v>
      </c>
      <c r="F40" s="46" t="s">
        <v>187</v>
      </c>
      <c r="G40" s="46" t="s">
        <v>188</v>
      </c>
      <c r="H40" s="49">
        <v>3</v>
      </c>
    </row>
    <row r="41" spans="1:8" x14ac:dyDescent="0.3">
      <c r="A41" s="34">
        <v>40</v>
      </c>
      <c r="B41" s="46" t="s">
        <v>189</v>
      </c>
      <c r="C41" s="58">
        <v>46054.362442129634</v>
      </c>
      <c r="D41" s="55" t="s">
        <v>82</v>
      </c>
      <c r="E41" s="58">
        <v>46054.383310185192</v>
      </c>
      <c r="F41" s="46" t="s">
        <v>190</v>
      </c>
      <c r="G41" s="46" t="s">
        <v>191</v>
      </c>
      <c r="H41" s="49">
        <v>4</v>
      </c>
    </row>
    <row r="42" spans="1:8" x14ac:dyDescent="0.3">
      <c r="A42" s="34">
        <v>41</v>
      </c>
      <c r="B42" s="46" t="s">
        <v>35</v>
      </c>
      <c r="C42" s="58">
        <v>46054.734282407408</v>
      </c>
      <c r="D42" s="55" t="s">
        <v>82</v>
      </c>
      <c r="E42" s="58">
        <v>46054.755162037043</v>
      </c>
      <c r="F42" s="46" t="s">
        <v>192</v>
      </c>
      <c r="G42" s="46" t="s">
        <v>193</v>
      </c>
      <c r="H42" s="49">
        <v>4</v>
      </c>
    </row>
    <row r="43" spans="1:8" x14ac:dyDescent="0.3">
      <c r="A43" s="34">
        <v>42</v>
      </c>
      <c r="B43" s="46" t="s">
        <v>37</v>
      </c>
      <c r="C43" s="58">
        <v>46054.339895833327</v>
      </c>
      <c r="D43" s="55" t="s">
        <v>82</v>
      </c>
      <c r="E43" s="58">
        <v>46054.360763888893</v>
      </c>
      <c r="F43" s="46" t="s">
        <v>194</v>
      </c>
      <c r="G43" s="46" t="s">
        <v>195</v>
      </c>
      <c r="H43" s="49">
        <v>8</v>
      </c>
    </row>
    <row r="44" spans="1:8" x14ac:dyDescent="0.3">
      <c r="A44" s="34">
        <v>43</v>
      </c>
      <c r="B44" s="46" t="s">
        <v>196</v>
      </c>
      <c r="C44" s="58">
        <v>46054.322187500002</v>
      </c>
      <c r="D44" s="55" t="s">
        <v>82</v>
      </c>
      <c r="E44" s="58">
        <v>46054.343032407407</v>
      </c>
      <c r="F44" s="46" t="s">
        <v>197</v>
      </c>
      <c r="G44" s="46" t="s">
        <v>198</v>
      </c>
      <c r="H44" s="49">
        <v>5</v>
      </c>
    </row>
    <row r="45" spans="1:8" x14ac:dyDescent="0.3">
      <c r="A45" s="34">
        <v>44</v>
      </c>
      <c r="B45" s="46" t="s">
        <v>199</v>
      </c>
      <c r="C45" s="58">
        <v>46054.457118055558</v>
      </c>
      <c r="D45" s="55" t="s">
        <v>82</v>
      </c>
      <c r="E45" s="58">
        <v>46054.477962962963</v>
      </c>
      <c r="F45" s="46" t="s">
        <v>200</v>
      </c>
      <c r="G45" s="46" t="s">
        <v>201</v>
      </c>
      <c r="H45" s="49">
        <v>3</v>
      </c>
    </row>
    <row r="46" spans="1:8" x14ac:dyDescent="0.3">
      <c r="A46" s="34">
        <v>45</v>
      </c>
      <c r="B46" s="46" t="s">
        <v>202</v>
      </c>
      <c r="C46" s="58">
        <v>46054.776574074072</v>
      </c>
      <c r="D46" s="55" t="s">
        <v>82</v>
      </c>
      <c r="E46" s="58">
        <v>46054.797442129631</v>
      </c>
      <c r="F46" s="46" t="s">
        <v>203</v>
      </c>
      <c r="G46" s="46" t="s">
        <v>204</v>
      </c>
      <c r="H46" s="49">
        <v>3</v>
      </c>
    </row>
    <row r="47" spans="1:8" x14ac:dyDescent="0.3">
      <c r="A47" s="34">
        <v>46</v>
      </c>
      <c r="B47" s="46" t="s">
        <v>205</v>
      </c>
      <c r="C47" s="58">
        <v>46054.504942129628</v>
      </c>
      <c r="D47" s="55" t="s">
        <v>82</v>
      </c>
      <c r="E47" s="58">
        <v>46054.52579861111</v>
      </c>
      <c r="F47" s="46" t="s">
        <v>206</v>
      </c>
      <c r="G47" s="46" t="s">
        <v>207</v>
      </c>
      <c r="H47" s="49">
        <v>5</v>
      </c>
    </row>
    <row r="48" spans="1:8" x14ac:dyDescent="0.3">
      <c r="A48" s="34">
        <v>47</v>
      </c>
      <c r="B48" s="46" t="s">
        <v>208</v>
      </c>
      <c r="C48" s="58">
        <v>46054.626342592594</v>
      </c>
      <c r="D48" s="55" t="s">
        <v>82</v>
      </c>
      <c r="E48" s="58">
        <v>46054.647187499999</v>
      </c>
      <c r="F48" s="46" t="s">
        <v>209</v>
      </c>
      <c r="G48" s="46" t="s">
        <v>210</v>
      </c>
      <c r="H48" s="49">
        <v>3</v>
      </c>
    </row>
    <row r="49" spans="1:8" x14ac:dyDescent="0.3">
      <c r="A49" s="34">
        <v>48</v>
      </c>
      <c r="B49" s="46" t="s">
        <v>211</v>
      </c>
      <c r="C49" s="58">
        <v>46054.453541666669</v>
      </c>
      <c r="D49" s="55" t="s">
        <v>82</v>
      </c>
      <c r="E49" s="58">
        <v>46054.474409722221</v>
      </c>
      <c r="F49" s="46" t="s">
        <v>212</v>
      </c>
      <c r="G49" s="46" t="s">
        <v>213</v>
      </c>
      <c r="H49" s="49">
        <v>3</v>
      </c>
    </row>
    <row r="50" spans="1:8" x14ac:dyDescent="0.3">
      <c r="A50" s="34">
        <v>49</v>
      </c>
      <c r="B50" s="46" t="s">
        <v>214</v>
      </c>
      <c r="C50" s="58">
        <v>46054.468634259261</v>
      </c>
      <c r="D50" s="55" t="s">
        <v>82</v>
      </c>
      <c r="E50" s="58">
        <v>46054.48946759259</v>
      </c>
      <c r="F50" s="46" t="s">
        <v>215</v>
      </c>
      <c r="G50" s="46" t="s">
        <v>216</v>
      </c>
      <c r="H50" s="49">
        <v>3</v>
      </c>
    </row>
    <row r="51" spans="1:8" x14ac:dyDescent="0.3">
      <c r="A51" s="34">
        <v>50</v>
      </c>
      <c r="B51" s="46" t="s">
        <v>217</v>
      </c>
      <c r="C51" s="58">
        <v>46054.557847222219</v>
      </c>
      <c r="D51" s="55" t="s">
        <v>82</v>
      </c>
      <c r="E51" s="58">
        <v>46054.578726851847</v>
      </c>
      <c r="F51" s="46" t="s">
        <v>218</v>
      </c>
      <c r="G51" s="46" t="s">
        <v>183</v>
      </c>
      <c r="H51" s="49">
        <v>4</v>
      </c>
    </row>
    <row r="52" spans="1:8" x14ac:dyDescent="0.3">
      <c r="A52" s="34">
        <v>51</v>
      </c>
      <c r="B52" s="46" t="s">
        <v>219</v>
      </c>
      <c r="C52" s="58">
        <v>46054.442129629628</v>
      </c>
      <c r="D52" s="55" t="s">
        <v>82</v>
      </c>
      <c r="E52" s="58">
        <v>46054.480752314812</v>
      </c>
      <c r="F52" s="46" t="s">
        <v>220</v>
      </c>
      <c r="G52" s="46" t="s">
        <v>221</v>
      </c>
      <c r="H52" s="49">
        <v>4</v>
      </c>
    </row>
    <row r="53" spans="1:8" x14ac:dyDescent="0.3">
      <c r="A53" s="34">
        <v>52</v>
      </c>
      <c r="B53" s="46" t="s">
        <v>222</v>
      </c>
      <c r="C53" s="58">
        <v>46054.340439814812</v>
      </c>
      <c r="D53" s="55" t="s">
        <v>82</v>
      </c>
      <c r="E53" s="58">
        <v>46054.373668981483</v>
      </c>
      <c r="F53" s="46" t="s">
        <v>223</v>
      </c>
      <c r="G53" s="46" t="s">
        <v>224</v>
      </c>
      <c r="H53" s="49">
        <v>5</v>
      </c>
    </row>
    <row r="54" spans="1:8" x14ac:dyDescent="0.3">
      <c r="A54" s="34">
        <v>53</v>
      </c>
      <c r="B54" s="46" t="s">
        <v>225</v>
      </c>
      <c r="C54" s="58">
        <v>46054.588761574072</v>
      </c>
      <c r="D54" s="55" t="s">
        <v>82</v>
      </c>
      <c r="E54" s="58">
        <v>46054.609629629631</v>
      </c>
      <c r="F54" s="46" t="s">
        <v>226</v>
      </c>
      <c r="G54" s="46" t="s">
        <v>227</v>
      </c>
      <c r="H54" s="49">
        <v>3</v>
      </c>
    </row>
    <row r="55" spans="1:8" x14ac:dyDescent="0.3">
      <c r="A55" s="34">
        <v>54</v>
      </c>
      <c r="B55" s="46" t="s">
        <v>228</v>
      </c>
      <c r="C55" s="58">
        <v>46054.366990740738</v>
      </c>
      <c r="D55" s="55" t="s">
        <v>82</v>
      </c>
      <c r="E55" s="58">
        <v>46054.38784722222</v>
      </c>
      <c r="F55" s="46" t="s">
        <v>229</v>
      </c>
      <c r="G55" s="46" t="s">
        <v>230</v>
      </c>
      <c r="H55" s="49">
        <v>4</v>
      </c>
    </row>
    <row r="56" spans="1:8" x14ac:dyDescent="0.3">
      <c r="A56" s="34">
        <v>55</v>
      </c>
      <c r="B56" s="46" t="s">
        <v>231</v>
      </c>
      <c r="C56" s="58">
        <v>46054.304479166669</v>
      </c>
      <c r="D56" s="55" t="s">
        <v>82</v>
      </c>
      <c r="E56" s="58">
        <v>46054.325335648151</v>
      </c>
      <c r="F56" s="46" t="s">
        <v>232</v>
      </c>
      <c r="G56" s="46" t="s">
        <v>233</v>
      </c>
      <c r="H56" s="49">
        <v>3</v>
      </c>
    </row>
    <row r="57" spans="1:8" x14ac:dyDescent="0.3">
      <c r="A57" s="34">
        <v>56</v>
      </c>
      <c r="B57" s="46" t="s">
        <v>234</v>
      </c>
      <c r="C57" s="58">
        <v>46054.486990740741</v>
      </c>
      <c r="D57" s="55" t="s">
        <v>82</v>
      </c>
      <c r="E57" s="58">
        <v>46054.507847222223</v>
      </c>
      <c r="F57" s="46" t="s">
        <v>235</v>
      </c>
      <c r="G57" s="46" t="s">
        <v>236</v>
      </c>
      <c r="H57" s="49">
        <v>4</v>
      </c>
    </row>
    <row r="58" spans="1:8" x14ac:dyDescent="0.3">
      <c r="A58" s="34">
        <v>57</v>
      </c>
      <c r="B58" s="46" t="s">
        <v>237</v>
      </c>
      <c r="C58" s="58">
        <v>46054.596516203703</v>
      </c>
      <c r="D58" s="55" t="s">
        <v>82</v>
      </c>
      <c r="E58" s="58">
        <v>46054.617349537039</v>
      </c>
      <c r="F58" s="46" t="s">
        <v>238</v>
      </c>
      <c r="G58" s="46" t="s">
        <v>239</v>
      </c>
      <c r="H58" s="49">
        <v>3</v>
      </c>
    </row>
    <row r="59" spans="1:8" x14ac:dyDescent="0.3">
      <c r="A59" s="34">
        <v>58</v>
      </c>
      <c r="B59" s="46" t="s">
        <v>240</v>
      </c>
      <c r="C59" s="58">
        <v>46054.505104166667</v>
      </c>
      <c r="D59" s="55" t="s">
        <v>82</v>
      </c>
      <c r="E59" s="58">
        <v>46054.525972222233</v>
      </c>
      <c r="F59" s="46" t="s">
        <v>241</v>
      </c>
      <c r="G59" s="46" t="s">
        <v>242</v>
      </c>
      <c r="H59" s="49">
        <v>3</v>
      </c>
    </row>
    <row r="60" spans="1:8" x14ac:dyDescent="0.3">
      <c r="A60" s="34">
        <v>59</v>
      </c>
      <c r="B60" s="46" t="s">
        <v>243</v>
      </c>
      <c r="C60" s="58">
        <v>46054.488449074073</v>
      </c>
      <c r="D60" s="55" t="s">
        <v>82</v>
      </c>
      <c r="E60" s="58">
        <v>46054.509293981479</v>
      </c>
      <c r="F60" s="46" t="s">
        <v>244</v>
      </c>
      <c r="G60" s="46" t="s">
        <v>245</v>
      </c>
      <c r="H60" s="49">
        <v>6</v>
      </c>
    </row>
    <row r="61" spans="1:8" x14ac:dyDescent="0.3">
      <c r="A61" s="34">
        <v>60</v>
      </c>
      <c r="B61" s="46" t="s">
        <v>246</v>
      </c>
      <c r="C61" s="58">
        <v>46054.304328703707</v>
      </c>
      <c r="D61" s="55" t="s">
        <v>82</v>
      </c>
      <c r="E61" s="58">
        <v>46054.325162037043</v>
      </c>
      <c r="F61" s="46" t="s">
        <v>247</v>
      </c>
      <c r="G61" s="46" t="s">
        <v>248</v>
      </c>
      <c r="H61" s="49">
        <v>5</v>
      </c>
    </row>
    <row r="62" spans="1:8" x14ac:dyDescent="0.3">
      <c r="A62" s="34">
        <v>61</v>
      </c>
      <c r="B62" s="46" t="s">
        <v>249</v>
      </c>
      <c r="C62" s="58">
        <v>46054.516203703701</v>
      </c>
      <c r="D62" s="55" t="s">
        <v>82</v>
      </c>
      <c r="E62" s="58">
        <v>46054.537048611113</v>
      </c>
      <c r="F62" s="46" t="s">
        <v>250</v>
      </c>
      <c r="G62" s="46" t="s">
        <v>183</v>
      </c>
      <c r="H62" s="49">
        <v>4</v>
      </c>
    </row>
    <row r="63" spans="1:8" x14ac:dyDescent="0.3">
      <c r="A63" s="34">
        <v>62</v>
      </c>
      <c r="B63" s="46" t="s">
        <v>44</v>
      </c>
      <c r="C63" s="58">
        <v>46054.548738425918</v>
      </c>
      <c r="D63" s="55" t="s">
        <v>82</v>
      </c>
      <c r="E63" s="58">
        <v>46054.56958333333</v>
      </c>
      <c r="F63" s="46" t="s">
        <v>251</v>
      </c>
      <c r="G63" s="46" t="s">
        <v>113</v>
      </c>
      <c r="H63" s="49">
        <v>3</v>
      </c>
    </row>
    <row r="64" spans="1:8" x14ac:dyDescent="0.3">
      <c r="A64" s="34">
        <v>63</v>
      </c>
      <c r="B64" s="46" t="s">
        <v>67</v>
      </c>
      <c r="C64" s="58">
        <v>46054.568819444437</v>
      </c>
      <c r="D64" s="55" t="s">
        <v>82</v>
      </c>
      <c r="E64" s="58">
        <v>46054.589699074073</v>
      </c>
      <c r="F64" s="46" t="s">
        <v>252</v>
      </c>
      <c r="G64" s="46" t="s">
        <v>253</v>
      </c>
      <c r="H64" s="49">
        <v>8</v>
      </c>
    </row>
    <row r="65" spans="1:8" x14ac:dyDescent="0.3">
      <c r="A65" s="34">
        <v>64</v>
      </c>
      <c r="B65" s="46" t="s">
        <v>59</v>
      </c>
      <c r="C65" s="58">
        <v>46054.514421296299</v>
      </c>
      <c r="D65" s="55" t="s">
        <v>82</v>
      </c>
      <c r="E65" s="58">
        <v>46054.545740740738</v>
      </c>
      <c r="F65" s="46" t="s">
        <v>254</v>
      </c>
      <c r="G65" s="46" t="s">
        <v>255</v>
      </c>
      <c r="H65" s="49">
        <v>7</v>
      </c>
    </row>
    <row r="66" spans="1:8" x14ac:dyDescent="0.3">
      <c r="A66" s="34">
        <v>65</v>
      </c>
      <c r="B66" s="46" t="s">
        <v>256</v>
      </c>
      <c r="C66" s="58">
        <v>46054.430497685193</v>
      </c>
      <c r="D66" s="55" t="s">
        <v>82</v>
      </c>
      <c r="E66" s="58">
        <v>46054.451354166667</v>
      </c>
      <c r="F66" s="46" t="s">
        <v>257</v>
      </c>
      <c r="G66" s="46" t="s">
        <v>258</v>
      </c>
      <c r="H66" s="49">
        <v>3</v>
      </c>
    </row>
    <row r="67" spans="1:8" x14ac:dyDescent="0.3">
      <c r="A67" s="34">
        <v>66</v>
      </c>
      <c r="B67" s="46" t="s">
        <v>259</v>
      </c>
      <c r="C67" s="58">
        <v>46054.544803240737</v>
      </c>
      <c r="D67" s="55" t="s">
        <v>82</v>
      </c>
      <c r="E67" s="58">
        <v>46054.565671296303</v>
      </c>
      <c r="F67" s="46" t="s">
        <v>260</v>
      </c>
      <c r="G67" s="46" t="s">
        <v>140</v>
      </c>
      <c r="H67" s="49">
        <v>3</v>
      </c>
    </row>
    <row r="68" spans="1:8" x14ac:dyDescent="0.3">
      <c r="A68" s="34">
        <v>67</v>
      </c>
      <c r="B68" s="46" t="s">
        <v>261</v>
      </c>
      <c r="C68" s="58">
        <v>46054.755671296298</v>
      </c>
      <c r="D68" s="55" t="s">
        <v>82</v>
      </c>
      <c r="E68" s="58">
        <v>46054.776504629634</v>
      </c>
      <c r="F68" s="46" t="s">
        <v>262</v>
      </c>
      <c r="G68" s="46" t="s">
        <v>263</v>
      </c>
      <c r="H68" s="49">
        <v>3</v>
      </c>
    </row>
    <row r="69" spans="1:8" x14ac:dyDescent="0.3">
      <c r="A69" s="34">
        <v>68</v>
      </c>
      <c r="B69" s="46" t="s">
        <v>264</v>
      </c>
      <c r="C69" s="58">
        <v>46054.377164351848</v>
      </c>
      <c r="D69" s="55" t="s">
        <v>82</v>
      </c>
      <c r="E69" s="58">
        <v>46054.398009259261</v>
      </c>
      <c r="F69" s="46" t="s">
        <v>265</v>
      </c>
      <c r="G69" s="46" t="s">
        <v>266</v>
      </c>
      <c r="H69" s="49">
        <v>3</v>
      </c>
    </row>
    <row r="70" spans="1:8" x14ac:dyDescent="0.3">
      <c r="A70" s="34">
        <v>69</v>
      </c>
      <c r="B70" s="46" t="s">
        <v>267</v>
      </c>
      <c r="C70" s="58">
        <v>46054.487037037034</v>
      </c>
      <c r="D70" s="55" t="s">
        <v>82</v>
      </c>
      <c r="E70" s="58">
        <v>46054.507905092592</v>
      </c>
      <c r="F70" s="46" t="s">
        <v>268</v>
      </c>
      <c r="G70" s="46" t="s">
        <v>269</v>
      </c>
      <c r="H70" s="49">
        <v>5</v>
      </c>
    </row>
    <row r="71" spans="1:8" x14ac:dyDescent="0.3">
      <c r="A71" s="34">
        <v>70</v>
      </c>
      <c r="B71" s="46" t="s">
        <v>270</v>
      </c>
      <c r="C71" s="58">
        <v>46054.375856481478</v>
      </c>
      <c r="D71" s="55" t="s">
        <v>82</v>
      </c>
      <c r="E71" s="58">
        <v>46054.396736111114</v>
      </c>
      <c r="F71" s="46" t="s">
        <v>271</v>
      </c>
      <c r="G71" s="46" t="s">
        <v>266</v>
      </c>
      <c r="H71" s="49">
        <v>4</v>
      </c>
    </row>
    <row r="72" spans="1:8" x14ac:dyDescent="0.3">
      <c r="A72" s="34">
        <v>71</v>
      </c>
      <c r="B72" s="46" t="s">
        <v>272</v>
      </c>
      <c r="C72" s="58">
        <v>46054.484826388893</v>
      </c>
      <c r="D72" s="55" t="s">
        <v>82</v>
      </c>
      <c r="E72" s="58">
        <v>46054.505706018521</v>
      </c>
      <c r="F72" s="46" t="s">
        <v>273</v>
      </c>
      <c r="G72" s="46" t="s">
        <v>274</v>
      </c>
      <c r="H72" s="49">
        <v>5</v>
      </c>
    </row>
    <row r="73" spans="1:8" x14ac:dyDescent="0.3">
      <c r="A73" s="34">
        <v>72</v>
      </c>
      <c r="B73" s="46" t="s">
        <v>275</v>
      </c>
      <c r="C73" s="58">
        <v>46054.340358796297</v>
      </c>
      <c r="D73" s="55" t="s">
        <v>82</v>
      </c>
      <c r="E73" s="58">
        <v>46054.361226851863</v>
      </c>
      <c r="F73" s="46" t="s">
        <v>276</v>
      </c>
      <c r="G73" s="46" t="s">
        <v>277</v>
      </c>
      <c r="H73" s="49">
        <v>6</v>
      </c>
    </row>
    <row r="74" spans="1:8" x14ac:dyDescent="0.3">
      <c r="A74" s="34">
        <v>73</v>
      </c>
      <c r="B74" s="46" t="s">
        <v>278</v>
      </c>
      <c r="C74" s="58">
        <v>46054.369537037041</v>
      </c>
      <c r="D74" s="55" t="s">
        <v>82</v>
      </c>
      <c r="E74" s="58">
        <v>46054.390416666669</v>
      </c>
      <c r="F74" s="46" t="s">
        <v>279</v>
      </c>
      <c r="G74" s="46" t="s">
        <v>280</v>
      </c>
      <c r="H74" s="49">
        <v>5</v>
      </c>
    </row>
    <row r="75" spans="1:8" x14ac:dyDescent="0.3">
      <c r="A75" s="34">
        <v>74</v>
      </c>
      <c r="B75" s="46" t="s">
        <v>281</v>
      </c>
      <c r="C75" s="58">
        <v>46054.486157407409</v>
      </c>
      <c r="D75" s="55" t="s">
        <v>82</v>
      </c>
      <c r="E75" s="58">
        <v>46054.507037037038</v>
      </c>
      <c r="F75" s="46" t="s">
        <v>282</v>
      </c>
      <c r="G75" s="46" t="s">
        <v>283</v>
      </c>
      <c r="H75" s="49">
        <v>4</v>
      </c>
    </row>
    <row r="76" spans="1:8" x14ac:dyDescent="0.3">
      <c r="A76" s="34">
        <v>75</v>
      </c>
      <c r="B76" s="46" t="s">
        <v>60</v>
      </c>
      <c r="C76" s="58">
        <v>46055.498425925929</v>
      </c>
      <c r="D76" s="55" t="s">
        <v>284</v>
      </c>
      <c r="E76" s="58">
        <v>46055.519282407397</v>
      </c>
      <c r="F76" s="46" t="s">
        <v>285</v>
      </c>
      <c r="G76" s="46" t="s">
        <v>286</v>
      </c>
      <c r="H76" s="49">
        <v>3</v>
      </c>
    </row>
    <row r="77" spans="1:8" x14ac:dyDescent="0.3">
      <c r="A77" s="34">
        <v>76</v>
      </c>
      <c r="B77" s="46" t="s">
        <v>287</v>
      </c>
      <c r="C77" s="58">
        <v>46055.457777777781</v>
      </c>
      <c r="D77" s="55" t="s">
        <v>284</v>
      </c>
      <c r="E77" s="58">
        <v>46055.47861111111</v>
      </c>
      <c r="F77" s="46" t="s">
        <v>288</v>
      </c>
      <c r="G77" s="46" t="s">
        <v>289</v>
      </c>
      <c r="H77" s="49">
        <v>3</v>
      </c>
    </row>
    <row r="78" spans="1:8" x14ac:dyDescent="0.3">
      <c r="A78" s="34">
        <v>77</v>
      </c>
      <c r="B78" s="46" t="s">
        <v>290</v>
      </c>
      <c r="C78" s="58">
        <v>46055.40792824074</v>
      </c>
      <c r="D78" s="55" t="s">
        <v>284</v>
      </c>
      <c r="E78" s="58">
        <v>46055.428807870368</v>
      </c>
      <c r="F78" s="46" t="s">
        <v>291</v>
      </c>
      <c r="G78" s="46" t="s">
        <v>213</v>
      </c>
      <c r="H78" s="49">
        <v>3</v>
      </c>
    </row>
    <row r="79" spans="1:8" x14ac:dyDescent="0.3">
      <c r="A79" s="34">
        <v>78</v>
      </c>
      <c r="B79" s="46" t="s">
        <v>292</v>
      </c>
      <c r="C79" s="58">
        <v>46055.422013888892</v>
      </c>
      <c r="D79" s="55" t="s">
        <v>284</v>
      </c>
      <c r="E79" s="58">
        <v>46055.442858796298</v>
      </c>
      <c r="F79" s="46" t="s">
        <v>293</v>
      </c>
      <c r="G79" s="46" t="s">
        <v>294</v>
      </c>
      <c r="H79" s="49">
        <v>3</v>
      </c>
    </row>
    <row r="80" spans="1:8" x14ac:dyDescent="0.3">
      <c r="A80" s="34">
        <v>79</v>
      </c>
      <c r="B80" s="46" t="s">
        <v>102</v>
      </c>
      <c r="C80" s="58">
        <v>46055.418090277781</v>
      </c>
      <c r="D80" s="55" t="s">
        <v>284</v>
      </c>
      <c r="E80" s="58">
        <v>46055.438969907409</v>
      </c>
      <c r="F80" s="46" t="s">
        <v>295</v>
      </c>
      <c r="G80" s="46" t="s">
        <v>296</v>
      </c>
      <c r="H80" s="49">
        <v>4</v>
      </c>
    </row>
    <row r="81" spans="1:8" x14ac:dyDescent="0.3">
      <c r="A81" s="34">
        <v>80</v>
      </c>
      <c r="B81" s="46" t="s">
        <v>114</v>
      </c>
      <c r="C81" s="58">
        <v>46055.38616898148</v>
      </c>
      <c r="D81" s="55" t="s">
        <v>284</v>
      </c>
      <c r="E81" s="58">
        <v>46055.407002314823</v>
      </c>
      <c r="F81" s="46" t="s">
        <v>297</v>
      </c>
      <c r="G81" s="46" t="s">
        <v>298</v>
      </c>
      <c r="H81" s="49">
        <v>3</v>
      </c>
    </row>
    <row r="82" spans="1:8" x14ac:dyDescent="0.3">
      <c r="A82" s="34">
        <v>81</v>
      </c>
      <c r="B82" s="46" t="s">
        <v>299</v>
      </c>
      <c r="C82" s="58">
        <v>46055.474710648137</v>
      </c>
      <c r="D82" s="55" t="s">
        <v>284</v>
      </c>
      <c r="E82" s="58">
        <v>46055.495567129627</v>
      </c>
      <c r="F82" s="46" t="s">
        <v>300</v>
      </c>
      <c r="G82" s="46" t="s">
        <v>183</v>
      </c>
      <c r="H82" s="49">
        <v>4</v>
      </c>
    </row>
    <row r="83" spans="1:8" x14ac:dyDescent="0.3">
      <c r="A83" s="34">
        <v>82</v>
      </c>
      <c r="B83" s="46" t="s">
        <v>53</v>
      </c>
      <c r="C83" s="58">
        <v>46055.541817129633</v>
      </c>
      <c r="D83" s="55" t="s">
        <v>284</v>
      </c>
      <c r="E83" s="58">
        <v>46055.562662037039</v>
      </c>
      <c r="F83" s="46" t="s">
        <v>301</v>
      </c>
      <c r="G83" s="46" t="s">
        <v>302</v>
      </c>
      <c r="H83" s="49">
        <v>3</v>
      </c>
    </row>
    <row r="84" spans="1:8" x14ac:dyDescent="0.3">
      <c r="A84" s="34">
        <v>83</v>
      </c>
      <c r="B84" s="46" t="s">
        <v>135</v>
      </c>
      <c r="C84" s="58">
        <v>46055.378020833326</v>
      </c>
      <c r="D84" s="55" t="s">
        <v>284</v>
      </c>
      <c r="E84" s="58">
        <v>46055.398865740739</v>
      </c>
      <c r="F84" s="46" t="s">
        <v>303</v>
      </c>
      <c r="G84" s="46" t="s">
        <v>304</v>
      </c>
      <c r="H84" s="49">
        <v>6</v>
      </c>
    </row>
    <row r="85" spans="1:8" x14ac:dyDescent="0.3">
      <c r="A85" s="34">
        <v>84</v>
      </c>
      <c r="B85" s="46" t="s">
        <v>138</v>
      </c>
      <c r="C85" s="58">
        <v>46055.565104166657</v>
      </c>
      <c r="D85" s="55" t="s">
        <v>284</v>
      </c>
      <c r="E85" s="58">
        <v>46055.585949074077</v>
      </c>
      <c r="F85" s="46" t="s">
        <v>305</v>
      </c>
      <c r="G85" s="46" t="s">
        <v>306</v>
      </c>
      <c r="H85" s="49">
        <v>3</v>
      </c>
    </row>
    <row r="86" spans="1:8" x14ac:dyDescent="0.3">
      <c r="A86" s="34">
        <v>85</v>
      </c>
      <c r="B86" s="46" t="s">
        <v>307</v>
      </c>
      <c r="C86" s="58">
        <v>46055.546967592592</v>
      </c>
      <c r="D86" s="55" t="s">
        <v>284</v>
      </c>
      <c r="E86" s="58">
        <v>46055.567812499998</v>
      </c>
      <c r="F86" s="46" t="s">
        <v>308</v>
      </c>
      <c r="G86" s="46" t="s">
        <v>309</v>
      </c>
      <c r="H86" s="49">
        <v>3</v>
      </c>
    </row>
    <row r="87" spans="1:8" x14ac:dyDescent="0.3">
      <c r="A87" s="34">
        <v>86</v>
      </c>
      <c r="B87" s="46" t="s">
        <v>30</v>
      </c>
      <c r="C87" s="58">
        <v>46055.565381944441</v>
      </c>
      <c r="D87" s="55" t="s">
        <v>284</v>
      </c>
      <c r="E87" s="58">
        <v>46055.586238425924</v>
      </c>
      <c r="F87" s="46" t="s">
        <v>310</v>
      </c>
      <c r="G87" s="46" t="s">
        <v>311</v>
      </c>
      <c r="H87" s="49">
        <v>3</v>
      </c>
    </row>
    <row r="88" spans="1:8" x14ac:dyDescent="0.3">
      <c r="A88" s="34">
        <v>87</v>
      </c>
      <c r="B88" s="46" t="s">
        <v>144</v>
      </c>
      <c r="C88" s="58">
        <v>46055.358078703714</v>
      </c>
      <c r="D88" s="55" t="s">
        <v>284</v>
      </c>
      <c r="E88" s="58">
        <v>46055.378946759258</v>
      </c>
      <c r="F88" s="46" t="s">
        <v>312</v>
      </c>
      <c r="G88" s="46" t="s">
        <v>183</v>
      </c>
      <c r="H88" s="49">
        <v>5</v>
      </c>
    </row>
    <row r="89" spans="1:8" x14ac:dyDescent="0.3">
      <c r="A89" s="34">
        <v>88</v>
      </c>
      <c r="B89" s="46" t="s">
        <v>313</v>
      </c>
      <c r="C89" s="58">
        <v>46055.444201388891</v>
      </c>
      <c r="D89" s="55" t="s">
        <v>284</v>
      </c>
      <c r="E89" s="58">
        <v>46055.465081018519</v>
      </c>
      <c r="F89" s="46" t="s">
        <v>314</v>
      </c>
      <c r="G89" s="46" t="s">
        <v>309</v>
      </c>
      <c r="H89" s="49">
        <v>3</v>
      </c>
    </row>
    <row r="90" spans="1:8" x14ac:dyDescent="0.3">
      <c r="A90" s="34">
        <v>89</v>
      </c>
      <c r="B90" s="46" t="s">
        <v>34</v>
      </c>
      <c r="C90" s="58">
        <v>46055.430092592593</v>
      </c>
      <c r="D90" s="55" t="s">
        <v>284</v>
      </c>
      <c r="E90" s="58">
        <v>46055.450949074067</v>
      </c>
      <c r="F90" s="46" t="s">
        <v>315</v>
      </c>
      <c r="G90" s="46" t="s">
        <v>316</v>
      </c>
      <c r="H90" s="49">
        <v>3</v>
      </c>
    </row>
    <row r="91" spans="1:8" x14ac:dyDescent="0.3">
      <c r="A91" s="34">
        <v>90</v>
      </c>
      <c r="B91" s="46" t="s">
        <v>317</v>
      </c>
      <c r="C91" s="58">
        <v>46055.543495370373</v>
      </c>
      <c r="D91" s="55" t="s">
        <v>284</v>
      </c>
      <c r="E91" s="58">
        <v>46055.564340277779</v>
      </c>
      <c r="F91" s="46" t="s">
        <v>318</v>
      </c>
      <c r="G91" s="46" t="s">
        <v>319</v>
      </c>
      <c r="H91" s="49">
        <v>4</v>
      </c>
    </row>
    <row r="92" spans="1:8" x14ac:dyDescent="0.3">
      <c r="A92" s="34">
        <v>91</v>
      </c>
      <c r="B92" s="46" t="s">
        <v>179</v>
      </c>
      <c r="C92" s="58">
        <v>46055.49622685185</v>
      </c>
      <c r="D92" s="55" t="s">
        <v>284</v>
      </c>
      <c r="E92" s="58">
        <v>46055.517060185193</v>
      </c>
      <c r="F92" s="46" t="s">
        <v>320</v>
      </c>
      <c r="G92" s="46" t="s">
        <v>321</v>
      </c>
      <c r="H92" s="49">
        <v>4</v>
      </c>
    </row>
    <row r="93" spans="1:8" x14ac:dyDescent="0.3">
      <c r="A93" s="34">
        <v>92</v>
      </c>
      <c r="B93" s="46" t="s">
        <v>62</v>
      </c>
      <c r="C93" s="58">
        <v>46055.493726851862</v>
      </c>
      <c r="D93" s="55" t="s">
        <v>284</v>
      </c>
      <c r="E93" s="58">
        <v>46055.51457175926</v>
      </c>
      <c r="F93" s="46" t="s">
        <v>322</v>
      </c>
      <c r="G93" s="46" t="s">
        <v>323</v>
      </c>
      <c r="H93" s="49">
        <v>4</v>
      </c>
    </row>
    <row r="94" spans="1:8" x14ac:dyDescent="0.3">
      <c r="A94" s="34">
        <v>93</v>
      </c>
      <c r="B94" s="46" t="s">
        <v>324</v>
      </c>
      <c r="C94" s="58">
        <v>46055.427662037036</v>
      </c>
      <c r="D94" s="55" t="s">
        <v>284</v>
      </c>
      <c r="E94" s="58">
        <v>46055.448518518519</v>
      </c>
      <c r="F94" s="46" t="s">
        <v>325</v>
      </c>
      <c r="G94" s="46" t="s">
        <v>98</v>
      </c>
      <c r="H94" s="49">
        <v>5</v>
      </c>
    </row>
    <row r="95" spans="1:8" x14ac:dyDescent="0.3">
      <c r="A95" s="34">
        <v>94</v>
      </c>
      <c r="B95" s="46" t="s">
        <v>326</v>
      </c>
      <c r="C95" s="58">
        <v>46055.492013888892</v>
      </c>
      <c r="D95" s="55" t="s">
        <v>284</v>
      </c>
      <c r="E95" s="58">
        <v>46055.51284722222</v>
      </c>
      <c r="F95" s="46" t="s">
        <v>327</v>
      </c>
      <c r="G95" s="46" t="s">
        <v>140</v>
      </c>
      <c r="H95" s="49">
        <v>4</v>
      </c>
    </row>
    <row r="96" spans="1:8" x14ac:dyDescent="0.3">
      <c r="A96" s="34">
        <v>95</v>
      </c>
      <c r="B96" s="46" t="s">
        <v>35</v>
      </c>
      <c r="C96" s="58">
        <v>46055.440162037034</v>
      </c>
      <c r="D96" s="55" t="s">
        <v>284</v>
      </c>
      <c r="E96" s="58">
        <v>46055.461006944453</v>
      </c>
      <c r="F96" s="46" t="s">
        <v>328</v>
      </c>
      <c r="G96" s="46" t="s">
        <v>329</v>
      </c>
      <c r="H96" s="49">
        <v>5</v>
      </c>
    </row>
    <row r="97" spans="1:8" x14ac:dyDescent="0.3">
      <c r="A97" s="34">
        <v>96</v>
      </c>
      <c r="B97" s="46" t="s">
        <v>37</v>
      </c>
      <c r="C97" s="58">
        <v>46055.48809027778</v>
      </c>
      <c r="D97" s="55" t="s">
        <v>284</v>
      </c>
      <c r="E97" s="58">
        <v>46055.508969907409</v>
      </c>
      <c r="F97" s="46" t="s">
        <v>330</v>
      </c>
      <c r="G97" s="46" t="s">
        <v>331</v>
      </c>
      <c r="H97" s="49">
        <v>3</v>
      </c>
    </row>
    <row r="98" spans="1:8" x14ac:dyDescent="0.3">
      <c r="A98" s="34">
        <v>97</v>
      </c>
      <c r="B98" s="46" t="s">
        <v>70</v>
      </c>
      <c r="C98" s="58">
        <v>46055.510416666657</v>
      </c>
      <c r="D98" s="55" t="s">
        <v>284</v>
      </c>
      <c r="E98" s="58">
        <v>46055.531284722223</v>
      </c>
      <c r="F98" s="46" t="s">
        <v>332</v>
      </c>
      <c r="G98" s="46" t="s">
        <v>333</v>
      </c>
      <c r="H98" s="49">
        <v>5</v>
      </c>
    </row>
    <row r="99" spans="1:8" x14ac:dyDescent="0.3">
      <c r="A99" s="34">
        <v>98</v>
      </c>
      <c r="B99" s="46" t="s">
        <v>334</v>
      </c>
      <c r="C99" s="58">
        <v>46055.489085648151</v>
      </c>
      <c r="D99" s="55" t="s">
        <v>284</v>
      </c>
      <c r="E99" s="58">
        <v>46055.530069444438</v>
      </c>
      <c r="F99" s="46" t="s">
        <v>335</v>
      </c>
      <c r="G99" s="46" t="s">
        <v>304</v>
      </c>
      <c r="H99" s="49">
        <v>5</v>
      </c>
    </row>
    <row r="100" spans="1:8" x14ac:dyDescent="0.3">
      <c r="A100" s="34">
        <v>99</v>
      </c>
      <c r="B100" s="46" t="s">
        <v>199</v>
      </c>
      <c r="C100" s="58">
        <v>46055.48165509259</v>
      </c>
      <c r="D100" s="55" t="s">
        <v>284</v>
      </c>
      <c r="E100" s="58">
        <v>46055.502523148149</v>
      </c>
      <c r="F100" s="46" t="s">
        <v>336</v>
      </c>
      <c r="G100" s="46" t="s">
        <v>323</v>
      </c>
      <c r="H100" s="49">
        <v>4</v>
      </c>
    </row>
    <row r="101" spans="1:8" x14ac:dyDescent="0.3">
      <c r="A101" s="34">
        <v>100</v>
      </c>
      <c r="B101" s="46" t="s">
        <v>337</v>
      </c>
      <c r="C101" s="58">
        <v>46055.495034722233</v>
      </c>
      <c r="D101" s="55" t="s">
        <v>284</v>
      </c>
      <c r="E101" s="58">
        <v>46055.5158912037</v>
      </c>
      <c r="F101" s="46" t="s">
        <v>338</v>
      </c>
      <c r="G101" s="46" t="s">
        <v>207</v>
      </c>
      <c r="H101" s="49">
        <v>4</v>
      </c>
    </row>
    <row r="102" spans="1:8" x14ac:dyDescent="0.3">
      <c r="A102" s="34">
        <v>101</v>
      </c>
      <c r="B102" s="46" t="s">
        <v>339</v>
      </c>
      <c r="C102" s="58">
        <v>46055.462326388893</v>
      </c>
      <c r="D102" s="55" t="s">
        <v>284</v>
      </c>
      <c r="E102" s="58">
        <v>46055.483159722222</v>
      </c>
      <c r="F102" s="46" t="s">
        <v>340</v>
      </c>
      <c r="G102" s="46" t="s">
        <v>333</v>
      </c>
      <c r="H102" s="49">
        <v>5</v>
      </c>
    </row>
    <row r="103" spans="1:8" x14ac:dyDescent="0.3">
      <c r="A103" s="34">
        <v>102</v>
      </c>
      <c r="B103" s="46" t="s">
        <v>341</v>
      </c>
      <c r="C103" s="58">
        <v>46055.430671296293</v>
      </c>
      <c r="D103" s="55" t="s">
        <v>284</v>
      </c>
      <c r="E103" s="58">
        <v>46055.451527777783</v>
      </c>
      <c r="F103" s="46" t="s">
        <v>342</v>
      </c>
      <c r="G103" s="46" t="s">
        <v>343</v>
      </c>
      <c r="H103" s="49">
        <v>3</v>
      </c>
    </row>
    <row r="104" spans="1:8" x14ac:dyDescent="0.3">
      <c r="A104" s="34">
        <v>103</v>
      </c>
      <c r="B104" s="46" t="s">
        <v>344</v>
      </c>
      <c r="C104" s="58">
        <v>46055.497129629628</v>
      </c>
      <c r="D104" s="55" t="s">
        <v>284</v>
      </c>
      <c r="E104" s="58">
        <v>46055.518009259264</v>
      </c>
      <c r="F104" s="46" t="s">
        <v>345</v>
      </c>
      <c r="G104" s="46" t="s">
        <v>346</v>
      </c>
      <c r="H104" s="49">
        <v>3</v>
      </c>
    </row>
    <row r="105" spans="1:8" x14ac:dyDescent="0.3">
      <c r="A105" s="34">
        <v>104</v>
      </c>
      <c r="B105" s="46" t="s">
        <v>347</v>
      </c>
      <c r="C105" s="58">
        <v>46055.599270833343</v>
      </c>
      <c r="D105" s="55" t="s">
        <v>284</v>
      </c>
      <c r="E105" s="58">
        <v>46055.620104166657</v>
      </c>
      <c r="F105" s="46" t="s">
        <v>348</v>
      </c>
      <c r="G105" s="46" t="s">
        <v>349</v>
      </c>
      <c r="H105" s="49">
        <v>3</v>
      </c>
    </row>
    <row r="106" spans="1:8" x14ac:dyDescent="0.3">
      <c r="A106" s="34">
        <v>105</v>
      </c>
      <c r="B106" s="46" t="s">
        <v>350</v>
      </c>
      <c r="C106" s="58">
        <v>46055.662326388891</v>
      </c>
      <c r="D106" s="55" t="s">
        <v>284</v>
      </c>
      <c r="E106" s="58">
        <v>46055.683217592603</v>
      </c>
      <c r="F106" s="46" t="s">
        <v>351</v>
      </c>
      <c r="G106" s="46" t="s">
        <v>352</v>
      </c>
      <c r="H106" s="49">
        <v>3</v>
      </c>
    </row>
    <row r="107" spans="1:8" x14ac:dyDescent="0.3">
      <c r="A107" s="34">
        <v>106</v>
      </c>
      <c r="B107" s="46" t="s">
        <v>214</v>
      </c>
      <c r="C107" s="58">
        <v>46055.696053240739</v>
      </c>
      <c r="D107" s="55" t="s">
        <v>284</v>
      </c>
      <c r="E107" s="58">
        <v>46055.716898148137</v>
      </c>
      <c r="F107" s="46" t="s">
        <v>353</v>
      </c>
      <c r="G107" s="46" t="s">
        <v>354</v>
      </c>
      <c r="H107" s="49">
        <v>3</v>
      </c>
    </row>
    <row r="108" spans="1:8" x14ac:dyDescent="0.3">
      <c r="A108" s="34">
        <v>107</v>
      </c>
      <c r="B108" s="46" t="s">
        <v>355</v>
      </c>
      <c r="C108" s="58">
        <v>46055.522557870368</v>
      </c>
      <c r="D108" s="55" t="s">
        <v>284</v>
      </c>
      <c r="E108" s="58">
        <v>46055.543414351851</v>
      </c>
      <c r="F108" s="46" t="s">
        <v>356</v>
      </c>
      <c r="G108" s="46" t="s">
        <v>266</v>
      </c>
      <c r="H108" s="49">
        <v>3</v>
      </c>
    </row>
    <row r="109" spans="1:8" x14ac:dyDescent="0.3">
      <c r="A109" s="34">
        <v>108</v>
      </c>
      <c r="B109" s="46" t="s">
        <v>217</v>
      </c>
      <c r="C109" s="58">
        <v>46055.503969907397</v>
      </c>
      <c r="D109" s="55" t="s">
        <v>284</v>
      </c>
      <c r="E109" s="58">
        <v>46055.524837962963</v>
      </c>
      <c r="F109" s="46" t="s">
        <v>357</v>
      </c>
      <c r="G109" s="46" t="s">
        <v>358</v>
      </c>
      <c r="H109" s="49">
        <v>3</v>
      </c>
    </row>
    <row r="110" spans="1:8" x14ac:dyDescent="0.3">
      <c r="A110" s="34">
        <v>109</v>
      </c>
      <c r="B110" s="46" t="s">
        <v>33</v>
      </c>
      <c r="C110" s="58">
        <v>46055.431250000001</v>
      </c>
      <c r="D110" s="55" t="s">
        <v>284</v>
      </c>
      <c r="E110" s="58">
        <v>46055.452106481483</v>
      </c>
      <c r="F110" s="46" t="s">
        <v>359</v>
      </c>
      <c r="G110" s="46" t="s">
        <v>98</v>
      </c>
      <c r="H110" s="49">
        <v>4</v>
      </c>
    </row>
    <row r="111" spans="1:8" x14ac:dyDescent="0.3">
      <c r="A111" s="34">
        <v>110</v>
      </c>
      <c r="B111" s="46" t="s">
        <v>228</v>
      </c>
      <c r="C111" s="58">
        <v>46055.430648148147</v>
      </c>
      <c r="D111" s="55" t="s">
        <v>284</v>
      </c>
      <c r="E111" s="58">
        <v>46055.451527777783</v>
      </c>
      <c r="F111" s="46" t="s">
        <v>360</v>
      </c>
      <c r="G111" s="46" t="s">
        <v>98</v>
      </c>
      <c r="H111" s="49">
        <v>5</v>
      </c>
    </row>
    <row r="112" spans="1:8" x14ac:dyDescent="0.3">
      <c r="A112" s="34">
        <v>111</v>
      </c>
      <c r="B112" s="46" t="s">
        <v>234</v>
      </c>
      <c r="C112" s="58">
        <v>46055.385000000002</v>
      </c>
      <c r="D112" s="55" t="s">
        <v>284</v>
      </c>
      <c r="E112" s="58">
        <v>46055.405833333331</v>
      </c>
      <c r="F112" s="46" t="s">
        <v>361</v>
      </c>
      <c r="G112" s="46" t="s">
        <v>362</v>
      </c>
      <c r="H112" s="49">
        <v>3</v>
      </c>
    </row>
    <row r="113" spans="1:8" x14ac:dyDescent="0.3">
      <c r="A113" s="34">
        <v>112</v>
      </c>
      <c r="B113" s="46" t="s">
        <v>363</v>
      </c>
      <c r="C113" s="58">
        <v>46055.643171296288</v>
      </c>
      <c r="D113" s="55" t="s">
        <v>284</v>
      </c>
      <c r="E113" s="58">
        <v>46055.6640625</v>
      </c>
      <c r="F113" s="46" t="s">
        <v>364</v>
      </c>
      <c r="G113" s="46" t="s">
        <v>365</v>
      </c>
      <c r="H113" s="49">
        <v>3</v>
      </c>
    </row>
    <row r="114" spans="1:8" x14ac:dyDescent="0.3">
      <c r="A114" s="34">
        <v>113</v>
      </c>
      <c r="B114" s="46" t="s">
        <v>243</v>
      </c>
      <c r="C114" s="58">
        <v>46055.386469907397</v>
      </c>
      <c r="D114" s="55" t="s">
        <v>284</v>
      </c>
      <c r="E114" s="58">
        <v>46055.407337962963</v>
      </c>
      <c r="F114" s="46" t="s">
        <v>366</v>
      </c>
      <c r="G114" s="46" t="s">
        <v>367</v>
      </c>
      <c r="H114" s="49">
        <v>3</v>
      </c>
    </row>
    <row r="115" spans="1:8" x14ac:dyDescent="0.3">
      <c r="A115" s="34">
        <v>114</v>
      </c>
      <c r="B115" s="46" t="s">
        <v>249</v>
      </c>
      <c r="C115" s="58">
        <v>46055.540231481478</v>
      </c>
      <c r="D115" s="55" t="s">
        <v>284</v>
      </c>
      <c r="E115" s="58">
        <v>46055.56108796296</v>
      </c>
      <c r="F115" s="46" t="s">
        <v>368</v>
      </c>
      <c r="G115" s="46" t="s">
        <v>369</v>
      </c>
      <c r="H115" s="49">
        <v>5</v>
      </c>
    </row>
    <row r="116" spans="1:8" x14ac:dyDescent="0.3">
      <c r="A116" s="34">
        <v>115</v>
      </c>
      <c r="B116" s="46" t="s">
        <v>67</v>
      </c>
      <c r="C116" s="58">
        <v>46055.252256944441</v>
      </c>
      <c r="D116" s="55" t="s">
        <v>284</v>
      </c>
      <c r="E116" s="58">
        <v>46055.273090277777</v>
      </c>
      <c r="F116" s="46" t="s">
        <v>370</v>
      </c>
      <c r="G116" s="46" t="s">
        <v>371</v>
      </c>
      <c r="H116" s="49">
        <v>4</v>
      </c>
    </row>
    <row r="117" spans="1:8" x14ac:dyDescent="0.3">
      <c r="A117" s="34">
        <v>116</v>
      </c>
      <c r="B117" s="46" t="s">
        <v>256</v>
      </c>
      <c r="C117" s="58">
        <v>46055.409143518518</v>
      </c>
      <c r="D117" s="55" t="s">
        <v>284</v>
      </c>
      <c r="E117" s="58">
        <v>46055.429988425924</v>
      </c>
      <c r="F117" s="46" t="s">
        <v>372</v>
      </c>
      <c r="G117" s="46" t="s">
        <v>213</v>
      </c>
      <c r="H117" s="49">
        <v>3</v>
      </c>
    </row>
    <row r="118" spans="1:8" x14ac:dyDescent="0.3">
      <c r="A118" s="34">
        <v>117</v>
      </c>
      <c r="B118" s="46" t="s">
        <v>259</v>
      </c>
      <c r="C118" s="58">
        <v>46055.564236111109</v>
      </c>
      <c r="D118" s="55" t="s">
        <v>284</v>
      </c>
      <c r="E118" s="58">
        <v>46055.585081018522</v>
      </c>
      <c r="F118" s="46" t="s">
        <v>373</v>
      </c>
      <c r="G118" s="46" t="s">
        <v>374</v>
      </c>
      <c r="H118" s="49">
        <v>3</v>
      </c>
    </row>
    <row r="119" spans="1:8" x14ac:dyDescent="0.3">
      <c r="A119" s="34">
        <v>118</v>
      </c>
      <c r="B119" s="46" t="s">
        <v>49</v>
      </c>
      <c r="C119" s="58">
        <v>46055.492418981477</v>
      </c>
      <c r="D119" s="55" t="s">
        <v>284</v>
      </c>
      <c r="E119" s="58">
        <v>46055.513287037043</v>
      </c>
      <c r="F119" s="46" t="s">
        <v>375</v>
      </c>
      <c r="G119" s="46" t="s">
        <v>376</v>
      </c>
      <c r="H119" s="49">
        <v>4</v>
      </c>
    </row>
    <row r="120" spans="1:8" x14ac:dyDescent="0.3">
      <c r="A120" s="34">
        <v>119</v>
      </c>
      <c r="B120" s="46" t="s">
        <v>377</v>
      </c>
      <c r="C120" s="58">
        <v>46055.643495370372</v>
      </c>
      <c r="D120" s="55" t="s">
        <v>284</v>
      </c>
      <c r="E120" s="58">
        <v>46055.664351851847</v>
      </c>
      <c r="F120" s="46" t="s">
        <v>378</v>
      </c>
      <c r="G120" s="46" t="s">
        <v>379</v>
      </c>
      <c r="H120" s="49">
        <v>3</v>
      </c>
    </row>
    <row r="121" spans="1:8" x14ac:dyDescent="0.3">
      <c r="A121" s="34">
        <v>120</v>
      </c>
      <c r="B121" s="46" t="s">
        <v>267</v>
      </c>
      <c r="C121" s="58">
        <v>46055.385706018518</v>
      </c>
      <c r="D121" s="55" t="s">
        <v>284</v>
      </c>
      <c r="E121" s="58">
        <v>46055.406585648147</v>
      </c>
      <c r="F121" s="46" t="s">
        <v>380</v>
      </c>
      <c r="G121" s="46" t="s">
        <v>381</v>
      </c>
      <c r="H121" s="49">
        <v>3</v>
      </c>
    </row>
    <row r="122" spans="1:8" x14ac:dyDescent="0.3">
      <c r="A122" s="34">
        <v>121</v>
      </c>
      <c r="B122" s="46" t="s">
        <v>272</v>
      </c>
      <c r="C122" s="58">
        <v>46055.383067129631</v>
      </c>
      <c r="D122" s="55" t="s">
        <v>284</v>
      </c>
      <c r="E122" s="58">
        <v>46055.403912037043</v>
      </c>
      <c r="F122" s="46" t="s">
        <v>382</v>
      </c>
      <c r="G122" s="46" t="s">
        <v>383</v>
      </c>
      <c r="H122" s="49">
        <v>3</v>
      </c>
    </row>
    <row r="123" spans="1:8" x14ac:dyDescent="0.3">
      <c r="A123" s="34">
        <v>122</v>
      </c>
      <c r="B123" s="46" t="s">
        <v>281</v>
      </c>
      <c r="C123" s="58">
        <v>46055.384166666663</v>
      </c>
      <c r="D123" s="55" t="s">
        <v>284</v>
      </c>
      <c r="E123" s="58">
        <v>46055.405023148152</v>
      </c>
      <c r="F123" s="46" t="s">
        <v>384</v>
      </c>
      <c r="G123" s="46" t="s">
        <v>385</v>
      </c>
      <c r="H123" s="49">
        <v>3</v>
      </c>
    </row>
    <row r="124" spans="1:8" x14ac:dyDescent="0.3">
      <c r="A124" s="34">
        <v>123</v>
      </c>
      <c r="B124" s="46" t="s">
        <v>60</v>
      </c>
      <c r="C124" s="58">
        <v>46056.274618055562</v>
      </c>
      <c r="D124" s="55" t="s">
        <v>386</v>
      </c>
      <c r="E124" s="58">
        <v>46056.295497685183</v>
      </c>
      <c r="F124" s="46" t="s">
        <v>387</v>
      </c>
      <c r="G124" s="46" t="s">
        <v>388</v>
      </c>
      <c r="H124" s="49">
        <v>5</v>
      </c>
    </row>
    <row r="125" spans="1:8" x14ac:dyDescent="0.3">
      <c r="A125" s="34">
        <v>124</v>
      </c>
      <c r="B125" s="46" t="s">
        <v>94</v>
      </c>
      <c r="C125" s="58">
        <v>46056.222384259258</v>
      </c>
      <c r="D125" s="55" t="s">
        <v>386</v>
      </c>
      <c r="E125" s="58">
        <v>46056.24322916667</v>
      </c>
      <c r="F125" s="46" t="s">
        <v>389</v>
      </c>
      <c r="G125" s="46" t="s">
        <v>390</v>
      </c>
      <c r="H125" s="49">
        <v>4</v>
      </c>
    </row>
    <row r="126" spans="1:8" x14ac:dyDescent="0.3">
      <c r="A126" s="34">
        <v>125</v>
      </c>
      <c r="B126" s="46" t="s">
        <v>72</v>
      </c>
      <c r="C126" s="58">
        <v>46056.433391203696</v>
      </c>
      <c r="D126" s="55" t="s">
        <v>386</v>
      </c>
      <c r="E126" s="58">
        <v>46056.454259259262</v>
      </c>
      <c r="F126" s="46" t="s">
        <v>391</v>
      </c>
      <c r="G126" s="46" t="s">
        <v>392</v>
      </c>
      <c r="H126" s="49">
        <v>5</v>
      </c>
    </row>
    <row r="127" spans="1:8" x14ac:dyDescent="0.3">
      <c r="A127" s="34">
        <v>126</v>
      </c>
      <c r="B127" s="46" t="s">
        <v>393</v>
      </c>
      <c r="C127" s="58">
        <v>46056.393067129633</v>
      </c>
      <c r="D127" s="55" t="s">
        <v>386</v>
      </c>
      <c r="E127" s="58">
        <v>46056.413912037038</v>
      </c>
      <c r="F127" s="46" t="s">
        <v>394</v>
      </c>
      <c r="G127" s="46" t="s">
        <v>395</v>
      </c>
      <c r="H127" s="49">
        <v>3</v>
      </c>
    </row>
    <row r="128" spans="1:8" x14ac:dyDescent="0.3">
      <c r="A128" s="34">
        <v>127</v>
      </c>
      <c r="B128" s="46" t="s">
        <v>105</v>
      </c>
      <c r="C128" s="58">
        <v>46056.453634259262</v>
      </c>
      <c r="D128" s="55" t="s">
        <v>386</v>
      </c>
      <c r="E128" s="58">
        <v>46056.474502314813</v>
      </c>
      <c r="F128" s="46" t="s">
        <v>396</v>
      </c>
      <c r="G128" s="46" t="s">
        <v>397</v>
      </c>
      <c r="H128" s="49">
        <v>4</v>
      </c>
    </row>
    <row r="129" spans="1:8" x14ac:dyDescent="0.3">
      <c r="A129" s="34">
        <v>128</v>
      </c>
      <c r="B129" s="46" t="s">
        <v>299</v>
      </c>
      <c r="C129" s="58">
        <v>46056.280740740738</v>
      </c>
      <c r="D129" s="55" t="s">
        <v>386</v>
      </c>
      <c r="E129" s="58">
        <v>46056.301585648151</v>
      </c>
      <c r="F129" s="46" t="s">
        <v>398</v>
      </c>
      <c r="G129" s="46" t="s">
        <v>399</v>
      </c>
      <c r="H129" s="49">
        <v>5</v>
      </c>
    </row>
    <row r="130" spans="1:8" x14ac:dyDescent="0.3">
      <c r="A130" s="34">
        <v>129</v>
      </c>
      <c r="B130" s="46" t="s">
        <v>53</v>
      </c>
      <c r="C130" s="58">
        <v>46056.451168981483</v>
      </c>
      <c r="D130" s="55" t="s">
        <v>386</v>
      </c>
      <c r="E130" s="58">
        <v>46056.472013888888</v>
      </c>
      <c r="F130" s="46" t="s">
        <v>400</v>
      </c>
      <c r="G130" s="46" t="s">
        <v>397</v>
      </c>
      <c r="H130" s="49">
        <v>5</v>
      </c>
    </row>
    <row r="131" spans="1:8" x14ac:dyDescent="0.3">
      <c r="A131" s="34">
        <v>130</v>
      </c>
      <c r="B131" s="46" t="s">
        <v>401</v>
      </c>
      <c r="C131" s="58">
        <v>46056.364548611113</v>
      </c>
      <c r="D131" s="55" t="s">
        <v>386</v>
      </c>
      <c r="E131" s="58">
        <v>46056.385405092587</v>
      </c>
      <c r="F131" s="46" t="s">
        <v>402</v>
      </c>
      <c r="G131" s="46" t="s">
        <v>296</v>
      </c>
      <c r="H131" s="49">
        <v>4</v>
      </c>
    </row>
    <row r="132" spans="1:8" x14ac:dyDescent="0.3">
      <c r="A132" s="34">
        <v>131</v>
      </c>
      <c r="B132" s="46" t="s">
        <v>135</v>
      </c>
      <c r="C132" s="58">
        <v>46056.430601851847</v>
      </c>
      <c r="D132" s="55" t="s">
        <v>386</v>
      </c>
      <c r="E132" s="58">
        <v>46056.451481481483</v>
      </c>
      <c r="F132" s="46" t="s">
        <v>403</v>
      </c>
      <c r="G132" s="46" t="s">
        <v>404</v>
      </c>
      <c r="H132" s="49">
        <v>5</v>
      </c>
    </row>
    <row r="133" spans="1:8" x14ac:dyDescent="0.3">
      <c r="A133" s="34">
        <v>132</v>
      </c>
      <c r="B133" s="46" t="s">
        <v>69</v>
      </c>
      <c r="C133" s="58">
        <v>46056.38108796296</v>
      </c>
      <c r="D133" s="55" t="s">
        <v>386</v>
      </c>
      <c r="E133" s="58">
        <v>46056.401956018519</v>
      </c>
      <c r="F133" s="46" t="s">
        <v>405</v>
      </c>
      <c r="G133" s="46" t="s">
        <v>406</v>
      </c>
      <c r="H133" s="49">
        <v>5</v>
      </c>
    </row>
    <row r="134" spans="1:8" x14ac:dyDescent="0.3">
      <c r="A134" s="34">
        <v>133</v>
      </c>
      <c r="B134" s="46" t="s">
        <v>144</v>
      </c>
      <c r="C134" s="58">
        <v>46056.431562500002</v>
      </c>
      <c r="D134" s="55" t="s">
        <v>386</v>
      </c>
      <c r="E134" s="58">
        <v>46056.452407407407</v>
      </c>
      <c r="F134" s="46" t="s">
        <v>407</v>
      </c>
      <c r="G134" s="46" t="s">
        <v>408</v>
      </c>
      <c r="H134" s="49">
        <v>4</v>
      </c>
    </row>
    <row r="135" spans="1:8" x14ac:dyDescent="0.3">
      <c r="A135" s="34">
        <v>134</v>
      </c>
      <c r="B135" s="46" t="s">
        <v>34</v>
      </c>
      <c r="C135" s="58">
        <v>46056.319560185177</v>
      </c>
      <c r="D135" s="55" t="s">
        <v>386</v>
      </c>
      <c r="E135" s="58">
        <v>46056.34039351852</v>
      </c>
      <c r="F135" s="46" t="s">
        <v>409</v>
      </c>
      <c r="G135" s="46" t="s">
        <v>358</v>
      </c>
      <c r="H135" s="49">
        <v>7</v>
      </c>
    </row>
    <row r="136" spans="1:8" x14ac:dyDescent="0.3">
      <c r="A136" s="34">
        <v>135</v>
      </c>
      <c r="B136" s="46" t="s">
        <v>170</v>
      </c>
      <c r="C136" s="58">
        <v>46056.441365740742</v>
      </c>
      <c r="D136" s="55" t="s">
        <v>386</v>
      </c>
      <c r="E136" s="58">
        <v>46056.462233796286</v>
      </c>
      <c r="F136" s="46" t="s">
        <v>410</v>
      </c>
      <c r="G136" s="46" t="s">
        <v>411</v>
      </c>
      <c r="H136" s="49">
        <v>5</v>
      </c>
    </row>
    <row r="137" spans="1:8" x14ac:dyDescent="0.3">
      <c r="A137" s="34">
        <v>136</v>
      </c>
      <c r="B137" s="46" t="s">
        <v>25</v>
      </c>
      <c r="C137" s="58">
        <v>46056.440682870372</v>
      </c>
      <c r="D137" s="55" t="s">
        <v>386</v>
      </c>
      <c r="E137" s="58">
        <v>46056.461539351847</v>
      </c>
      <c r="F137" s="46" t="s">
        <v>412</v>
      </c>
      <c r="G137" s="46" t="s">
        <v>333</v>
      </c>
      <c r="H137" s="49">
        <v>4</v>
      </c>
    </row>
    <row r="138" spans="1:8" x14ac:dyDescent="0.3">
      <c r="A138" s="34">
        <v>137</v>
      </c>
      <c r="B138" s="46" t="s">
        <v>317</v>
      </c>
      <c r="C138" s="58">
        <v>46056.284988425927</v>
      </c>
      <c r="D138" s="55" t="s">
        <v>386</v>
      </c>
      <c r="E138" s="58">
        <v>46056.305833333332</v>
      </c>
      <c r="F138" s="46" t="s">
        <v>413</v>
      </c>
      <c r="G138" s="46" t="s">
        <v>414</v>
      </c>
      <c r="H138" s="49">
        <v>5</v>
      </c>
    </row>
    <row r="139" spans="1:8" x14ac:dyDescent="0.3">
      <c r="A139" s="34">
        <v>138</v>
      </c>
      <c r="B139" s="46" t="s">
        <v>179</v>
      </c>
      <c r="C139" s="58">
        <v>46056.445023148153</v>
      </c>
      <c r="D139" s="55" t="s">
        <v>386</v>
      </c>
      <c r="E139" s="58">
        <v>46056.465879629628</v>
      </c>
      <c r="F139" s="46" t="s">
        <v>415</v>
      </c>
      <c r="G139" s="46" t="s">
        <v>416</v>
      </c>
      <c r="H139" s="49">
        <v>5</v>
      </c>
    </row>
    <row r="140" spans="1:8" x14ac:dyDescent="0.3">
      <c r="A140" s="34">
        <v>139</v>
      </c>
      <c r="B140" s="46" t="s">
        <v>181</v>
      </c>
      <c r="C140" s="58">
        <v>46056.425138888888</v>
      </c>
      <c r="D140" s="55" t="s">
        <v>386</v>
      </c>
      <c r="E140" s="58">
        <v>46056.44599537037</v>
      </c>
      <c r="F140" s="46" t="s">
        <v>417</v>
      </c>
      <c r="G140" s="46" t="s">
        <v>418</v>
      </c>
      <c r="H140" s="49">
        <v>5</v>
      </c>
    </row>
    <row r="141" spans="1:8" x14ac:dyDescent="0.3">
      <c r="A141" s="34">
        <v>140</v>
      </c>
      <c r="B141" s="46" t="s">
        <v>62</v>
      </c>
      <c r="C141" s="58">
        <v>46056.311585648153</v>
      </c>
      <c r="D141" s="55" t="s">
        <v>386</v>
      </c>
      <c r="E141" s="58">
        <v>46056.332430555558</v>
      </c>
      <c r="F141" s="46" t="s">
        <v>419</v>
      </c>
      <c r="G141" s="46" t="s">
        <v>420</v>
      </c>
      <c r="H141" s="49">
        <v>7</v>
      </c>
    </row>
    <row r="142" spans="1:8" x14ac:dyDescent="0.3">
      <c r="A142" s="34">
        <v>141</v>
      </c>
      <c r="B142" s="46" t="s">
        <v>324</v>
      </c>
      <c r="C142" s="58">
        <v>46056.4371875</v>
      </c>
      <c r="D142" s="55" t="s">
        <v>386</v>
      </c>
      <c r="E142" s="58">
        <v>46056.458043981482</v>
      </c>
      <c r="F142" s="46" t="s">
        <v>421</v>
      </c>
      <c r="G142" s="46" t="s">
        <v>422</v>
      </c>
      <c r="H142" s="49">
        <v>5</v>
      </c>
    </row>
    <row r="143" spans="1:8" x14ac:dyDescent="0.3">
      <c r="A143" s="34">
        <v>142</v>
      </c>
      <c r="B143" s="46" t="s">
        <v>423</v>
      </c>
      <c r="C143" s="58">
        <v>46056.394560185188</v>
      </c>
      <c r="D143" s="55" t="s">
        <v>386</v>
      </c>
      <c r="E143" s="58">
        <v>46056.422905092593</v>
      </c>
      <c r="F143" s="46" t="s">
        <v>424</v>
      </c>
      <c r="G143" s="46" t="s">
        <v>221</v>
      </c>
      <c r="H143" s="49">
        <v>3</v>
      </c>
    </row>
    <row r="144" spans="1:8" x14ac:dyDescent="0.3">
      <c r="A144" s="34">
        <v>143</v>
      </c>
      <c r="B144" s="46" t="s">
        <v>37</v>
      </c>
      <c r="C144" s="58">
        <v>46056.601261574076</v>
      </c>
      <c r="D144" s="55" t="s">
        <v>386</v>
      </c>
      <c r="E144" s="58">
        <v>46056.622141203698</v>
      </c>
      <c r="F144" s="46" t="s">
        <v>425</v>
      </c>
      <c r="G144" s="46" t="s">
        <v>426</v>
      </c>
      <c r="H144" s="49">
        <v>3</v>
      </c>
    </row>
    <row r="145" spans="1:8" x14ac:dyDescent="0.3">
      <c r="A145" s="34">
        <v>144</v>
      </c>
      <c r="B145" s="46" t="s">
        <v>70</v>
      </c>
      <c r="C145" s="58">
        <v>46056.280752314808</v>
      </c>
      <c r="D145" s="55" t="s">
        <v>386</v>
      </c>
      <c r="E145" s="58">
        <v>46056.301585648151</v>
      </c>
      <c r="F145" s="46" t="s">
        <v>427</v>
      </c>
      <c r="G145" s="46" t="s">
        <v>428</v>
      </c>
      <c r="H145" s="49">
        <v>7</v>
      </c>
    </row>
    <row r="146" spans="1:8" x14ac:dyDescent="0.3">
      <c r="A146" s="34">
        <v>145</v>
      </c>
      <c r="B146" s="46" t="s">
        <v>429</v>
      </c>
      <c r="C146" s="58">
        <v>46056.267824074072</v>
      </c>
      <c r="D146" s="55" t="s">
        <v>386</v>
      </c>
      <c r="E146" s="58">
        <v>46056.288680555554</v>
      </c>
      <c r="F146" s="46" t="s">
        <v>430</v>
      </c>
      <c r="G146" s="46" t="s">
        <v>431</v>
      </c>
      <c r="H146" s="49">
        <v>3</v>
      </c>
    </row>
    <row r="147" spans="1:8" x14ac:dyDescent="0.3">
      <c r="A147" s="34">
        <v>146</v>
      </c>
      <c r="B147" s="46" t="s">
        <v>432</v>
      </c>
      <c r="C147" s="58">
        <v>46056.31863425926</v>
      </c>
      <c r="D147" s="55" t="s">
        <v>386</v>
      </c>
      <c r="E147" s="58">
        <v>46056.339467592603</v>
      </c>
      <c r="F147" s="46" t="s">
        <v>433</v>
      </c>
      <c r="G147" s="46" t="s">
        <v>434</v>
      </c>
      <c r="H147" s="49">
        <v>6</v>
      </c>
    </row>
    <row r="148" spans="1:8" x14ac:dyDescent="0.3">
      <c r="A148" s="34">
        <v>147</v>
      </c>
      <c r="B148" s="46" t="s">
        <v>334</v>
      </c>
      <c r="C148" s="58">
        <v>46056.311620370368</v>
      </c>
      <c r="D148" s="55" t="s">
        <v>386</v>
      </c>
      <c r="E148" s="58">
        <v>46056.332488425927</v>
      </c>
      <c r="F148" s="46" t="s">
        <v>435</v>
      </c>
      <c r="G148" s="46" t="s">
        <v>436</v>
      </c>
      <c r="H148" s="49">
        <v>6</v>
      </c>
    </row>
    <row r="149" spans="1:8" x14ac:dyDescent="0.3">
      <c r="A149" s="34">
        <v>148</v>
      </c>
      <c r="B149" s="46" t="s">
        <v>199</v>
      </c>
      <c r="C149" s="58">
        <v>46056.297939814824</v>
      </c>
      <c r="D149" s="55" t="s">
        <v>386</v>
      </c>
      <c r="E149" s="58">
        <v>46056.318773148138</v>
      </c>
      <c r="F149" s="46" t="s">
        <v>437</v>
      </c>
      <c r="G149" s="46" t="s">
        <v>399</v>
      </c>
      <c r="H149" s="49">
        <v>6</v>
      </c>
    </row>
    <row r="150" spans="1:8" x14ac:dyDescent="0.3">
      <c r="A150" s="34">
        <v>149</v>
      </c>
      <c r="B150" s="46" t="s">
        <v>337</v>
      </c>
      <c r="C150" s="58">
        <v>46056.312754629631</v>
      </c>
      <c r="D150" s="55" t="s">
        <v>386</v>
      </c>
      <c r="E150" s="58">
        <v>46056.333622685182</v>
      </c>
      <c r="F150" s="46" t="s">
        <v>438</v>
      </c>
      <c r="G150" s="46" t="s">
        <v>371</v>
      </c>
      <c r="H150" s="49">
        <v>7</v>
      </c>
    </row>
    <row r="151" spans="1:8" x14ac:dyDescent="0.3">
      <c r="A151" s="34">
        <v>150</v>
      </c>
      <c r="B151" s="46" t="s">
        <v>48</v>
      </c>
      <c r="C151" s="58">
        <v>46056.381967592592</v>
      </c>
      <c r="D151" s="55" t="s">
        <v>386</v>
      </c>
      <c r="E151" s="58">
        <v>46056.402824074074</v>
      </c>
      <c r="F151" s="46" t="s">
        <v>439</v>
      </c>
      <c r="G151" s="46" t="s">
        <v>323</v>
      </c>
      <c r="H151" s="49">
        <v>5</v>
      </c>
    </row>
    <row r="152" spans="1:8" x14ac:dyDescent="0.3">
      <c r="A152" s="34">
        <v>151</v>
      </c>
      <c r="B152" s="46" t="s">
        <v>440</v>
      </c>
      <c r="C152" s="58">
        <v>46056.459652777783</v>
      </c>
      <c r="D152" s="55" t="s">
        <v>386</v>
      </c>
      <c r="E152" s="58">
        <v>46056.480532407397</v>
      </c>
      <c r="F152" s="46" t="s">
        <v>441</v>
      </c>
      <c r="G152" s="46" t="s">
        <v>442</v>
      </c>
      <c r="H152" s="49">
        <v>3</v>
      </c>
    </row>
    <row r="153" spans="1:8" x14ac:dyDescent="0.3">
      <c r="A153" s="34">
        <v>152</v>
      </c>
      <c r="B153" s="46" t="s">
        <v>205</v>
      </c>
      <c r="C153" s="58">
        <v>46056.014675925922</v>
      </c>
      <c r="D153" s="55" t="s">
        <v>386</v>
      </c>
      <c r="E153" s="58">
        <v>46056.035543981481</v>
      </c>
      <c r="F153" s="46" t="s">
        <v>443</v>
      </c>
      <c r="G153" s="46" t="s">
        <v>444</v>
      </c>
      <c r="H153" s="49">
        <v>8</v>
      </c>
    </row>
    <row r="154" spans="1:8" x14ac:dyDescent="0.3">
      <c r="A154" s="34">
        <v>153</v>
      </c>
      <c r="B154" s="46" t="s">
        <v>339</v>
      </c>
      <c r="C154" s="58">
        <v>46056.091874999998</v>
      </c>
      <c r="D154" s="55" t="s">
        <v>386</v>
      </c>
      <c r="E154" s="58">
        <v>46056.112743055557</v>
      </c>
      <c r="F154" s="46" t="s">
        <v>445</v>
      </c>
      <c r="G154" s="46" t="s">
        <v>446</v>
      </c>
      <c r="H154" s="49">
        <v>5</v>
      </c>
    </row>
    <row r="155" spans="1:8" x14ac:dyDescent="0.3">
      <c r="A155" s="34">
        <v>154</v>
      </c>
      <c r="B155" s="46" t="s">
        <v>214</v>
      </c>
      <c r="C155" s="58">
        <v>46056.298449074071</v>
      </c>
      <c r="D155" s="55" t="s">
        <v>386</v>
      </c>
      <c r="E155" s="58">
        <v>46056.319282407407</v>
      </c>
      <c r="F155" s="46" t="s">
        <v>447</v>
      </c>
      <c r="G155" s="46" t="s">
        <v>448</v>
      </c>
      <c r="H155" s="49">
        <v>7</v>
      </c>
    </row>
    <row r="156" spans="1:8" x14ac:dyDescent="0.3">
      <c r="A156" s="34">
        <v>155</v>
      </c>
      <c r="B156" s="46" t="s">
        <v>217</v>
      </c>
      <c r="C156" s="58">
        <v>46056.014675925922</v>
      </c>
      <c r="D156" s="55" t="s">
        <v>386</v>
      </c>
      <c r="E156" s="58">
        <v>46056.035543981481</v>
      </c>
      <c r="F156" s="46" t="s">
        <v>449</v>
      </c>
      <c r="G156" s="46" t="s">
        <v>450</v>
      </c>
      <c r="H156" s="49">
        <v>4</v>
      </c>
    </row>
    <row r="157" spans="1:8" x14ac:dyDescent="0.3">
      <c r="A157" s="34">
        <v>156</v>
      </c>
      <c r="B157" s="46" t="s">
        <v>33</v>
      </c>
      <c r="C157" s="58">
        <v>46056.280752314808</v>
      </c>
      <c r="D157" s="55" t="s">
        <v>386</v>
      </c>
      <c r="E157" s="58">
        <v>46056.301585648151</v>
      </c>
      <c r="F157" s="46" t="s">
        <v>451</v>
      </c>
      <c r="G157" s="46" t="s">
        <v>452</v>
      </c>
      <c r="H157" s="49">
        <v>6</v>
      </c>
    </row>
    <row r="158" spans="1:8" x14ac:dyDescent="0.3">
      <c r="A158" s="34">
        <v>157</v>
      </c>
      <c r="B158" s="46" t="s">
        <v>222</v>
      </c>
      <c r="C158" s="58">
        <v>46056.444756944453</v>
      </c>
      <c r="D158" s="55" t="s">
        <v>386</v>
      </c>
      <c r="E158" s="58">
        <v>46056.465590277781</v>
      </c>
      <c r="F158" s="46" t="s">
        <v>453</v>
      </c>
      <c r="G158" s="46" t="s">
        <v>454</v>
      </c>
      <c r="H158" s="49">
        <v>4</v>
      </c>
    </row>
    <row r="159" spans="1:8" x14ac:dyDescent="0.3">
      <c r="A159" s="34">
        <v>158</v>
      </c>
      <c r="B159" s="46" t="s">
        <v>228</v>
      </c>
      <c r="C159" s="58">
        <v>46056.314039351862</v>
      </c>
      <c r="D159" s="55" t="s">
        <v>386</v>
      </c>
      <c r="E159" s="58">
        <v>46056.33489583333</v>
      </c>
      <c r="F159" s="46" t="s">
        <v>455</v>
      </c>
      <c r="G159" s="46" t="s">
        <v>456</v>
      </c>
      <c r="H159" s="49">
        <v>8</v>
      </c>
    </row>
    <row r="160" spans="1:8" x14ac:dyDescent="0.3">
      <c r="A160" s="34">
        <v>159</v>
      </c>
      <c r="B160" s="46" t="s">
        <v>237</v>
      </c>
      <c r="C160" s="58">
        <v>46056.349699074082</v>
      </c>
      <c r="D160" s="55" t="s">
        <v>386</v>
      </c>
      <c r="E160" s="58">
        <v>46056.37054398148</v>
      </c>
      <c r="F160" s="46" t="s">
        <v>457</v>
      </c>
      <c r="G160" s="46" t="s">
        <v>458</v>
      </c>
      <c r="H160" s="49">
        <v>3</v>
      </c>
    </row>
    <row r="161" spans="1:8" x14ac:dyDescent="0.3">
      <c r="A161" s="34">
        <v>160</v>
      </c>
      <c r="B161" s="46" t="s">
        <v>459</v>
      </c>
      <c r="C161" s="58">
        <v>46056.414861111109</v>
      </c>
      <c r="D161" s="55" t="s">
        <v>386</v>
      </c>
      <c r="E161" s="58">
        <v>46056.435717592591</v>
      </c>
      <c r="F161" s="46" t="s">
        <v>460</v>
      </c>
      <c r="G161" s="46" t="s">
        <v>461</v>
      </c>
      <c r="H161" s="49">
        <v>3</v>
      </c>
    </row>
    <row r="162" spans="1:8" x14ac:dyDescent="0.3">
      <c r="A162" s="34">
        <v>161</v>
      </c>
      <c r="B162" s="46" t="s">
        <v>462</v>
      </c>
      <c r="C162" s="58">
        <v>46056.571944444448</v>
      </c>
      <c r="D162" s="55" t="s">
        <v>386</v>
      </c>
      <c r="E162" s="58">
        <v>46056.592789351853</v>
      </c>
      <c r="F162" s="46" t="s">
        <v>463</v>
      </c>
      <c r="G162" s="46" t="s">
        <v>140</v>
      </c>
      <c r="H162" s="49">
        <v>3</v>
      </c>
    </row>
    <row r="163" spans="1:8" x14ac:dyDescent="0.3">
      <c r="A163" s="34">
        <v>162</v>
      </c>
      <c r="B163" s="46" t="s">
        <v>363</v>
      </c>
      <c r="C163" s="58">
        <v>46056.434027777781</v>
      </c>
      <c r="D163" s="55" t="s">
        <v>386</v>
      </c>
      <c r="E163" s="58">
        <v>46056.454895833333</v>
      </c>
      <c r="F163" s="46" t="s">
        <v>464</v>
      </c>
      <c r="G163" s="46" t="s">
        <v>465</v>
      </c>
      <c r="H163" s="49">
        <v>3</v>
      </c>
    </row>
    <row r="164" spans="1:8" x14ac:dyDescent="0.3">
      <c r="A164" s="34">
        <v>163</v>
      </c>
      <c r="B164" s="46" t="s">
        <v>249</v>
      </c>
      <c r="C164" s="58">
        <v>46056.426342592589</v>
      </c>
      <c r="D164" s="55" t="s">
        <v>386</v>
      </c>
      <c r="E164" s="58">
        <v>46056.447222222218</v>
      </c>
      <c r="F164" s="46" t="s">
        <v>466</v>
      </c>
      <c r="G164" s="46" t="s">
        <v>467</v>
      </c>
      <c r="H164" s="49">
        <v>4</v>
      </c>
    </row>
    <row r="165" spans="1:8" x14ac:dyDescent="0.3">
      <c r="A165" s="34">
        <v>164</v>
      </c>
      <c r="B165" s="46" t="s">
        <v>468</v>
      </c>
      <c r="C165" s="58">
        <v>46056.413182870368</v>
      </c>
      <c r="D165" s="55" t="s">
        <v>386</v>
      </c>
      <c r="E165" s="58">
        <v>46056.434027777781</v>
      </c>
      <c r="F165" s="46" t="s">
        <v>469</v>
      </c>
      <c r="G165" s="46" t="s">
        <v>470</v>
      </c>
      <c r="H165" s="49">
        <v>3</v>
      </c>
    </row>
    <row r="166" spans="1:8" x14ac:dyDescent="0.3">
      <c r="A166" s="34">
        <v>165</v>
      </c>
      <c r="B166" s="46" t="s">
        <v>67</v>
      </c>
      <c r="C166" s="58">
        <v>46056.452523148153</v>
      </c>
      <c r="D166" s="55" t="s">
        <v>386</v>
      </c>
      <c r="E166" s="58">
        <v>46056.473391203697</v>
      </c>
      <c r="F166" s="46" t="s">
        <v>471</v>
      </c>
      <c r="G166" s="46" t="s">
        <v>472</v>
      </c>
      <c r="H166" s="49">
        <v>5</v>
      </c>
    </row>
    <row r="167" spans="1:8" x14ac:dyDescent="0.3">
      <c r="A167" s="34">
        <v>166</v>
      </c>
      <c r="B167" s="46" t="s">
        <v>473</v>
      </c>
      <c r="C167" s="58">
        <v>46056.285462962973</v>
      </c>
      <c r="D167" s="55" t="s">
        <v>386</v>
      </c>
      <c r="E167" s="58">
        <v>46056.306296296287</v>
      </c>
      <c r="F167" s="46" t="s">
        <v>474</v>
      </c>
      <c r="G167" s="46" t="s">
        <v>475</v>
      </c>
      <c r="H167" s="49">
        <v>5</v>
      </c>
    </row>
    <row r="168" spans="1:8" x14ac:dyDescent="0.3">
      <c r="A168" s="34">
        <v>167</v>
      </c>
      <c r="B168" s="46" t="s">
        <v>59</v>
      </c>
      <c r="C168" s="58">
        <v>46056.422523148147</v>
      </c>
      <c r="D168" s="55" t="s">
        <v>386</v>
      </c>
      <c r="E168" s="58">
        <v>46056.443368055552</v>
      </c>
      <c r="F168" s="46" t="s">
        <v>476</v>
      </c>
      <c r="G168" s="46" t="s">
        <v>477</v>
      </c>
      <c r="H168" s="49">
        <v>5</v>
      </c>
    </row>
    <row r="169" spans="1:8" x14ac:dyDescent="0.3">
      <c r="A169" s="34">
        <v>168</v>
      </c>
      <c r="B169" s="46" t="s">
        <v>478</v>
      </c>
      <c r="C169" s="58">
        <v>46056.387106481481</v>
      </c>
      <c r="D169" s="55" t="s">
        <v>386</v>
      </c>
      <c r="E169" s="58">
        <v>46056.40797453704</v>
      </c>
      <c r="F169" s="46" t="s">
        <v>479</v>
      </c>
      <c r="G169" s="46" t="s">
        <v>480</v>
      </c>
      <c r="H169" s="49">
        <v>3</v>
      </c>
    </row>
    <row r="170" spans="1:8" x14ac:dyDescent="0.3">
      <c r="A170" s="34">
        <v>169</v>
      </c>
      <c r="B170" s="46" t="s">
        <v>49</v>
      </c>
      <c r="C170" s="58">
        <v>46056.280902777777</v>
      </c>
      <c r="D170" s="55" t="s">
        <v>386</v>
      </c>
      <c r="E170" s="58">
        <v>46056.301759259259</v>
      </c>
      <c r="F170" s="46" t="s">
        <v>481</v>
      </c>
      <c r="G170" s="46" t="s">
        <v>482</v>
      </c>
      <c r="H170" s="49">
        <v>5</v>
      </c>
    </row>
    <row r="171" spans="1:8" x14ac:dyDescent="0.3">
      <c r="A171" s="34">
        <v>170</v>
      </c>
      <c r="B171" s="46" t="s">
        <v>26</v>
      </c>
      <c r="C171" s="58">
        <v>46056.412083333344</v>
      </c>
      <c r="D171" s="55" t="s">
        <v>386</v>
      </c>
      <c r="E171" s="58">
        <v>46056.432928240742</v>
      </c>
      <c r="F171" s="46" t="s">
        <v>483</v>
      </c>
      <c r="G171" s="46" t="s">
        <v>484</v>
      </c>
      <c r="H171" s="49">
        <v>3</v>
      </c>
    </row>
    <row r="172" spans="1:8" x14ac:dyDescent="0.3">
      <c r="A172" s="34">
        <v>171</v>
      </c>
      <c r="B172" s="46" t="s">
        <v>68</v>
      </c>
      <c r="C172" s="58">
        <v>46056.507743055547</v>
      </c>
      <c r="D172" s="55" t="s">
        <v>386</v>
      </c>
      <c r="E172" s="58">
        <v>46056.528611111113</v>
      </c>
      <c r="F172" s="46" t="s">
        <v>485</v>
      </c>
      <c r="G172" s="46" t="s">
        <v>98</v>
      </c>
      <c r="H172" s="49">
        <v>4</v>
      </c>
    </row>
    <row r="173" spans="1:8" x14ac:dyDescent="0.3">
      <c r="A173" s="34">
        <v>172</v>
      </c>
      <c r="B173" s="46" t="s">
        <v>486</v>
      </c>
      <c r="C173" s="58">
        <v>46056.425439814811</v>
      </c>
      <c r="D173" s="55" t="s">
        <v>386</v>
      </c>
      <c r="E173" s="58">
        <v>46056.446284722217</v>
      </c>
      <c r="F173" s="46" t="s">
        <v>487</v>
      </c>
      <c r="G173" s="46" t="s">
        <v>488</v>
      </c>
      <c r="H173" s="49">
        <v>3</v>
      </c>
    </row>
    <row r="174" spans="1:8" x14ac:dyDescent="0.3">
      <c r="A174" s="34">
        <v>173</v>
      </c>
      <c r="B174" s="46" t="s">
        <v>281</v>
      </c>
      <c r="C174" s="58">
        <v>46056.488344907397</v>
      </c>
      <c r="D174" s="55" t="s">
        <v>386</v>
      </c>
      <c r="E174" s="58">
        <v>46056.50922453704</v>
      </c>
      <c r="F174" s="46" t="s">
        <v>489</v>
      </c>
      <c r="G174" s="46" t="s">
        <v>490</v>
      </c>
      <c r="H174" s="49">
        <v>3</v>
      </c>
    </row>
    <row r="175" spans="1:8" x14ac:dyDescent="0.3">
      <c r="A175" s="34">
        <v>174</v>
      </c>
      <c r="B175" s="46" t="s">
        <v>491</v>
      </c>
      <c r="C175" s="58">
        <v>46057.327638888892</v>
      </c>
      <c r="D175" s="55" t="s">
        <v>492</v>
      </c>
      <c r="E175" s="58">
        <v>46057.348495370366</v>
      </c>
      <c r="F175" s="46" t="s">
        <v>493</v>
      </c>
      <c r="G175" s="46" t="s">
        <v>494</v>
      </c>
      <c r="H175" s="49">
        <v>6</v>
      </c>
    </row>
    <row r="176" spans="1:8" x14ac:dyDescent="0.3">
      <c r="A176" s="34">
        <v>175</v>
      </c>
      <c r="B176" s="46" t="s">
        <v>60</v>
      </c>
      <c r="C176" s="58">
        <v>46057.633935185193</v>
      </c>
      <c r="D176" s="55" t="s">
        <v>492</v>
      </c>
      <c r="E176" s="58">
        <v>46057.654803240737</v>
      </c>
      <c r="F176" s="46" t="s">
        <v>495</v>
      </c>
      <c r="G176" s="46" t="s">
        <v>496</v>
      </c>
      <c r="H176" s="49">
        <v>3</v>
      </c>
    </row>
    <row r="177" spans="1:8" x14ac:dyDescent="0.3">
      <c r="A177" s="34">
        <v>176</v>
      </c>
      <c r="B177" s="46" t="s">
        <v>497</v>
      </c>
      <c r="C177" s="58">
        <v>46057.296412037038</v>
      </c>
      <c r="D177" s="55" t="s">
        <v>492</v>
      </c>
      <c r="E177" s="58">
        <v>46057.31726851852</v>
      </c>
      <c r="F177" s="46" t="s">
        <v>498</v>
      </c>
      <c r="G177" s="46" t="s">
        <v>499</v>
      </c>
      <c r="H177" s="49">
        <v>4</v>
      </c>
    </row>
    <row r="178" spans="1:8" x14ac:dyDescent="0.3">
      <c r="A178" s="34">
        <v>177</v>
      </c>
      <c r="B178" s="46" t="s">
        <v>500</v>
      </c>
      <c r="C178" s="58">
        <v>46057.327465277784</v>
      </c>
      <c r="D178" s="55" t="s">
        <v>492</v>
      </c>
      <c r="E178" s="58">
        <v>46057.348321759258</v>
      </c>
      <c r="F178" s="46" t="s">
        <v>501</v>
      </c>
      <c r="G178" s="46" t="s">
        <v>185</v>
      </c>
      <c r="H178" s="49">
        <v>4</v>
      </c>
    </row>
    <row r="179" spans="1:8" x14ac:dyDescent="0.3">
      <c r="A179" s="34">
        <v>178</v>
      </c>
      <c r="B179" s="46" t="s">
        <v>502</v>
      </c>
      <c r="C179" s="58">
        <v>46057.443414351852</v>
      </c>
      <c r="D179" s="55" t="s">
        <v>492</v>
      </c>
      <c r="E179" s="58">
        <v>46057.464247685188</v>
      </c>
      <c r="F179" s="46" t="s">
        <v>503</v>
      </c>
      <c r="G179" s="46" t="s">
        <v>504</v>
      </c>
      <c r="H179" s="49">
        <v>3</v>
      </c>
    </row>
    <row r="180" spans="1:8" x14ac:dyDescent="0.3">
      <c r="A180" s="34">
        <v>179</v>
      </c>
      <c r="B180" s="46" t="s">
        <v>505</v>
      </c>
      <c r="C180" s="58">
        <v>46057.303680555553</v>
      </c>
      <c r="D180" s="55" t="s">
        <v>492</v>
      </c>
      <c r="E180" s="58">
        <v>46057.324513888889</v>
      </c>
      <c r="F180" s="46" t="s">
        <v>506</v>
      </c>
      <c r="G180" s="46" t="s">
        <v>507</v>
      </c>
      <c r="H180" s="49">
        <v>4</v>
      </c>
    </row>
    <row r="181" spans="1:8" x14ac:dyDescent="0.3">
      <c r="A181" s="34">
        <v>180</v>
      </c>
      <c r="B181" s="46" t="s">
        <v>39</v>
      </c>
      <c r="C181" s="58">
        <v>46057.569490740738</v>
      </c>
      <c r="D181" s="55" t="s">
        <v>492</v>
      </c>
      <c r="E181" s="58">
        <v>46057.59033564815</v>
      </c>
      <c r="F181" s="46" t="s">
        <v>508</v>
      </c>
      <c r="G181" s="46" t="s">
        <v>509</v>
      </c>
      <c r="H181" s="49">
        <v>4</v>
      </c>
    </row>
    <row r="182" spans="1:8" x14ac:dyDescent="0.3">
      <c r="A182" s="34">
        <v>181</v>
      </c>
      <c r="B182" s="46" t="s">
        <v>27</v>
      </c>
      <c r="C182" s="58">
        <v>46057.572939814818</v>
      </c>
      <c r="D182" s="55" t="s">
        <v>492</v>
      </c>
      <c r="E182" s="58">
        <v>46057.593807870369</v>
      </c>
      <c r="F182" s="46" t="s">
        <v>510</v>
      </c>
      <c r="G182" s="46" t="s">
        <v>511</v>
      </c>
      <c r="H182" s="49">
        <v>6</v>
      </c>
    </row>
    <row r="183" spans="1:8" x14ac:dyDescent="0.3">
      <c r="A183" s="34">
        <v>182</v>
      </c>
      <c r="B183" s="46" t="s">
        <v>512</v>
      </c>
      <c r="C183" s="58">
        <v>46057.338275462957</v>
      </c>
      <c r="D183" s="55" t="s">
        <v>492</v>
      </c>
      <c r="E183" s="58">
        <v>46057.359166666669</v>
      </c>
      <c r="F183" s="46" t="s">
        <v>513</v>
      </c>
      <c r="G183" s="46" t="s">
        <v>514</v>
      </c>
      <c r="H183" s="49">
        <v>3</v>
      </c>
    </row>
    <row r="184" spans="1:8" x14ac:dyDescent="0.3">
      <c r="A184" s="34">
        <v>183</v>
      </c>
      <c r="B184" s="46" t="s">
        <v>515</v>
      </c>
      <c r="C184" s="58">
        <v>46057.674050925933</v>
      </c>
      <c r="D184" s="55" t="s">
        <v>492</v>
      </c>
      <c r="E184" s="58">
        <v>46057.694976851853</v>
      </c>
      <c r="F184" s="46" t="s">
        <v>516</v>
      </c>
      <c r="G184" s="46" t="s">
        <v>517</v>
      </c>
      <c r="H184" s="49">
        <v>4</v>
      </c>
    </row>
    <row r="185" spans="1:8" x14ac:dyDescent="0.3">
      <c r="A185" s="34">
        <v>184</v>
      </c>
      <c r="B185" s="46" t="s">
        <v>135</v>
      </c>
      <c r="C185" s="58">
        <v>46057.330787037034</v>
      </c>
      <c r="D185" s="55" t="s">
        <v>492</v>
      </c>
      <c r="E185" s="58">
        <v>46057.351655092592</v>
      </c>
      <c r="F185" s="46" t="s">
        <v>518</v>
      </c>
      <c r="G185" s="46" t="s">
        <v>519</v>
      </c>
      <c r="H185" s="49">
        <v>5</v>
      </c>
    </row>
    <row r="186" spans="1:8" x14ac:dyDescent="0.3">
      <c r="A186" s="34">
        <v>185</v>
      </c>
      <c r="B186" s="46" t="s">
        <v>69</v>
      </c>
      <c r="C186" s="58">
        <v>46057.384363425917</v>
      </c>
      <c r="D186" s="55" t="s">
        <v>492</v>
      </c>
      <c r="E186" s="58">
        <v>46057.40520833333</v>
      </c>
      <c r="F186" s="46" t="s">
        <v>520</v>
      </c>
      <c r="G186" s="46" t="s">
        <v>521</v>
      </c>
      <c r="H186" s="49">
        <v>3</v>
      </c>
    </row>
    <row r="187" spans="1:8" x14ac:dyDescent="0.3">
      <c r="A187" s="34">
        <v>186</v>
      </c>
      <c r="B187" s="46" t="s">
        <v>144</v>
      </c>
      <c r="C187" s="58">
        <v>46057.337951388887</v>
      </c>
      <c r="D187" s="55" t="s">
        <v>492</v>
      </c>
      <c r="E187" s="58">
        <v>46057.358807870369</v>
      </c>
      <c r="F187" s="46" t="s">
        <v>522</v>
      </c>
      <c r="G187" s="46" t="s">
        <v>523</v>
      </c>
      <c r="H187" s="49">
        <v>6</v>
      </c>
    </row>
    <row r="188" spans="1:8" x14ac:dyDescent="0.3">
      <c r="A188" s="34">
        <v>187</v>
      </c>
      <c r="B188" s="46" t="s">
        <v>34</v>
      </c>
      <c r="C188" s="58">
        <v>46057.08425925926</v>
      </c>
      <c r="D188" s="55" t="s">
        <v>492</v>
      </c>
      <c r="E188" s="58">
        <v>46057.105127314811</v>
      </c>
      <c r="F188" s="46" t="s">
        <v>524</v>
      </c>
      <c r="G188" s="46" t="s">
        <v>525</v>
      </c>
      <c r="H188" s="49">
        <v>4</v>
      </c>
    </row>
    <row r="189" spans="1:8" x14ac:dyDescent="0.3">
      <c r="A189" s="34">
        <v>188</v>
      </c>
      <c r="B189" s="46" t="s">
        <v>25</v>
      </c>
      <c r="C189" s="58">
        <v>46057.676400462973</v>
      </c>
      <c r="D189" s="55" t="s">
        <v>492</v>
      </c>
      <c r="E189" s="58">
        <v>46057.697268518517</v>
      </c>
      <c r="F189" s="46" t="s">
        <v>526</v>
      </c>
      <c r="G189" s="46" t="s">
        <v>527</v>
      </c>
      <c r="H189" s="49">
        <v>3</v>
      </c>
    </row>
    <row r="190" spans="1:8" x14ac:dyDescent="0.3">
      <c r="A190" s="34">
        <v>189</v>
      </c>
      <c r="B190" s="46" t="s">
        <v>528</v>
      </c>
      <c r="C190" s="58">
        <v>46057.46670138889</v>
      </c>
      <c r="D190" s="55" t="s">
        <v>492</v>
      </c>
      <c r="E190" s="58">
        <v>46057.487569444442</v>
      </c>
      <c r="F190" s="46" t="s">
        <v>529</v>
      </c>
      <c r="G190" s="46" t="s">
        <v>530</v>
      </c>
      <c r="H190" s="49">
        <v>6</v>
      </c>
    </row>
    <row r="191" spans="1:8" x14ac:dyDescent="0.3">
      <c r="A191" s="34">
        <v>190</v>
      </c>
      <c r="B191" s="46" t="s">
        <v>531</v>
      </c>
      <c r="C191" s="58">
        <v>46057.298009259262</v>
      </c>
      <c r="D191" s="55" t="s">
        <v>492</v>
      </c>
      <c r="E191" s="58">
        <v>46057.318888888891</v>
      </c>
      <c r="F191" s="46" t="s">
        <v>532</v>
      </c>
      <c r="G191" s="46" t="s">
        <v>533</v>
      </c>
      <c r="H191" s="49">
        <v>3</v>
      </c>
    </row>
    <row r="192" spans="1:8" x14ac:dyDescent="0.3">
      <c r="A192" s="34">
        <v>191</v>
      </c>
      <c r="B192" s="46" t="s">
        <v>62</v>
      </c>
      <c r="C192" s="58">
        <v>46057.336631944447</v>
      </c>
      <c r="D192" s="55" t="s">
        <v>492</v>
      </c>
      <c r="E192" s="58">
        <v>46057.357476851852</v>
      </c>
      <c r="F192" s="46" t="s">
        <v>534</v>
      </c>
      <c r="G192" s="46" t="s">
        <v>535</v>
      </c>
      <c r="H192" s="49">
        <v>4</v>
      </c>
    </row>
    <row r="193" spans="1:8" x14ac:dyDescent="0.3">
      <c r="A193" s="34">
        <v>192</v>
      </c>
      <c r="B193" s="46" t="s">
        <v>324</v>
      </c>
      <c r="C193" s="58">
        <v>46057.63380787037</v>
      </c>
      <c r="D193" s="55" t="s">
        <v>492</v>
      </c>
      <c r="E193" s="58">
        <v>46057.654687499999</v>
      </c>
      <c r="F193" s="46" t="s">
        <v>536</v>
      </c>
      <c r="G193" s="46" t="s">
        <v>537</v>
      </c>
      <c r="H193" s="49">
        <v>3</v>
      </c>
    </row>
    <row r="194" spans="1:8" x14ac:dyDescent="0.3">
      <c r="A194" s="34">
        <v>193</v>
      </c>
      <c r="B194" s="46" t="s">
        <v>35</v>
      </c>
      <c r="C194" s="58">
        <v>46057.701874999999</v>
      </c>
      <c r="D194" s="55" t="s">
        <v>492</v>
      </c>
      <c r="E194" s="58">
        <v>46057.722743055558</v>
      </c>
      <c r="F194" s="46" t="s">
        <v>538</v>
      </c>
      <c r="G194" s="46" t="s">
        <v>442</v>
      </c>
      <c r="H194" s="49">
        <v>3</v>
      </c>
    </row>
    <row r="195" spans="1:8" x14ac:dyDescent="0.3">
      <c r="A195" s="34">
        <v>194</v>
      </c>
      <c r="B195" s="46" t="s">
        <v>539</v>
      </c>
      <c r="C195" s="58">
        <v>46057.690451388888</v>
      </c>
      <c r="D195" s="55" t="s">
        <v>492</v>
      </c>
      <c r="E195" s="58">
        <v>46057.720891203702</v>
      </c>
      <c r="F195" s="46" t="s">
        <v>540</v>
      </c>
      <c r="G195" s="46" t="s">
        <v>541</v>
      </c>
      <c r="H195" s="49">
        <v>4</v>
      </c>
    </row>
    <row r="196" spans="1:8" x14ac:dyDescent="0.3">
      <c r="A196" s="34">
        <v>195</v>
      </c>
      <c r="B196" s="46" t="s">
        <v>70</v>
      </c>
      <c r="C196" s="58">
        <v>46057.636331018519</v>
      </c>
      <c r="D196" s="55" t="s">
        <v>492</v>
      </c>
      <c r="E196" s="58">
        <v>46057.657187500001</v>
      </c>
      <c r="F196" s="46" t="s">
        <v>542</v>
      </c>
      <c r="G196" s="46" t="s">
        <v>543</v>
      </c>
      <c r="H196" s="49">
        <v>3</v>
      </c>
    </row>
    <row r="197" spans="1:8" x14ac:dyDescent="0.3">
      <c r="A197" s="34">
        <v>196</v>
      </c>
      <c r="B197" s="46" t="s">
        <v>429</v>
      </c>
      <c r="C197" s="58">
        <v>46057.417013888888</v>
      </c>
      <c r="D197" s="55" t="s">
        <v>492</v>
      </c>
      <c r="E197" s="58">
        <v>46057.43787037037</v>
      </c>
      <c r="F197" s="46" t="s">
        <v>544</v>
      </c>
      <c r="G197" s="46" t="s">
        <v>545</v>
      </c>
      <c r="H197" s="49">
        <v>4</v>
      </c>
    </row>
    <row r="198" spans="1:8" x14ac:dyDescent="0.3">
      <c r="A198" s="34">
        <v>197</v>
      </c>
      <c r="B198" s="46" t="s">
        <v>334</v>
      </c>
      <c r="C198" s="58">
        <v>46057.633923611109</v>
      </c>
      <c r="D198" s="55" t="s">
        <v>492</v>
      </c>
      <c r="E198" s="58">
        <v>46057.654803240737</v>
      </c>
      <c r="F198" s="46" t="s">
        <v>546</v>
      </c>
      <c r="G198" s="46" t="s">
        <v>547</v>
      </c>
      <c r="H198" s="49">
        <v>4</v>
      </c>
    </row>
    <row r="199" spans="1:8" x14ac:dyDescent="0.3">
      <c r="A199" s="34">
        <v>198</v>
      </c>
      <c r="B199" s="46" t="s">
        <v>199</v>
      </c>
      <c r="C199" s="58">
        <v>46057.636400462958</v>
      </c>
      <c r="D199" s="55" t="s">
        <v>492</v>
      </c>
      <c r="E199" s="58">
        <v>46057.657268518517</v>
      </c>
      <c r="F199" s="46" t="s">
        <v>548</v>
      </c>
      <c r="G199" s="46" t="s">
        <v>549</v>
      </c>
      <c r="H199" s="49">
        <v>3</v>
      </c>
    </row>
    <row r="200" spans="1:8" x14ac:dyDescent="0.3">
      <c r="A200" s="34">
        <v>199</v>
      </c>
      <c r="B200" s="46" t="s">
        <v>337</v>
      </c>
      <c r="C200" s="58">
        <v>46057.061423611107</v>
      </c>
      <c r="D200" s="55" t="s">
        <v>492</v>
      </c>
      <c r="E200" s="58">
        <v>46057.082303240742</v>
      </c>
      <c r="F200" s="46" t="s">
        <v>550</v>
      </c>
      <c r="G200" s="46" t="s">
        <v>551</v>
      </c>
      <c r="H200" s="49">
        <v>5</v>
      </c>
    </row>
    <row r="201" spans="1:8" x14ac:dyDescent="0.3">
      <c r="A201" s="34">
        <v>200</v>
      </c>
      <c r="B201" s="46" t="s">
        <v>29</v>
      </c>
      <c r="C201" s="58">
        <v>46057.42664351852</v>
      </c>
      <c r="D201" s="55" t="s">
        <v>492</v>
      </c>
      <c r="E201" s="58">
        <v>46057.447523148148</v>
      </c>
      <c r="F201" s="46" t="s">
        <v>552</v>
      </c>
      <c r="G201" s="46" t="s">
        <v>553</v>
      </c>
      <c r="H201" s="49">
        <v>4</v>
      </c>
    </row>
    <row r="202" spans="1:8" x14ac:dyDescent="0.3">
      <c r="A202" s="34">
        <v>201</v>
      </c>
      <c r="B202" s="46" t="s">
        <v>205</v>
      </c>
      <c r="C202" s="58">
        <v>46057.509756944448</v>
      </c>
      <c r="D202" s="55" t="s">
        <v>492</v>
      </c>
      <c r="E202" s="58">
        <v>46057.530601851853</v>
      </c>
      <c r="F202" s="46" t="s">
        <v>554</v>
      </c>
      <c r="G202" s="46" t="s">
        <v>555</v>
      </c>
      <c r="H202" s="49">
        <v>3</v>
      </c>
    </row>
    <row r="203" spans="1:8" x14ac:dyDescent="0.3">
      <c r="A203" s="34">
        <v>202</v>
      </c>
      <c r="B203" s="46" t="s">
        <v>556</v>
      </c>
      <c r="C203" s="58">
        <v>46057.644733796304</v>
      </c>
      <c r="D203" s="55" t="s">
        <v>492</v>
      </c>
      <c r="E203" s="58">
        <v>46057.665578703702</v>
      </c>
      <c r="F203" s="46" t="s">
        <v>557</v>
      </c>
      <c r="G203" s="46" t="s">
        <v>558</v>
      </c>
      <c r="H203" s="49">
        <v>3</v>
      </c>
    </row>
    <row r="204" spans="1:8" x14ac:dyDescent="0.3">
      <c r="A204" s="34">
        <v>203</v>
      </c>
      <c r="B204" s="46" t="s">
        <v>50</v>
      </c>
      <c r="C204" s="58">
        <v>46057.648101851853</v>
      </c>
      <c r="D204" s="55" t="s">
        <v>492</v>
      </c>
      <c r="E204" s="58">
        <v>46057.668981481482</v>
      </c>
      <c r="F204" s="46" t="s">
        <v>559</v>
      </c>
      <c r="G204" s="46" t="s">
        <v>560</v>
      </c>
      <c r="H204" s="49">
        <v>5</v>
      </c>
    </row>
    <row r="205" spans="1:8" x14ac:dyDescent="0.3">
      <c r="A205" s="34">
        <v>204</v>
      </c>
      <c r="B205" s="46" t="s">
        <v>339</v>
      </c>
      <c r="C205" s="58">
        <v>46057.333148148151</v>
      </c>
      <c r="D205" s="55" t="s">
        <v>492</v>
      </c>
      <c r="E205" s="58">
        <v>46057.354027777779</v>
      </c>
      <c r="F205" s="46" t="s">
        <v>561</v>
      </c>
      <c r="G205" s="46" t="s">
        <v>562</v>
      </c>
      <c r="H205" s="49">
        <v>6</v>
      </c>
    </row>
    <row r="206" spans="1:8" x14ac:dyDescent="0.3">
      <c r="A206" s="34">
        <v>205</v>
      </c>
      <c r="B206" s="46" t="s">
        <v>563</v>
      </c>
      <c r="C206" s="58">
        <v>46057.301157407397</v>
      </c>
      <c r="D206" s="55" t="s">
        <v>492</v>
      </c>
      <c r="E206" s="58">
        <v>46057.322013888886</v>
      </c>
      <c r="F206" s="46" t="s">
        <v>564</v>
      </c>
      <c r="G206" s="46" t="s">
        <v>565</v>
      </c>
      <c r="H206" s="49">
        <v>5</v>
      </c>
    </row>
    <row r="207" spans="1:8" x14ac:dyDescent="0.3">
      <c r="A207" s="34">
        <v>206</v>
      </c>
      <c r="B207" s="46" t="s">
        <v>566</v>
      </c>
      <c r="C207" s="58">
        <v>46057.378796296303</v>
      </c>
      <c r="D207" s="55" t="s">
        <v>492</v>
      </c>
      <c r="E207" s="58">
        <v>46057.412986111107</v>
      </c>
      <c r="F207" s="46" t="s">
        <v>567</v>
      </c>
      <c r="G207" s="46" t="s">
        <v>568</v>
      </c>
      <c r="H207" s="49">
        <v>4</v>
      </c>
    </row>
    <row r="208" spans="1:8" x14ac:dyDescent="0.3">
      <c r="A208" s="34">
        <v>207</v>
      </c>
      <c r="B208" s="46" t="s">
        <v>569</v>
      </c>
      <c r="C208" s="58">
        <v>46057.297129629631</v>
      </c>
      <c r="D208" s="55" t="s">
        <v>492</v>
      </c>
      <c r="E208" s="58">
        <v>46057.317962962959</v>
      </c>
      <c r="F208" s="46" t="s">
        <v>570</v>
      </c>
      <c r="G208" s="46" t="s">
        <v>571</v>
      </c>
      <c r="H208" s="49">
        <v>3</v>
      </c>
    </row>
    <row r="209" spans="1:8" x14ac:dyDescent="0.3">
      <c r="A209" s="34">
        <v>208</v>
      </c>
      <c r="B209" s="46" t="s">
        <v>73</v>
      </c>
      <c r="C209" s="58">
        <v>46057.376423611109</v>
      </c>
      <c r="D209" s="55" t="s">
        <v>492</v>
      </c>
      <c r="E209" s="58">
        <v>46057.397314814807</v>
      </c>
      <c r="F209" s="46" t="s">
        <v>572</v>
      </c>
      <c r="G209" s="46" t="s">
        <v>568</v>
      </c>
      <c r="H209" s="49">
        <v>3</v>
      </c>
    </row>
    <row r="210" spans="1:8" x14ac:dyDescent="0.3">
      <c r="A210" s="34">
        <v>209</v>
      </c>
      <c r="B210" s="46" t="s">
        <v>214</v>
      </c>
      <c r="C210" s="58">
        <v>46057.641851851848</v>
      </c>
      <c r="D210" s="55" t="s">
        <v>492</v>
      </c>
      <c r="E210" s="58">
        <v>46057.662708333337</v>
      </c>
      <c r="F210" s="46" t="s">
        <v>573</v>
      </c>
      <c r="G210" s="46" t="s">
        <v>574</v>
      </c>
      <c r="H210" s="49">
        <v>4</v>
      </c>
    </row>
    <row r="211" spans="1:8" x14ac:dyDescent="0.3">
      <c r="A211" s="34">
        <v>210</v>
      </c>
      <c r="B211" s="46" t="s">
        <v>217</v>
      </c>
      <c r="C211" s="58">
        <v>46057.500532407408</v>
      </c>
      <c r="D211" s="55" t="s">
        <v>492</v>
      </c>
      <c r="E211" s="58">
        <v>46057.52138888889</v>
      </c>
      <c r="F211" s="46" t="s">
        <v>575</v>
      </c>
      <c r="G211" s="46" t="s">
        <v>576</v>
      </c>
      <c r="H211" s="49">
        <v>3</v>
      </c>
    </row>
    <row r="212" spans="1:8" x14ac:dyDescent="0.3">
      <c r="A212" s="34">
        <v>211</v>
      </c>
      <c r="B212" s="46" t="s">
        <v>33</v>
      </c>
      <c r="C212" s="58">
        <v>46057.632789351846</v>
      </c>
      <c r="D212" s="55" t="s">
        <v>492</v>
      </c>
      <c r="E212" s="58">
        <v>46057.653657407413</v>
      </c>
      <c r="F212" s="46" t="s">
        <v>577</v>
      </c>
      <c r="G212" s="46" t="s">
        <v>578</v>
      </c>
      <c r="H212" s="49">
        <v>3</v>
      </c>
    </row>
    <row r="213" spans="1:8" x14ac:dyDescent="0.3">
      <c r="A213" s="34">
        <v>212</v>
      </c>
      <c r="B213" s="46" t="s">
        <v>219</v>
      </c>
      <c r="C213" s="58">
        <v>46057.508761574078</v>
      </c>
      <c r="D213" s="55" t="s">
        <v>492</v>
      </c>
      <c r="E213" s="58">
        <v>46057.529618055552</v>
      </c>
      <c r="F213" s="46" t="s">
        <v>579</v>
      </c>
      <c r="G213" s="46" t="s">
        <v>104</v>
      </c>
      <c r="H213" s="49">
        <v>3</v>
      </c>
    </row>
    <row r="214" spans="1:8" x14ac:dyDescent="0.3">
      <c r="A214" s="34">
        <v>213</v>
      </c>
      <c r="B214" s="46" t="s">
        <v>222</v>
      </c>
      <c r="C214" s="58">
        <v>46057.477465277778</v>
      </c>
      <c r="D214" s="55" t="s">
        <v>492</v>
      </c>
      <c r="E214" s="58">
        <v>46057.49832175926</v>
      </c>
      <c r="F214" s="46" t="s">
        <v>580</v>
      </c>
      <c r="G214" s="46" t="s">
        <v>581</v>
      </c>
      <c r="H214" s="49">
        <v>5</v>
      </c>
    </row>
    <row r="215" spans="1:8" x14ac:dyDescent="0.3">
      <c r="A215" s="34">
        <v>214</v>
      </c>
      <c r="B215" s="46" t="s">
        <v>225</v>
      </c>
      <c r="C215" s="58">
        <v>46057.423043981478</v>
      </c>
      <c r="D215" s="55" t="s">
        <v>492</v>
      </c>
      <c r="E215" s="58">
        <v>46057.443912037037</v>
      </c>
      <c r="F215" s="46" t="s">
        <v>582</v>
      </c>
      <c r="G215" s="46" t="s">
        <v>583</v>
      </c>
      <c r="H215" s="49">
        <v>3</v>
      </c>
    </row>
    <row r="216" spans="1:8" x14ac:dyDescent="0.3">
      <c r="A216" s="34">
        <v>215</v>
      </c>
      <c r="B216" s="46" t="s">
        <v>228</v>
      </c>
      <c r="C216" s="58">
        <v>46057.634675925918</v>
      </c>
      <c r="D216" s="55" t="s">
        <v>492</v>
      </c>
      <c r="E216" s="58">
        <v>46057.65556712963</v>
      </c>
      <c r="F216" s="46" t="s">
        <v>584</v>
      </c>
      <c r="G216" s="46" t="s">
        <v>585</v>
      </c>
      <c r="H216" s="49">
        <v>3</v>
      </c>
    </row>
    <row r="217" spans="1:8" x14ac:dyDescent="0.3">
      <c r="A217" s="34">
        <v>216</v>
      </c>
      <c r="B217" s="46" t="s">
        <v>237</v>
      </c>
      <c r="C217" s="58">
        <v>46057.613935185182</v>
      </c>
      <c r="D217" s="55" t="s">
        <v>492</v>
      </c>
      <c r="E217" s="58">
        <v>46057.63480324074</v>
      </c>
      <c r="F217" s="46" t="s">
        <v>586</v>
      </c>
      <c r="G217" s="46" t="s">
        <v>587</v>
      </c>
      <c r="H217" s="49">
        <v>5</v>
      </c>
    </row>
    <row r="218" spans="1:8" x14ac:dyDescent="0.3">
      <c r="A218" s="34">
        <v>217</v>
      </c>
      <c r="B218" s="46" t="s">
        <v>588</v>
      </c>
      <c r="C218" s="58">
        <v>46057.389884259261</v>
      </c>
      <c r="D218" s="55" t="s">
        <v>492</v>
      </c>
      <c r="E218" s="58">
        <v>46057.410729166673</v>
      </c>
      <c r="F218" s="46" t="s">
        <v>589</v>
      </c>
      <c r="G218" s="46" t="s">
        <v>590</v>
      </c>
      <c r="H218" s="49">
        <v>4</v>
      </c>
    </row>
    <row r="219" spans="1:8" x14ac:dyDescent="0.3">
      <c r="A219" s="34">
        <v>218</v>
      </c>
      <c r="B219" s="46" t="s">
        <v>363</v>
      </c>
      <c r="C219" s="58">
        <v>46057.612881944442</v>
      </c>
      <c r="D219" s="55" t="s">
        <v>492</v>
      </c>
      <c r="E219" s="58">
        <v>46057.633761574078</v>
      </c>
      <c r="F219" s="46" t="s">
        <v>591</v>
      </c>
      <c r="G219" s="46" t="s">
        <v>562</v>
      </c>
      <c r="H219" s="49">
        <v>4</v>
      </c>
    </row>
    <row r="220" spans="1:8" x14ac:dyDescent="0.3">
      <c r="A220" s="34">
        <v>219</v>
      </c>
      <c r="B220" s="46" t="s">
        <v>44</v>
      </c>
      <c r="C220" s="58">
        <v>46057.450752314813</v>
      </c>
      <c r="D220" s="55" t="s">
        <v>492</v>
      </c>
      <c r="E220" s="58">
        <v>46057.471631944441</v>
      </c>
      <c r="F220" s="46" t="s">
        <v>592</v>
      </c>
      <c r="G220" s="46" t="s">
        <v>323</v>
      </c>
      <c r="H220" s="49">
        <v>5</v>
      </c>
    </row>
    <row r="221" spans="1:8" x14ac:dyDescent="0.3">
      <c r="A221" s="34">
        <v>220</v>
      </c>
      <c r="B221" s="46" t="s">
        <v>593</v>
      </c>
      <c r="C221" s="58">
        <v>46057.297708333332</v>
      </c>
      <c r="D221" s="55" t="s">
        <v>492</v>
      </c>
      <c r="E221" s="58">
        <v>46057.318541666667</v>
      </c>
      <c r="F221" s="46" t="s">
        <v>594</v>
      </c>
      <c r="G221" s="46" t="s">
        <v>595</v>
      </c>
      <c r="H221" s="49">
        <v>3</v>
      </c>
    </row>
    <row r="222" spans="1:8" x14ac:dyDescent="0.3">
      <c r="A222" s="34">
        <v>221</v>
      </c>
      <c r="B222" s="46" t="s">
        <v>473</v>
      </c>
      <c r="C222" s="58">
        <v>46057.637337962973</v>
      </c>
      <c r="D222" s="55" t="s">
        <v>492</v>
      </c>
      <c r="E222" s="58">
        <v>46057.658194444448</v>
      </c>
      <c r="F222" s="46" t="s">
        <v>596</v>
      </c>
      <c r="G222" s="46" t="s">
        <v>597</v>
      </c>
      <c r="H222" s="49">
        <v>3</v>
      </c>
    </row>
    <row r="223" spans="1:8" x14ac:dyDescent="0.3">
      <c r="A223" s="34">
        <v>222</v>
      </c>
      <c r="B223" s="46" t="s">
        <v>598</v>
      </c>
      <c r="C223" s="58">
        <v>46057.382685185177</v>
      </c>
      <c r="D223" s="55" t="s">
        <v>492</v>
      </c>
      <c r="E223" s="58">
        <v>46057.40351851852</v>
      </c>
      <c r="F223" s="46" t="s">
        <v>599</v>
      </c>
      <c r="G223" s="46" t="s">
        <v>600</v>
      </c>
      <c r="H223" s="49">
        <v>3</v>
      </c>
    </row>
    <row r="224" spans="1:8" x14ac:dyDescent="0.3">
      <c r="A224" s="34">
        <v>223</v>
      </c>
      <c r="B224" s="46" t="s">
        <v>261</v>
      </c>
      <c r="C224" s="58">
        <v>46057.353877314818</v>
      </c>
      <c r="D224" s="55" t="s">
        <v>492</v>
      </c>
      <c r="E224" s="58">
        <v>46057.375057870369</v>
      </c>
      <c r="F224" s="46" t="s">
        <v>601</v>
      </c>
      <c r="G224" s="46" t="s">
        <v>602</v>
      </c>
      <c r="H224" s="49">
        <v>3</v>
      </c>
    </row>
    <row r="225" spans="1:8" x14ac:dyDescent="0.3">
      <c r="A225" s="34">
        <v>224</v>
      </c>
      <c r="B225" s="46" t="s">
        <v>603</v>
      </c>
      <c r="C225" s="58">
        <v>46057.357893518521</v>
      </c>
      <c r="D225" s="55" t="s">
        <v>492</v>
      </c>
      <c r="E225" s="58">
        <v>46057.37877314815</v>
      </c>
      <c r="F225" s="46" t="s">
        <v>604</v>
      </c>
      <c r="G225" s="46" t="s">
        <v>605</v>
      </c>
      <c r="H225" s="49">
        <v>3</v>
      </c>
    </row>
    <row r="226" spans="1:8" x14ac:dyDescent="0.3">
      <c r="A226" s="34">
        <v>225</v>
      </c>
      <c r="B226" s="46" t="s">
        <v>606</v>
      </c>
      <c r="C226" s="58">
        <v>46057.431018518517</v>
      </c>
      <c r="D226" s="55" t="s">
        <v>492</v>
      </c>
      <c r="E226" s="58">
        <v>46057.451851851853</v>
      </c>
      <c r="F226" s="46" t="s">
        <v>607</v>
      </c>
      <c r="G226" s="46" t="s">
        <v>113</v>
      </c>
      <c r="H226" s="49">
        <v>3</v>
      </c>
    </row>
    <row r="227" spans="1:8" x14ac:dyDescent="0.3">
      <c r="A227" s="34">
        <v>226</v>
      </c>
      <c r="B227" s="46" t="s">
        <v>608</v>
      </c>
      <c r="C227" s="58">
        <v>46057.296793981477</v>
      </c>
      <c r="D227" s="55" t="s">
        <v>492</v>
      </c>
      <c r="E227" s="58">
        <v>46057.317673611113</v>
      </c>
      <c r="F227" s="46" t="s">
        <v>609</v>
      </c>
      <c r="G227" s="46" t="s">
        <v>610</v>
      </c>
      <c r="H227" s="49">
        <v>4</v>
      </c>
    </row>
    <row r="228" spans="1:8" x14ac:dyDescent="0.3">
      <c r="A228" s="34">
        <v>227</v>
      </c>
      <c r="B228" s="46" t="s">
        <v>611</v>
      </c>
      <c r="C228" s="58">
        <v>46057.432384259257</v>
      </c>
      <c r="D228" s="55" t="s">
        <v>492</v>
      </c>
      <c r="E228" s="58">
        <v>46057.453229166669</v>
      </c>
      <c r="F228" s="46" t="s">
        <v>612</v>
      </c>
      <c r="G228" s="46" t="s">
        <v>113</v>
      </c>
      <c r="H228" s="49">
        <v>3</v>
      </c>
    </row>
    <row r="229" spans="1:8" x14ac:dyDescent="0.3">
      <c r="A229" s="34">
        <v>228</v>
      </c>
      <c r="B229" s="46" t="s">
        <v>613</v>
      </c>
      <c r="C229" s="58">
        <v>46057.418402777781</v>
      </c>
      <c r="D229" s="55" t="s">
        <v>492</v>
      </c>
      <c r="E229" s="58">
        <v>46057.439282407409</v>
      </c>
      <c r="F229" s="46" t="s">
        <v>614</v>
      </c>
      <c r="G229" s="46" t="s">
        <v>615</v>
      </c>
      <c r="H229" s="49">
        <v>3</v>
      </c>
    </row>
    <row r="230" spans="1:8" x14ac:dyDescent="0.3">
      <c r="A230" s="34">
        <v>229</v>
      </c>
      <c r="B230" s="46" t="s">
        <v>49</v>
      </c>
      <c r="C230" s="58">
        <v>46057.636747685188</v>
      </c>
      <c r="D230" s="55" t="s">
        <v>492</v>
      </c>
      <c r="E230" s="58">
        <v>46057.657592592594</v>
      </c>
      <c r="F230" s="46" t="s">
        <v>616</v>
      </c>
      <c r="G230" s="46" t="s">
        <v>617</v>
      </c>
      <c r="H230" s="49">
        <v>3</v>
      </c>
    </row>
    <row r="231" spans="1:8" x14ac:dyDescent="0.3">
      <c r="A231" s="34">
        <v>230</v>
      </c>
      <c r="B231" s="46" t="s">
        <v>618</v>
      </c>
      <c r="C231" s="58">
        <v>46057.534710648149</v>
      </c>
      <c r="D231" s="55" t="s">
        <v>492</v>
      </c>
      <c r="E231" s="58">
        <v>46057.555555555547</v>
      </c>
      <c r="F231" s="46" t="s">
        <v>619</v>
      </c>
      <c r="G231" s="46" t="s">
        <v>620</v>
      </c>
      <c r="H231" s="49">
        <v>3</v>
      </c>
    </row>
    <row r="232" spans="1:8" x14ac:dyDescent="0.3">
      <c r="A232" s="34">
        <v>231</v>
      </c>
      <c r="B232" s="46" t="s">
        <v>621</v>
      </c>
      <c r="C232" s="58">
        <v>46057.327997685177</v>
      </c>
      <c r="D232" s="55" t="s">
        <v>492</v>
      </c>
      <c r="E232" s="58">
        <v>46057.34884259259</v>
      </c>
      <c r="F232" s="46" t="s">
        <v>622</v>
      </c>
      <c r="G232" s="46" t="s">
        <v>623</v>
      </c>
      <c r="H232" s="49">
        <v>7</v>
      </c>
    </row>
    <row r="233" spans="1:8" x14ac:dyDescent="0.3">
      <c r="A233" s="34">
        <v>232</v>
      </c>
      <c r="B233" s="46" t="s">
        <v>41</v>
      </c>
      <c r="C233" s="58">
        <v>46057.296319444453</v>
      </c>
      <c r="D233" s="55" t="s">
        <v>492</v>
      </c>
      <c r="E233" s="58">
        <v>46057.317152777781</v>
      </c>
      <c r="F233" s="46" t="s">
        <v>624</v>
      </c>
      <c r="G233" s="46" t="s">
        <v>625</v>
      </c>
      <c r="H233" s="49">
        <v>4</v>
      </c>
    </row>
    <row r="234" spans="1:8" x14ac:dyDescent="0.3">
      <c r="A234" s="34">
        <v>233</v>
      </c>
      <c r="B234" s="46" t="s">
        <v>626</v>
      </c>
      <c r="C234" s="58">
        <v>46057.479861111111</v>
      </c>
      <c r="D234" s="55" t="s">
        <v>492</v>
      </c>
      <c r="E234" s="58">
        <v>46057.500717592593</v>
      </c>
      <c r="F234" s="46" t="s">
        <v>627</v>
      </c>
      <c r="G234" s="46" t="s">
        <v>107</v>
      </c>
      <c r="H234" s="49">
        <v>4</v>
      </c>
    </row>
    <row r="235" spans="1:8" x14ac:dyDescent="0.3">
      <c r="A235" s="34">
        <v>234</v>
      </c>
      <c r="B235" s="46" t="s">
        <v>275</v>
      </c>
      <c r="C235" s="58">
        <v>46057.667280092603</v>
      </c>
      <c r="D235" s="55" t="s">
        <v>492</v>
      </c>
      <c r="E235" s="58">
        <v>46057.688113425917</v>
      </c>
      <c r="F235" s="46" t="s">
        <v>628</v>
      </c>
      <c r="G235" s="46" t="s">
        <v>629</v>
      </c>
      <c r="H235" s="49">
        <v>3</v>
      </c>
    </row>
    <row r="236" spans="1:8" x14ac:dyDescent="0.3">
      <c r="A236" s="34">
        <v>235</v>
      </c>
      <c r="B236" s="46" t="s">
        <v>278</v>
      </c>
      <c r="C236" s="58">
        <v>46057.422800925917</v>
      </c>
      <c r="D236" s="55" t="s">
        <v>492</v>
      </c>
      <c r="E236" s="58">
        <v>46057.443680555552</v>
      </c>
      <c r="F236" s="46" t="s">
        <v>630</v>
      </c>
      <c r="G236" s="46" t="s">
        <v>631</v>
      </c>
      <c r="H236" s="49">
        <v>3</v>
      </c>
    </row>
    <row r="237" spans="1:8" x14ac:dyDescent="0.3">
      <c r="A237" s="34">
        <v>236</v>
      </c>
      <c r="B237" s="46" t="s">
        <v>491</v>
      </c>
      <c r="C237" s="58">
        <v>46058.396157407413</v>
      </c>
      <c r="D237" s="55" t="s">
        <v>632</v>
      </c>
      <c r="E237" s="58">
        <v>46058.416990740741</v>
      </c>
      <c r="F237" s="46" t="s">
        <v>633</v>
      </c>
      <c r="G237" s="46" t="s">
        <v>634</v>
      </c>
      <c r="H237" s="49">
        <v>6</v>
      </c>
    </row>
    <row r="238" spans="1:8" x14ac:dyDescent="0.3">
      <c r="A238" s="34">
        <v>237</v>
      </c>
      <c r="B238" s="46" t="s">
        <v>60</v>
      </c>
      <c r="C238" s="58">
        <v>46058.422766203701</v>
      </c>
      <c r="D238" s="55" t="s">
        <v>632</v>
      </c>
      <c r="E238" s="58">
        <v>46058.44363425926</v>
      </c>
      <c r="F238" s="46" t="s">
        <v>635</v>
      </c>
      <c r="G238" s="46" t="s">
        <v>636</v>
      </c>
      <c r="H238" s="49">
        <v>3</v>
      </c>
    </row>
    <row r="239" spans="1:8" x14ac:dyDescent="0.3">
      <c r="A239" s="34">
        <v>238</v>
      </c>
      <c r="B239" s="46" t="s">
        <v>637</v>
      </c>
      <c r="C239" s="58">
        <v>46058.326041666667</v>
      </c>
      <c r="D239" s="55" t="s">
        <v>632</v>
      </c>
      <c r="E239" s="58">
        <v>46058.346886574072</v>
      </c>
      <c r="F239" s="46" t="s">
        <v>638</v>
      </c>
      <c r="G239" s="46" t="s">
        <v>113</v>
      </c>
      <c r="H239" s="49">
        <v>3</v>
      </c>
    </row>
    <row r="240" spans="1:8" x14ac:dyDescent="0.3">
      <c r="A240" s="34">
        <v>239</v>
      </c>
      <c r="B240" s="46" t="s">
        <v>94</v>
      </c>
      <c r="C240" s="58">
        <v>46058.436192129629</v>
      </c>
      <c r="D240" s="55" t="s">
        <v>632</v>
      </c>
      <c r="E240" s="58">
        <v>46058.457048611112</v>
      </c>
      <c r="F240" s="46" t="s">
        <v>639</v>
      </c>
      <c r="G240" s="46" t="s">
        <v>442</v>
      </c>
      <c r="H240" s="49">
        <v>4</v>
      </c>
    </row>
    <row r="241" spans="1:8" x14ac:dyDescent="0.3">
      <c r="A241" s="34">
        <v>240</v>
      </c>
      <c r="B241" s="46" t="s">
        <v>500</v>
      </c>
      <c r="C241" s="58">
        <v>46058.570844907408</v>
      </c>
      <c r="D241" s="55" t="s">
        <v>632</v>
      </c>
      <c r="E241" s="58">
        <v>46058.59171296296</v>
      </c>
      <c r="F241" s="46" t="s">
        <v>640</v>
      </c>
      <c r="G241" s="46" t="s">
        <v>641</v>
      </c>
      <c r="H241" s="49">
        <v>3</v>
      </c>
    </row>
    <row r="242" spans="1:8" x14ac:dyDescent="0.3">
      <c r="A242" s="34">
        <v>241</v>
      </c>
      <c r="B242" s="46" t="s">
        <v>502</v>
      </c>
      <c r="C242" s="58">
        <v>46058.495069444441</v>
      </c>
      <c r="D242" s="55" t="s">
        <v>632</v>
      </c>
      <c r="E242" s="58">
        <v>46058.515914351847</v>
      </c>
      <c r="F242" s="46" t="s">
        <v>642</v>
      </c>
      <c r="G242" s="46" t="s">
        <v>643</v>
      </c>
      <c r="H242" s="49">
        <v>3</v>
      </c>
    </row>
    <row r="243" spans="1:8" x14ac:dyDescent="0.3">
      <c r="A243" s="34">
        <v>242</v>
      </c>
      <c r="B243" s="46" t="s">
        <v>644</v>
      </c>
      <c r="C243" s="58">
        <v>46058.353680555563</v>
      </c>
      <c r="D243" s="55" t="s">
        <v>632</v>
      </c>
      <c r="E243" s="58">
        <v>46058.374560185177</v>
      </c>
      <c r="F243" s="46" t="s">
        <v>645</v>
      </c>
      <c r="G243" s="46" t="s">
        <v>646</v>
      </c>
      <c r="H243" s="49">
        <v>3</v>
      </c>
    </row>
    <row r="244" spans="1:8" x14ac:dyDescent="0.3">
      <c r="A244" s="34">
        <v>243</v>
      </c>
      <c r="B244" s="46" t="s">
        <v>299</v>
      </c>
      <c r="C244" s="58">
        <v>46058.421712962961</v>
      </c>
      <c r="D244" s="55" t="s">
        <v>632</v>
      </c>
      <c r="E244" s="58">
        <v>46058.44259259259</v>
      </c>
      <c r="F244" s="46" t="s">
        <v>647</v>
      </c>
      <c r="G244" s="46" t="s">
        <v>648</v>
      </c>
      <c r="H244" s="49">
        <v>5</v>
      </c>
    </row>
    <row r="245" spans="1:8" x14ac:dyDescent="0.3">
      <c r="A245" s="34">
        <v>244</v>
      </c>
      <c r="B245" s="46" t="s">
        <v>39</v>
      </c>
      <c r="C245" s="58">
        <v>46058.618344907409</v>
      </c>
      <c r="D245" s="55" t="s">
        <v>632</v>
      </c>
      <c r="E245" s="58">
        <v>46058.651365740741</v>
      </c>
      <c r="F245" s="46" t="s">
        <v>649</v>
      </c>
      <c r="G245" s="46" t="s">
        <v>650</v>
      </c>
      <c r="H245" s="49">
        <v>4</v>
      </c>
    </row>
    <row r="246" spans="1:8" x14ac:dyDescent="0.3">
      <c r="A246" s="34">
        <v>245</v>
      </c>
      <c r="B246" s="46" t="s">
        <v>27</v>
      </c>
      <c r="C246" s="58">
        <v>46058.598958333343</v>
      </c>
      <c r="D246" s="55" t="s">
        <v>632</v>
      </c>
      <c r="E246" s="58">
        <v>46058.631099537037</v>
      </c>
      <c r="F246" s="46" t="s">
        <v>651</v>
      </c>
      <c r="G246" s="46" t="s">
        <v>652</v>
      </c>
      <c r="H246" s="49">
        <v>4</v>
      </c>
    </row>
    <row r="247" spans="1:8" x14ac:dyDescent="0.3">
      <c r="A247" s="34">
        <v>246</v>
      </c>
      <c r="B247" s="46" t="s">
        <v>653</v>
      </c>
      <c r="C247" s="58">
        <v>46058.357395833344</v>
      </c>
      <c r="D247" s="55" t="s">
        <v>632</v>
      </c>
      <c r="E247" s="58">
        <v>46058.378252314818</v>
      </c>
      <c r="F247" s="46" t="s">
        <v>654</v>
      </c>
      <c r="G247" s="46" t="s">
        <v>655</v>
      </c>
      <c r="H247" s="49">
        <v>3</v>
      </c>
    </row>
    <row r="248" spans="1:8" x14ac:dyDescent="0.3">
      <c r="A248" s="34">
        <v>247</v>
      </c>
      <c r="B248" s="46" t="s">
        <v>656</v>
      </c>
      <c r="C248" s="58">
        <v>46058.355312500003</v>
      </c>
      <c r="D248" s="55" t="s">
        <v>632</v>
      </c>
      <c r="E248" s="58">
        <v>46058.376168981478</v>
      </c>
      <c r="F248" s="46" t="s">
        <v>657</v>
      </c>
      <c r="G248" s="46" t="s">
        <v>658</v>
      </c>
      <c r="H248" s="49">
        <v>3</v>
      </c>
    </row>
    <row r="249" spans="1:8" x14ac:dyDescent="0.3">
      <c r="A249" s="34">
        <v>248</v>
      </c>
      <c r="B249" s="46" t="s">
        <v>53</v>
      </c>
      <c r="C249" s="58">
        <v>46058.650787037041</v>
      </c>
      <c r="D249" s="55" t="s">
        <v>632</v>
      </c>
      <c r="E249" s="58">
        <v>46058.671655092592</v>
      </c>
      <c r="F249" s="46" t="s">
        <v>659</v>
      </c>
      <c r="G249" s="46" t="s">
        <v>660</v>
      </c>
      <c r="H249" s="49">
        <v>5</v>
      </c>
    </row>
    <row r="250" spans="1:8" x14ac:dyDescent="0.3">
      <c r="A250" s="34">
        <v>249</v>
      </c>
      <c r="B250" s="46" t="s">
        <v>132</v>
      </c>
      <c r="C250" s="58">
        <v>46058.573831018519</v>
      </c>
      <c r="D250" s="55" t="s">
        <v>632</v>
      </c>
      <c r="E250" s="58">
        <v>46058.594664351847</v>
      </c>
      <c r="F250" s="46" t="s">
        <v>661</v>
      </c>
      <c r="G250" s="46" t="s">
        <v>107</v>
      </c>
      <c r="H250" s="49">
        <v>3</v>
      </c>
    </row>
    <row r="251" spans="1:8" x14ac:dyDescent="0.3">
      <c r="A251" s="34">
        <v>250</v>
      </c>
      <c r="B251" s="46" t="s">
        <v>69</v>
      </c>
      <c r="C251" s="58">
        <v>46058.333819444437</v>
      </c>
      <c r="D251" s="55" t="s">
        <v>632</v>
      </c>
      <c r="E251" s="58">
        <v>46058.354675925933</v>
      </c>
      <c r="F251" s="46" t="s">
        <v>662</v>
      </c>
      <c r="G251" s="46" t="s">
        <v>663</v>
      </c>
      <c r="H251" s="49">
        <v>5</v>
      </c>
    </row>
    <row r="252" spans="1:8" x14ac:dyDescent="0.3">
      <c r="A252" s="34">
        <v>251</v>
      </c>
      <c r="B252" s="46" t="s">
        <v>141</v>
      </c>
      <c r="C252" s="58">
        <v>46058.371504629627</v>
      </c>
      <c r="D252" s="55" t="s">
        <v>632</v>
      </c>
      <c r="E252" s="58">
        <v>46058.392337962963</v>
      </c>
      <c r="F252" s="46" t="s">
        <v>664</v>
      </c>
      <c r="G252" s="46" t="s">
        <v>665</v>
      </c>
      <c r="H252" s="49">
        <v>5</v>
      </c>
    </row>
    <row r="253" spans="1:8" x14ac:dyDescent="0.3">
      <c r="A253" s="34">
        <v>252</v>
      </c>
      <c r="B253" s="46" t="s">
        <v>30</v>
      </c>
      <c r="C253" s="58">
        <v>46058.336840277778</v>
      </c>
      <c r="D253" s="55" t="s">
        <v>632</v>
      </c>
      <c r="E253" s="58">
        <v>46058.35769675926</v>
      </c>
      <c r="F253" s="46" t="s">
        <v>666</v>
      </c>
      <c r="G253" s="46" t="s">
        <v>667</v>
      </c>
      <c r="H253" s="49">
        <v>3</v>
      </c>
    </row>
    <row r="254" spans="1:8" x14ac:dyDescent="0.3">
      <c r="A254" s="34">
        <v>253</v>
      </c>
      <c r="B254" s="46" t="s">
        <v>144</v>
      </c>
      <c r="C254" s="58">
        <v>46058.418391203697</v>
      </c>
      <c r="D254" s="55" t="s">
        <v>632</v>
      </c>
      <c r="E254" s="58">
        <v>46058.439259259263</v>
      </c>
      <c r="F254" s="46" t="s">
        <v>668</v>
      </c>
      <c r="G254" s="46" t="s">
        <v>669</v>
      </c>
      <c r="H254" s="49">
        <v>5</v>
      </c>
    </row>
    <row r="255" spans="1:8" x14ac:dyDescent="0.3">
      <c r="A255" s="34">
        <v>254</v>
      </c>
      <c r="B255" s="46" t="s">
        <v>670</v>
      </c>
      <c r="C255" s="58">
        <v>46058.352939814817</v>
      </c>
      <c r="D255" s="55" t="s">
        <v>632</v>
      </c>
      <c r="E255" s="58">
        <v>46058.373807870368</v>
      </c>
      <c r="F255" s="46" t="s">
        <v>671</v>
      </c>
      <c r="G255" s="46" t="s">
        <v>646</v>
      </c>
      <c r="H255" s="49">
        <v>3</v>
      </c>
    </row>
    <row r="256" spans="1:8" x14ac:dyDescent="0.3">
      <c r="A256" s="34">
        <v>255</v>
      </c>
      <c r="B256" s="46" t="s">
        <v>170</v>
      </c>
      <c r="C256" s="58">
        <v>46058.795300925929</v>
      </c>
      <c r="D256" s="55" t="s">
        <v>632</v>
      </c>
      <c r="E256" s="58">
        <v>46058.816168981481</v>
      </c>
      <c r="F256" s="46" t="s">
        <v>672</v>
      </c>
      <c r="G256" s="46" t="s">
        <v>673</v>
      </c>
      <c r="H256" s="49">
        <v>4</v>
      </c>
    </row>
    <row r="257" spans="1:8" x14ac:dyDescent="0.3">
      <c r="A257" s="34">
        <v>256</v>
      </c>
      <c r="B257" s="46" t="s">
        <v>25</v>
      </c>
      <c r="C257" s="58">
        <v>46058.331585648149</v>
      </c>
      <c r="D257" s="55" t="s">
        <v>632</v>
      </c>
      <c r="E257" s="58">
        <v>46058.352500000001</v>
      </c>
      <c r="F257" s="46" t="s">
        <v>674</v>
      </c>
      <c r="G257" s="46" t="s">
        <v>675</v>
      </c>
      <c r="H257" s="49">
        <v>4</v>
      </c>
    </row>
    <row r="258" spans="1:8" x14ac:dyDescent="0.3">
      <c r="A258" s="34">
        <v>257</v>
      </c>
      <c r="B258" s="46" t="s">
        <v>528</v>
      </c>
      <c r="C258" s="58">
        <v>46058.621770833342</v>
      </c>
      <c r="D258" s="55" t="s">
        <v>632</v>
      </c>
      <c r="E258" s="58">
        <v>46058.642650462964</v>
      </c>
      <c r="F258" s="46" t="s">
        <v>676</v>
      </c>
      <c r="G258" s="46" t="s">
        <v>677</v>
      </c>
      <c r="H258" s="49">
        <v>4</v>
      </c>
    </row>
    <row r="259" spans="1:8" x14ac:dyDescent="0.3">
      <c r="A259" s="34">
        <v>258</v>
      </c>
      <c r="B259" s="46" t="s">
        <v>317</v>
      </c>
      <c r="C259" s="58">
        <v>46058.424884259257</v>
      </c>
      <c r="D259" s="55" t="s">
        <v>632</v>
      </c>
      <c r="E259" s="58">
        <v>46058.445752314823</v>
      </c>
      <c r="F259" s="46" t="s">
        <v>678</v>
      </c>
      <c r="G259" s="46" t="s">
        <v>679</v>
      </c>
      <c r="H259" s="49">
        <v>3</v>
      </c>
    </row>
    <row r="260" spans="1:8" x14ac:dyDescent="0.3">
      <c r="A260" s="34">
        <v>259</v>
      </c>
      <c r="B260" s="46" t="s">
        <v>179</v>
      </c>
      <c r="C260" s="58">
        <v>46058.662002314813</v>
      </c>
      <c r="D260" s="55" t="s">
        <v>632</v>
      </c>
      <c r="E260" s="58">
        <v>46058.682835648149</v>
      </c>
      <c r="F260" s="46" t="s">
        <v>680</v>
      </c>
      <c r="G260" s="46" t="s">
        <v>660</v>
      </c>
      <c r="H260" s="49">
        <v>5</v>
      </c>
    </row>
    <row r="261" spans="1:8" x14ac:dyDescent="0.3">
      <c r="A261" s="34">
        <v>260</v>
      </c>
      <c r="B261" s="46" t="s">
        <v>181</v>
      </c>
      <c r="C261" s="58">
        <v>46058.69667824074</v>
      </c>
      <c r="D261" s="55" t="s">
        <v>632</v>
      </c>
      <c r="E261" s="58">
        <v>46058.717557870368</v>
      </c>
      <c r="F261" s="46" t="s">
        <v>681</v>
      </c>
      <c r="G261" s="46" t="s">
        <v>682</v>
      </c>
      <c r="H261" s="49">
        <v>6</v>
      </c>
    </row>
    <row r="262" spans="1:8" x14ac:dyDescent="0.3">
      <c r="A262" s="34">
        <v>261</v>
      </c>
      <c r="B262" s="46" t="s">
        <v>62</v>
      </c>
      <c r="C262" s="58">
        <v>46058.439745370371</v>
      </c>
      <c r="D262" s="55" t="s">
        <v>632</v>
      </c>
      <c r="E262" s="58">
        <v>46058.460578703707</v>
      </c>
      <c r="F262" s="46" t="s">
        <v>683</v>
      </c>
      <c r="G262" s="46" t="s">
        <v>684</v>
      </c>
      <c r="H262" s="49">
        <v>4</v>
      </c>
    </row>
    <row r="263" spans="1:8" x14ac:dyDescent="0.3">
      <c r="A263" s="34">
        <v>262</v>
      </c>
      <c r="B263" s="46" t="s">
        <v>35</v>
      </c>
      <c r="C263" s="58">
        <v>46058.461284722223</v>
      </c>
      <c r="D263" s="55" t="s">
        <v>632</v>
      </c>
      <c r="E263" s="58">
        <v>46058.482164351852</v>
      </c>
      <c r="F263" s="46" t="s">
        <v>685</v>
      </c>
      <c r="G263" s="46" t="s">
        <v>686</v>
      </c>
      <c r="H263" s="49">
        <v>4</v>
      </c>
    </row>
    <row r="264" spans="1:8" x14ac:dyDescent="0.3">
      <c r="A264" s="34">
        <v>263</v>
      </c>
      <c r="B264" s="46" t="s">
        <v>687</v>
      </c>
      <c r="C264" s="58">
        <v>46058.589409722219</v>
      </c>
      <c r="D264" s="55" t="s">
        <v>632</v>
      </c>
      <c r="E264" s="58">
        <v>46058.610289351847</v>
      </c>
      <c r="F264" s="46" t="s">
        <v>688</v>
      </c>
      <c r="G264" s="46" t="s">
        <v>289</v>
      </c>
      <c r="H264" s="49">
        <v>3</v>
      </c>
    </row>
    <row r="265" spans="1:8" x14ac:dyDescent="0.3">
      <c r="A265" s="34">
        <v>264</v>
      </c>
      <c r="B265" s="46" t="s">
        <v>37</v>
      </c>
      <c r="C265" s="58">
        <v>46058.726111111107</v>
      </c>
      <c r="D265" s="55" t="s">
        <v>632</v>
      </c>
      <c r="E265" s="58">
        <v>46058.746944444443</v>
      </c>
      <c r="F265" s="46" t="s">
        <v>689</v>
      </c>
      <c r="G265" s="46" t="s">
        <v>660</v>
      </c>
      <c r="H265" s="49">
        <v>6</v>
      </c>
    </row>
    <row r="266" spans="1:8" x14ac:dyDescent="0.3">
      <c r="A266" s="34">
        <v>265</v>
      </c>
      <c r="B266" s="46" t="s">
        <v>70</v>
      </c>
      <c r="C266" s="58">
        <v>46058.421527777777</v>
      </c>
      <c r="D266" s="55" t="s">
        <v>632</v>
      </c>
      <c r="E266" s="58">
        <v>46058.442361111112</v>
      </c>
      <c r="F266" s="46" t="s">
        <v>690</v>
      </c>
      <c r="G266" s="46" t="s">
        <v>691</v>
      </c>
      <c r="H266" s="49">
        <v>4</v>
      </c>
    </row>
    <row r="267" spans="1:8" x14ac:dyDescent="0.3">
      <c r="A267" s="34">
        <v>266</v>
      </c>
      <c r="B267" s="46" t="s">
        <v>199</v>
      </c>
      <c r="C267" s="58">
        <v>46058.422164351847</v>
      </c>
      <c r="D267" s="55" t="s">
        <v>632</v>
      </c>
      <c r="E267" s="58">
        <v>46058.442997685182</v>
      </c>
      <c r="F267" s="46" t="s">
        <v>692</v>
      </c>
      <c r="G267" s="46" t="s">
        <v>693</v>
      </c>
      <c r="H267" s="49">
        <v>3</v>
      </c>
    </row>
    <row r="268" spans="1:8" x14ac:dyDescent="0.3">
      <c r="A268" s="34">
        <v>267</v>
      </c>
      <c r="B268" s="46" t="s">
        <v>694</v>
      </c>
      <c r="C268" s="58">
        <v>46058.473310185182</v>
      </c>
      <c r="D268" s="55" t="s">
        <v>632</v>
      </c>
      <c r="E268" s="58">
        <v>46058.49417824074</v>
      </c>
      <c r="F268" s="46" t="s">
        <v>695</v>
      </c>
      <c r="G268" s="46" t="s">
        <v>93</v>
      </c>
      <c r="H268" s="49">
        <v>3</v>
      </c>
    </row>
    <row r="269" spans="1:8" x14ac:dyDescent="0.3">
      <c r="A269" s="34">
        <v>268</v>
      </c>
      <c r="B269" s="46" t="s">
        <v>48</v>
      </c>
      <c r="C269" s="58">
        <v>46058.33489583333</v>
      </c>
      <c r="D269" s="55" t="s">
        <v>632</v>
      </c>
      <c r="E269" s="58">
        <v>46058.355740740742</v>
      </c>
      <c r="F269" s="46" t="s">
        <v>696</v>
      </c>
      <c r="G269" s="46" t="s">
        <v>562</v>
      </c>
      <c r="H269" s="49">
        <v>5</v>
      </c>
    </row>
    <row r="270" spans="1:8" x14ac:dyDescent="0.3">
      <c r="A270" s="34">
        <v>269</v>
      </c>
      <c r="B270" s="46" t="s">
        <v>205</v>
      </c>
      <c r="C270" s="58">
        <v>46058.716643518521</v>
      </c>
      <c r="D270" s="55" t="s">
        <v>632</v>
      </c>
      <c r="E270" s="58">
        <v>46058.737500000003</v>
      </c>
      <c r="F270" s="46" t="s">
        <v>697</v>
      </c>
      <c r="G270" s="46" t="s">
        <v>660</v>
      </c>
      <c r="H270" s="49">
        <v>6</v>
      </c>
    </row>
    <row r="271" spans="1:8" x14ac:dyDescent="0.3">
      <c r="A271" s="34">
        <v>270</v>
      </c>
      <c r="B271" s="46" t="s">
        <v>50</v>
      </c>
      <c r="C271" s="58">
        <v>46058.527442129627</v>
      </c>
      <c r="D271" s="55" t="s">
        <v>632</v>
      </c>
      <c r="E271" s="58">
        <v>46058.54828703704</v>
      </c>
      <c r="F271" s="46" t="s">
        <v>698</v>
      </c>
      <c r="G271" s="46" t="s">
        <v>699</v>
      </c>
      <c r="H271" s="49">
        <v>5</v>
      </c>
    </row>
    <row r="272" spans="1:8" x14ac:dyDescent="0.3">
      <c r="A272" s="34">
        <v>271</v>
      </c>
      <c r="B272" s="46" t="s">
        <v>339</v>
      </c>
      <c r="C272" s="58">
        <v>46058.425706018519</v>
      </c>
      <c r="D272" s="55" t="s">
        <v>632</v>
      </c>
      <c r="E272" s="58">
        <v>46058.446574074071</v>
      </c>
      <c r="F272" s="46" t="s">
        <v>700</v>
      </c>
      <c r="G272" s="46" t="s">
        <v>701</v>
      </c>
      <c r="H272" s="49">
        <v>3</v>
      </c>
    </row>
    <row r="273" spans="1:8" x14ac:dyDescent="0.3">
      <c r="A273" s="34">
        <v>272</v>
      </c>
      <c r="B273" s="46" t="s">
        <v>214</v>
      </c>
      <c r="C273" s="58">
        <v>46058.304756944453</v>
      </c>
      <c r="D273" s="55" t="s">
        <v>632</v>
      </c>
      <c r="E273" s="58">
        <v>46058.325613425928</v>
      </c>
      <c r="F273" s="46" t="s">
        <v>702</v>
      </c>
      <c r="G273" s="46" t="s">
        <v>703</v>
      </c>
      <c r="H273" s="49">
        <v>4</v>
      </c>
    </row>
    <row r="274" spans="1:8" x14ac:dyDescent="0.3">
      <c r="A274" s="34">
        <v>273</v>
      </c>
      <c r="B274" s="46" t="s">
        <v>704</v>
      </c>
      <c r="C274" s="58">
        <v>46058.325914351852</v>
      </c>
      <c r="D274" s="55" t="s">
        <v>632</v>
      </c>
      <c r="E274" s="58">
        <v>46058.346770833326</v>
      </c>
      <c r="F274" s="46" t="s">
        <v>705</v>
      </c>
      <c r="G274" s="46" t="s">
        <v>296</v>
      </c>
      <c r="H274" s="49">
        <v>4</v>
      </c>
    </row>
    <row r="275" spans="1:8" x14ac:dyDescent="0.3">
      <c r="A275" s="34">
        <v>274</v>
      </c>
      <c r="B275" s="46" t="s">
        <v>217</v>
      </c>
      <c r="C275" s="58">
        <v>46058.718124999999</v>
      </c>
      <c r="D275" s="55" t="s">
        <v>632</v>
      </c>
      <c r="E275" s="58">
        <v>46058.738958333342</v>
      </c>
      <c r="F275" s="46" t="s">
        <v>706</v>
      </c>
      <c r="G275" s="46" t="s">
        <v>660</v>
      </c>
      <c r="H275" s="49">
        <v>4</v>
      </c>
    </row>
    <row r="276" spans="1:8" x14ac:dyDescent="0.3">
      <c r="A276" s="34">
        <v>275</v>
      </c>
      <c r="B276" s="46" t="s">
        <v>219</v>
      </c>
      <c r="C276" s="58">
        <v>46058.461180555547</v>
      </c>
      <c r="D276" s="55" t="s">
        <v>632</v>
      </c>
      <c r="E276" s="58">
        <v>46058.482048611113</v>
      </c>
      <c r="F276" s="46" t="s">
        <v>707</v>
      </c>
      <c r="G276" s="46" t="s">
        <v>296</v>
      </c>
      <c r="H276" s="49">
        <v>3</v>
      </c>
    </row>
    <row r="277" spans="1:8" x14ac:dyDescent="0.3">
      <c r="A277" s="34">
        <v>276</v>
      </c>
      <c r="B277" s="46" t="s">
        <v>228</v>
      </c>
      <c r="C277" s="58">
        <v>46058.420057870368</v>
      </c>
      <c r="D277" s="55" t="s">
        <v>632</v>
      </c>
      <c r="E277" s="58">
        <v>46058.44091435185</v>
      </c>
      <c r="F277" s="46" t="s">
        <v>708</v>
      </c>
      <c r="G277" s="46" t="s">
        <v>691</v>
      </c>
      <c r="H277" s="49">
        <v>4</v>
      </c>
    </row>
    <row r="278" spans="1:8" x14ac:dyDescent="0.3">
      <c r="A278" s="34">
        <v>277</v>
      </c>
      <c r="B278" s="46" t="s">
        <v>231</v>
      </c>
      <c r="C278" s="58">
        <v>46058.325312499997</v>
      </c>
      <c r="D278" s="55" t="s">
        <v>632</v>
      </c>
      <c r="E278" s="58">
        <v>46058.346145833333</v>
      </c>
      <c r="F278" s="46" t="s">
        <v>709</v>
      </c>
      <c r="G278" s="46" t="s">
        <v>113</v>
      </c>
      <c r="H278" s="49">
        <v>3</v>
      </c>
    </row>
    <row r="279" spans="1:8" x14ac:dyDescent="0.3">
      <c r="A279" s="34">
        <v>278</v>
      </c>
      <c r="B279" s="46" t="s">
        <v>237</v>
      </c>
      <c r="C279" s="58">
        <v>46058.427627314813</v>
      </c>
      <c r="D279" s="55" t="s">
        <v>632</v>
      </c>
      <c r="E279" s="58">
        <v>46058.448483796303</v>
      </c>
      <c r="F279" s="46" t="s">
        <v>710</v>
      </c>
      <c r="G279" s="46" t="s">
        <v>581</v>
      </c>
      <c r="H279" s="49">
        <v>4</v>
      </c>
    </row>
    <row r="280" spans="1:8" x14ac:dyDescent="0.3">
      <c r="A280" s="34">
        <v>279</v>
      </c>
      <c r="B280" s="46" t="s">
        <v>240</v>
      </c>
      <c r="C280" s="58">
        <v>46058.564942129633</v>
      </c>
      <c r="D280" s="55" t="s">
        <v>632</v>
      </c>
      <c r="E280" s="58">
        <v>46058.585821759261</v>
      </c>
      <c r="F280" s="46" t="s">
        <v>711</v>
      </c>
      <c r="G280" s="46" t="s">
        <v>712</v>
      </c>
      <c r="H280" s="49">
        <v>3</v>
      </c>
    </row>
    <row r="281" spans="1:8" x14ac:dyDescent="0.3">
      <c r="A281" s="34">
        <v>280</v>
      </c>
      <c r="B281" s="46" t="s">
        <v>363</v>
      </c>
      <c r="C281" s="58">
        <v>46058.421481481477</v>
      </c>
      <c r="D281" s="55" t="s">
        <v>632</v>
      </c>
      <c r="E281" s="58">
        <v>46058.442361111112</v>
      </c>
      <c r="F281" s="46" t="s">
        <v>713</v>
      </c>
      <c r="G281" s="46" t="s">
        <v>714</v>
      </c>
      <c r="H281" s="49">
        <v>3</v>
      </c>
    </row>
    <row r="282" spans="1:8" x14ac:dyDescent="0.3">
      <c r="A282" s="34">
        <v>281</v>
      </c>
      <c r="B282" s="46" t="s">
        <v>715</v>
      </c>
      <c r="C282" s="58">
        <v>46058.353009259263</v>
      </c>
      <c r="D282" s="55" t="s">
        <v>632</v>
      </c>
      <c r="E282" s="58">
        <v>46058.373842592591</v>
      </c>
      <c r="F282" s="46" t="s">
        <v>716</v>
      </c>
      <c r="G282" s="46" t="s">
        <v>717</v>
      </c>
      <c r="H282" s="49">
        <v>3</v>
      </c>
    </row>
    <row r="283" spans="1:8" x14ac:dyDescent="0.3">
      <c r="A283" s="34">
        <v>282</v>
      </c>
      <c r="B283" s="46" t="s">
        <v>718</v>
      </c>
      <c r="C283" s="58">
        <v>46058.402638888889</v>
      </c>
      <c r="D283" s="55" t="s">
        <v>632</v>
      </c>
      <c r="E283" s="58">
        <v>46058.423495370371</v>
      </c>
      <c r="F283" s="46" t="s">
        <v>719</v>
      </c>
      <c r="G283" s="46" t="s">
        <v>442</v>
      </c>
      <c r="H283" s="49">
        <v>3</v>
      </c>
    </row>
    <row r="284" spans="1:8" x14ac:dyDescent="0.3">
      <c r="A284" s="34">
        <v>283</v>
      </c>
      <c r="B284" s="46" t="s">
        <v>249</v>
      </c>
      <c r="C284" s="58">
        <v>46058.692187499997</v>
      </c>
      <c r="D284" s="55" t="s">
        <v>632</v>
      </c>
      <c r="E284" s="58">
        <v>46058.713055555563</v>
      </c>
      <c r="F284" s="46" t="s">
        <v>720</v>
      </c>
      <c r="G284" s="46" t="s">
        <v>660</v>
      </c>
      <c r="H284" s="49">
        <v>7</v>
      </c>
    </row>
    <row r="285" spans="1:8" x14ac:dyDescent="0.3">
      <c r="A285" s="34">
        <v>284</v>
      </c>
      <c r="B285" s="46" t="s">
        <v>67</v>
      </c>
      <c r="C285" s="58">
        <v>46058.693657407413</v>
      </c>
      <c r="D285" s="55" t="s">
        <v>632</v>
      </c>
      <c r="E285" s="58">
        <v>46058.714525462958</v>
      </c>
      <c r="F285" s="46" t="s">
        <v>721</v>
      </c>
      <c r="G285" s="46" t="s">
        <v>722</v>
      </c>
      <c r="H285" s="49">
        <v>6</v>
      </c>
    </row>
    <row r="286" spans="1:8" x14ac:dyDescent="0.3">
      <c r="A286" s="34">
        <v>285</v>
      </c>
      <c r="B286" s="46" t="s">
        <v>59</v>
      </c>
      <c r="C286" s="58">
        <v>46058.043726851851</v>
      </c>
      <c r="D286" s="55" t="s">
        <v>632</v>
      </c>
      <c r="E286" s="58">
        <v>46058.064571759263</v>
      </c>
      <c r="F286" s="46" t="s">
        <v>723</v>
      </c>
      <c r="G286" s="46" t="s">
        <v>724</v>
      </c>
      <c r="H286" s="49">
        <v>5</v>
      </c>
    </row>
    <row r="287" spans="1:8" x14ac:dyDescent="0.3">
      <c r="A287" s="34">
        <v>286</v>
      </c>
      <c r="B287" s="46" t="s">
        <v>598</v>
      </c>
      <c r="C287" s="58">
        <v>46058.435231481482</v>
      </c>
      <c r="D287" s="55" t="s">
        <v>632</v>
      </c>
      <c r="E287" s="58">
        <v>46058.456099537027</v>
      </c>
      <c r="F287" s="46" t="s">
        <v>725</v>
      </c>
      <c r="G287" s="46" t="s">
        <v>266</v>
      </c>
      <c r="H287" s="49">
        <v>3</v>
      </c>
    </row>
    <row r="288" spans="1:8" x14ac:dyDescent="0.3">
      <c r="A288" s="34">
        <v>287</v>
      </c>
      <c r="B288" s="46" t="s">
        <v>726</v>
      </c>
      <c r="C288" s="58">
        <v>46058.43712962963</v>
      </c>
      <c r="D288" s="55" t="s">
        <v>632</v>
      </c>
      <c r="E288" s="58">
        <v>46058.457974537043</v>
      </c>
      <c r="F288" s="46" t="s">
        <v>727</v>
      </c>
      <c r="G288" s="46" t="s">
        <v>728</v>
      </c>
      <c r="H288" s="49">
        <v>3</v>
      </c>
    </row>
    <row r="289" spans="1:8" x14ac:dyDescent="0.3">
      <c r="A289" s="34">
        <v>288</v>
      </c>
      <c r="B289" s="46" t="s">
        <v>729</v>
      </c>
      <c r="C289" s="58">
        <v>46058.004201388889</v>
      </c>
      <c r="D289" s="55" t="s">
        <v>632</v>
      </c>
      <c r="E289" s="58">
        <v>46058.025057870371</v>
      </c>
      <c r="F289" s="46" t="s">
        <v>730</v>
      </c>
      <c r="G289" s="46" t="s">
        <v>185</v>
      </c>
      <c r="H289" s="49">
        <v>3</v>
      </c>
    </row>
    <row r="290" spans="1:8" x14ac:dyDescent="0.3">
      <c r="A290" s="34">
        <v>289</v>
      </c>
      <c r="B290" s="46" t="s">
        <v>68</v>
      </c>
      <c r="C290" s="58">
        <v>46058.390972222223</v>
      </c>
      <c r="D290" s="55" t="s">
        <v>632</v>
      </c>
      <c r="E290" s="58">
        <v>46058.411828703713</v>
      </c>
      <c r="F290" s="46" t="s">
        <v>731</v>
      </c>
      <c r="G290" s="46" t="s">
        <v>732</v>
      </c>
      <c r="H290" s="49">
        <v>4</v>
      </c>
    </row>
    <row r="291" spans="1:8" x14ac:dyDescent="0.3">
      <c r="A291" s="34">
        <v>290</v>
      </c>
      <c r="B291" s="46" t="s">
        <v>621</v>
      </c>
      <c r="C291" s="58">
        <v>46058.703912037039</v>
      </c>
      <c r="D291" s="55" t="s">
        <v>632</v>
      </c>
      <c r="E291" s="58">
        <v>46058.724780092591</v>
      </c>
      <c r="F291" s="46" t="s">
        <v>733</v>
      </c>
      <c r="G291" s="46" t="s">
        <v>732</v>
      </c>
      <c r="H291" s="49">
        <v>3</v>
      </c>
    </row>
    <row r="292" spans="1:8" x14ac:dyDescent="0.3">
      <c r="A292" s="34">
        <v>291</v>
      </c>
      <c r="B292" s="46" t="s">
        <v>734</v>
      </c>
      <c r="C292" s="58">
        <v>46058.46806712963</v>
      </c>
      <c r="D292" s="55" t="s">
        <v>632</v>
      </c>
      <c r="E292" s="58">
        <v>46058.488946759258</v>
      </c>
      <c r="F292" s="46" t="s">
        <v>735</v>
      </c>
      <c r="G292" s="46" t="s">
        <v>113</v>
      </c>
      <c r="H292" s="49">
        <v>3</v>
      </c>
    </row>
    <row r="293" spans="1:8" x14ac:dyDescent="0.3">
      <c r="A293" s="34">
        <v>292</v>
      </c>
      <c r="B293" s="46" t="s">
        <v>45</v>
      </c>
      <c r="C293" s="58">
        <v>46058.482592592591</v>
      </c>
      <c r="D293" s="55" t="s">
        <v>632</v>
      </c>
      <c r="E293" s="58">
        <v>46058.503460648149</v>
      </c>
      <c r="F293" s="46" t="s">
        <v>736</v>
      </c>
      <c r="G293" s="46" t="s">
        <v>660</v>
      </c>
      <c r="H293" s="49">
        <v>3</v>
      </c>
    </row>
    <row r="294" spans="1:8" x14ac:dyDescent="0.3">
      <c r="A294" s="34">
        <v>293</v>
      </c>
      <c r="B294" s="46" t="s">
        <v>626</v>
      </c>
      <c r="C294" s="58">
        <v>46058.392835648148</v>
      </c>
      <c r="D294" s="55" t="s">
        <v>632</v>
      </c>
      <c r="E294" s="58">
        <v>46058.41369212963</v>
      </c>
      <c r="F294" s="46" t="s">
        <v>737</v>
      </c>
      <c r="G294" s="46" t="s">
        <v>738</v>
      </c>
      <c r="H294" s="49">
        <v>4</v>
      </c>
    </row>
    <row r="295" spans="1:8" x14ac:dyDescent="0.3">
      <c r="A295" s="34">
        <v>294</v>
      </c>
      <c r="B295" s="46" t="s">
        <v>739</v>
      </c>
      <c r="C295" s="58">
        <v>46058.539710648147</v>
      </c>
      <c r="D295" s="55" t="s">
        <v>632</v>
      </c>
      <c r="E295" s="58">
        <v>46058.560601851852</v>
      </c>
      <c r="F295" s="46" t="s">
        <v>740</v>
      </c>
      <c r="G295" s="46" t="s">
        <v>741</v>
      </c>
      <c r="H295" s="49">
        <v>3</v>
      </c>
    </row>
    <row r="296" spans="1:8" x14ac:dyDescent="0.3">
      <c r="A296" s="34">
        <v>295</v>
      </c>
      <c r="B296" s="46" t="s">
        <v>742</v>
      </c>
      <c r="C296" s="58">
        <v>46059.452951388892</v>
      </c>
      <c r="D296" s="55" t="s">
        <v>743</v>
      </c>
      <c r="E296" s="58">
        <v>46059.486134259263</v>
      </c>
      <c r="F296" s="46" t="s">
        <v>744</v>
      </c>
      <c r="G296" s="46" t="s">
        <v>745</v>
      </c>
      <c r="H296" s="49">
        <v>5</v>
      </c>
    </row>
    <row r="297" spans="1:8" x14ac:dyDescent="0.3">
      <c r="A297" s="34">
        <v>296</v>
      </c>
      <c r="B297" s="46" t="s">
        <v>746</v>
      </c>
      <c r="C297" s="58">
        <v>46059.368854166663</v>
      </c>
      <c r="D297" s="55" t="s">
        <v>743</v>
      </c>
      <c r="E297" s="58">
        <v>46059.389710648153</v>
      </c>
      <c r="F297" s="46" t="s">
        <v>747</v>
      </c>
      <c r="G297" s="46" t="s">
        <v>748</v>
      </c>
      <c r="H297" s="49">
        <v>3</v>
      </c>
    </row>
    <row r="298" spans="1:8" x14ac:dyDescent="0.3">
      <c r="A298" s="34">
        <v>297</v>
      </c>
      <c r="B298" s="46" t="s">
        <v>491</v>
      </c>
      <c r="C298" s="58">
        <v>46059.463831018518</v>
      </c>
      <c r="D298" s="55" t="s">
        <v>743</v>
      </c>
      <c r="E298" s="58">
        <v>46059.4846875</v>
      </c>
      <c r="F298" s="46" t="s">
        <v>749</v>
      </c>
      <c r="G298" s="46" t="s">
        <v>750</v>
      </c>
      <c r="H298" s="49">
        <v>3</v>
      </c>
    </row>
    <row r="299" spans="1:8" x14ac:dyDescent="0.3">
      <c r="A299" s="34">
        <v>298</v>
      </c>
      <c r="B299" s="46" t="s">
        <v>637</v>
      </c>
      <c r="C299" s="58">
        <v>46059.425370370373</v>
      </c>
      <c r="D299" s="55" t="s">
        <v>743</v>
      </c>
      <c r="E299" s="58">
        <v>46059.446238425917</v>
      </c>
      <c r="F299" s="46" t="s">
        <v>751</v>
      </c>
      <c r="G299" s="46" t="s">
        <v>183</v>
      </c>
      <c r="H299" s="49">
        <v>4</v>
      </c>
    </row>
    <row r="300" spans="1:8" x14ac:dyDescent="0.3">
      <c r="A300" s="34">
        <v>299</v>
      </c>
      <c r="B300" s="46" t="s">
        <v>752</v>
      </c>
      <c r="C300" s="58">
        <v>46059.499421296299</v>
      </c>
      <c r="D300" s="55" t="s">
        <v>743</v>
      </c>
      <c r="E300" s="58">
        <v>46059.520277777781</v>
      </c>
      <c r="F300" s="46" t="s">
        <v>753</v>
      </c>
      <c r="G300" s="46" t="s">
        <v>754</v>
      </c>
      <c r="H300" s="49">
        <v>5</v>
      </c>
    </row>
    <row r="301" spans="1:8" x14ac:dyDescent="0.3">
      <c r="A301" s="34">
        <v>300</v>
      </c>
      <c r="B301" s="46" t="s">
        <v>755</v>
      </c>
      <c r="C301" s="58">
        <v>46059.406990740739</v>
      </c>
      <c r="D301" s="55" t="s">
        <v>743</v>
      </c>
      <c r="E301" s="58">
        <v>46059.427824074082</v>
      </c>
      <c r="F301" s="46" t="s">
        <v>756</v>
      </c>
      <c r="G301" s="46" t="s">
        <v>289</v>
      </c>
      <c r="H301" s="49">
        <v>4</v>
      </c>
    </row>
    <row r="302" spans="1:8" x14ac:dyDescent="0.3">
      <c r="A302" s="34">
        <v>301</v>
      </c>
      <c r="B302" s="46" t="s">
        <v>88</v>
      </c>
      <c r="C302" s="58">
        <v>46059.509375000001</v>
      </c>
      <c r="D302" s="55" t="s">
        <v>743</v>
      </c>
      <c r="E302" s="58">
        <v>46059.53020833333</v>
      </c>
      <c r="F302" s="46" t="s">
        <v>757</v>
      </c>
      <c r="G302" s="46" t="s">
        <v>758</v>
      </c>
      <c r="H302" s="49">
        <v>3</v>
      </c>
    </row>
    <row r="303" spans="1:8" x14ac:dyDescent="0.3">
      <c r="A303" s="34">
        <v>302</v>
      </c>
      <c r="B303" s="46" t="s">
        <v>72</v>
      </c>
      <c r="C303" s="58">
        <v>46059.475856481477</v>
      </c>
      <c r="D303" s="55" t="s">
        <v>743</v>
      </c>
      <c r="E303" s="58">
        <v>46059.496712962973</v>
      </c>
      <c r="F303" s="46" t="s">
        <v>759</v>
      </c>
      <c r="G303" s="46" t="s">
        <v>660</v>
      </c>
      <c r="H303" s="49">
        <v>10</v>
      </c>
    </row>
    <row r="304" spans="1:8" x14ac:dyDescent="0.3">
      <c r="A304" s="34">
        <v>303</v>
      </c>
      <c r="B304" s="46" t="s">
        <v>760</v>
      </c>
      <c r="C304" s="58">
        <v>46059.472986111112</v>
      </c>
      <c r="D304" s="55" t="s">
        <v>743</v>
      </c>
      <c r="E304" s="58">
        <v>46059.49386574074</v>
      </c>
      <c r="F304" s="46" t="s">
        <v>761</v>
      </c>
      <c r="G304" s="46" t="s">
        <v>201</v>
      </c>
      <c r="H304" s="49">
        <v>4</v>
      </c>
    </row>
    <row r="305" spans="1:8" x14ac:dyDescent="0.3">
      <c r="A305" s="34">
        <v>304</v>
      </c>
      <c r="B305" s="46" t="s">
        <v>105</v>
      </c>
      <c r="C305" s="58">
        <v>46059.44090277778</v>
      </c>
      <c r="D305" s="55" t="s">
        <v>743</v>
      </c>
      <c r="E305" s="58">
        <v>46059.461782407408</v>
      </c>
      <c r="F305" s="46" t="s">
        <v>762</v>
      </c>
      <c r="G305" s="46" t="s">
        <v>660</v>
      </c>
      <c r="H305" s="49">
        <v>6</v>
      </c>
    </row>
    <row r="306" spans="1:8" x14ac:dyDescent="0.3">
      <c r="A306" s="34">
        <v>305</v>
      </c>
      <c r="B306" s="46" t="s">
        <v>763</v>
      </c>
      <c r="C306" s="58">
        <v>46059.708738425928</v>
      </c>
      <c r="D306" s="55" t="s">
        <v>743</v>
      </c>
      <c r="E306" s="58">
        <v>46059.729594907411</v>
      </c>
      <c r="F306" s="46" t="s">
        <v>764</v>
      </c>
      <c r="G306" s="46" t="s">
        <v>765</v>
      </c>
      <c r="H306" s="49">
        <v>3</v>
      </c>
    </row>
    <row r="307" spans="1:8" x14ac:dyDescent="0.3">
      <c r="A307" s="34">
        <v>306</v>
      </c>
      <c r="B307" s="46" t="s">
        <v>766</v>
      </c>
      <c r="C307" s="58">
        <v>46059.532002314823</v>
      </c>
      <c r="D307" s="55" t="s">
        <v>743</v>
      </c>
      <c r="E307" s="58">
        <v>46059.552847222221</v>
      </c>
      <c r="F307" s="46" t="s">
        <v>767</v>
      </c>
      <c r="G307" s="46" t="s">
        <v>107</v>
      </c>
      <c r="H307" s="49">
        <v>6</v>
      </c>
    </row>
    <row r="308" spans="1:8" x14ac:dyDescent="0.3">
      <c r="A308" s="34">
        <v>307</v>
      </c>
      <c r="B308" s="46" t="s">
        <v>768</v>
      </c>
      <c r="C308" s="58">
        <v>46059.399745370371</v>
      </c>
      <c r="D308" s="55" t="s">
        <v>743</v>
      </c>
      <c r="E308" s="58">
        <v>46059.420601851853</v>
      </c>
      <c r="F308" s="46" t="s">
        <v>769</v>
      </c>
      <c r="G308" s="46" t="s">
        <v>309</v>
      </c>
      <c r="H308" s="49">
        <v>5</v>
      </c>
    </row>
    <row r="309" spans="1:8" x14ac:dyDescent="0.3">
      <c r="A309" s="34">
        <v>308</v>
      </c>
      <c r="B309" s="46" t="s">
        <v>770</v>
      </c>
      <c r="C309" s="58">
        <v>46059.479594907411</v>
      </c>
      <c r="D309" s="55" t="s">
        <v>743</v>
      </c>
      <c r="E309" s="58">
        <v>46059.500462962962</v>
      </c>
      <c r="F309" s="46" t="s">
        <v>771</v>
      </c>
      <c r="G309" s="46" t="s">
        <v>113</v>
      </c>
      <c r="H309" s="49">
        <v>3</v>
      </c>
    </row>
    <row r="310" spans="1:8" x14ac:dyDescent="0.3">
      <c r="A310" s="34">
        <v>309</v>
      </c>
      <c r="B310" s="46" t="s">
        <v>772</v>
      </c>
      <c r="C310" s="58">
        <v>46059.490578703713</v>
      </c>
      <c r="D310" s="55" t="s">
        <v>743</v>
      </c>
      <c r="E310" s="58">
        <v>46059.511446759258</v>
      </c>
      <c r="F310" s="46" t="s">
        <v>773</v>
      </c>
      <c r="G310" s="46" t="s">
        <v>774</v>
      </c>
      <c r="H310" s="49">
        <v>3</v>
      </c>
    </row>
    <row r="311" spans="1:8" x14ac:dyDescent="0.3">
      <c r="A311" s="34">
        <v>310</v>
      </c>
      <c r="B311" s="46" t="s">
        <v>299</v>
      </c>
      <c r="C311" s="58">
        <v>46059.014814814807</v>
      </c>
      <c r="D311" s="55" t="s">
        <v>743</v>
      </c>
      <c r="E311" s="58">
        <v>46059.03570601852</v>
      </c>
      <c r="F311" s="46" t="s">
        <v>775</v>
      </c>
      <c r="G311" s="46" t="s">
        <v>776</v>
      </c>
      <c r="H311" s="49">
        <v>5</v>
      </c>
    </row>
    <row r="312" spans="1:8" x14ac:dyDescent="0.3">
      <c r="A312" s="34">
        <v>311</v>
      </c>
      <c r="B312" s="46" t="s">
        <v>777</v>
      </c>
      <c r="C312" s="58">
        <v>46059.660277777781</v>
      </c>
      <c r="D312" s="55" t="s">
        <v>743</v>
      </c>
      <c r="E312" s="58">
        <v>46059.681111111109</v>
      </c>
      <c r="F312" s="46" t="s">
        <v>778</v>
      </c>
      <c r="G312" s="46" t="s">
        <v>779</v>
      </c>
      <c r="H312" s="49">
        <v>5</v>
      </c>
    </row>
    <row r="313" spans="1:8" x14ac:dyDescent="0.3">
      <c r="A313" s="34">
        <v>312</v>
      </c>
      <c r="B313" s="46" t="s">
        <v>780</v>
      </c>
      <c r="C313" s="58">
        <v>46059.437037037038</v>
      </c>
      <c r="D313" s="55" t="s">
        <v>743</v>
      </c>
      <c r="E313" s="58">
        <v>46059.47828703704</v>
      </c>
      <c r="F313" s="46" t="s">
        <v>781</v>
      </c>
      <c r="G313" s="46" t="s">
        <v>782</v>
      </c>
      <c r="H313" s="49">
        <v>3</v>
      </c>
    </row>
    <row r="314" spans="1:8" x14ac:dyDescent="0.3">
      <c r="A314" s="34">
        <v>313</v>
      </c>
      <c r="B314" s="46" t="s">
        <v>505</v>
      </c>
      <c r="C314" s="58">
        <v>46059.435046296298</v>
      </c>
      <c r="D314" s="55" t="s">
        <v>743</v>
      </c>
      <c r="E314" s="58">
        <v>46059.45590277778</v>
      </c>
      <c r="F314" s="46" t="s">
        <v>783</v>
      </c>
      <c r="G314" s="46" t="s">
        <v>667</v>
      </c>
      <c r="H314" s="49">
        <v>3</v>
      </c>
    </row>
    <row r="315" spans="1:8" x14ac:dyDescent="0.3">
      <c r="A315" s="34">
        <v>314</v>
      </c>
      <c r="B315" s="46" t="s">
        <v>27</v>
      </c>
      <c r="C315" s="58">
        <v>46059.480914351851</v>
      </c>
      <c r="D315" s="55" t="s">
        <v>743</v>
      </c>
      <c r="E315" s="58">
        <v>46059.501793981479</v>
      </c>
      <c r="F315" s="46" t="s">
        <v>784</v>
      </c>
      <c r="G315" s="46" t="s">
        <v>785</v>
      </c>
      <c r="H315" s="49">
        <v>3</v>
      </c>
    </row>
    <row r="316" spans="1:8" x14ac:dyDescent="0.3">
      <c r="A316" s="34">
        <v>315</v>
      </c>
      <c r="B316" s="46" t="s">
        <v>786</v>
      </c>
      <c r="C316" s="58">
        <v>46059.426412037043</v>
      </c>
      <c r="D316" s="55" t="s">
        <v>743</v>
      </c>
      <c r="E316" s="58">
        <v>46059.447280092587</v>
      </c>
      <c r="F316" s="46" t="s">
        <v>787</v>
      </c>
      <c r="G316" s="46" t="s">
        <v>788</v>
      </c>
      <c r="H316" s="49">
        <v>4</v>
      </c>
    </row>
    <row r="317" spans="1:8" x14ac:dyDescent="0.3">
      <c r="A317" s="34">
        <v>316</v>
      </c>
      <c r="B317" s="46" t="s">
        <v>51</v>
      </c>
      <c r="C317" s="58">
        <v>46059.605370370373</v>
      </c>
      <c r="D317" s="55" t="s">
        <v>743</v>
      </c>
      <c r="E317" s="58">
        <v>46059.626203703701</v>
      </c>
      <c r="F317" s="46" t="s">
        <v>789</v>
      </c>
      <c r="G317" s="46" t="s">
        <v>96</v>
      </c>
      <c r="H317" s="49">
        <v>3</v>
      </c>
    </row>
    <row r="318" spans="1:8" x14ac:dyDescent="0.3">
      <c r="A318" s="34">
        <v>317</v>
      </c>
      <c r="B318" s="46" t="s">
        <v>790</v>
      </c>
      <c r="C318" s="58">
        <v>46059.459803240738</v>
      </c>
      <c r="D318" s="55" t="s">
        <v>743</v>
      </c>
      <c r="E318" s="58">
        <v>46059.480671296304</v>
      </c>
      <c r="F318" s="46" t="s">
        <v>791</v>
      </c>
      <c r="G318" s="46" t="s">
        <v>745</v>
      </c>
      <c r="H318" s="49">
        <v>5</v>
      </c>
    </row>
    <row r="319" spans="1:8" x14ac:dyDescent="0.3">
      <c r="A319" s="34">
        <v>318</v>
      </c>
      <c r="B319" s="46" t="s">
        <v>53</v>
      </c>
      <c r="C319" s="58">
        <v>46059.003622685188</v>
      </c>
      <c r="D319" s="55" t="s">
        <v>743</v>
      </c>
      <c r="E319" s="58">
        <v>46059.02449074074</v>
      </c>
      <c r="F319" s="46" t="s">
        <v>792</v>
      </c>
      <c r="G319" s="46" t="s">
        <v>793</v>
      </c>
      <c r="H319" s="49">
        <v>3</v>
      </c>
    </row>
    <row r="320" spans="1:8" x14ac:dyDescent="0.3">
      <c r="A320" s="34">
        <v>319</v>
      </c>
      <c r="B320" s="46" t="s">
        <v>794</v>
      </c>
      <c r="C320" s="58">
        <v>46059.456574074073</v>
      </c>
      <c r="D320" s="55" t="s">
        <v>743</v>
      </c>
      <c r="E320" s="58">
        <v>46059.477442129632</v>
      </c>
      <c r="F320" s="46" t="s">
        <v>795</v>
      </c>
      <c r="G320" s="46" t="s">
        <v>796</v>
      </c>
      <c r="H320" s="49">
        <v>3</v>
      </c>
    </row>
    <row r="321" spans="1:8" x14ac:dyDescent="0.3">
      <c r="A321" s="34">
        <v>320</v>
      </c>
      <c r="B321" s="46" t="s">
        <v>135</v>
      </c>
      <c r="C321" s="58">
        <v>46059.499571759261</v>
      </c>
      <c r="D321" s="55" t="s">
        <v>743</v>
      </c>
      <c r="E321" s="58">
        <v>46059.520405092589</v>
      </c>
      <c r="F321" s="46" t="s">
        <v>797</v>
      </c>
      <c r="G321" s="46" t="s">
        <v>660</v>
      </c>
      <c r="H321" s="49">
        <v>8</v>
      </c>
    </row>
    <row r="322" spans="1:8" x14ac:dyDescent="0.3">
      <c r="A322" s="34">
        <v>321</v>
      </c>
      <c r="B322" s="46" t="s">
        <v>141</v>
      </c>
      <c r="C322" s="58">
        <v>46059.333993055552</v>
      </c>
      <c r="D322" s="55" t="s">
        <v>743</v>
      </c>
      <c r="E322" s="58">
        <v>46059.354872685188</v>
      </c>
      <c r="F322" s="46" t="s">
        <v>798</v>
      </c>
      <c r="G322" s="46" t="s">
        <v>799</v>
      </c>
      <c r="H322" s="49">
        <v>4</v>
      </c>
    </row>
    <row r="323" spans="1:8" x14ac:dyDescent="0.3">
      <c r="A323" s="34">
        <v>322</v>
      </c>
      <c r="B323" s="46" t="s">
        <v>144</v>
      </c>
      <c r="C323" s="58">
        <v>46059.01635416667</v>
      </c>
      <c r="D323" s="55" t="s">
        <v>743</v>
      </c>
      <c r="E323" s="58">
        <v>46059.037210648137</v>
      </c>
      <c r="F323" s="46" t="s">
        <v>800</v>
      </c>
      <c r="G323" s="46" t="s">
        <v>801</v>
      </c>
      <c r="H323" s="49">
        <v>5</v>
      </c>
    </row>
    <row r="324" spans="1:8" x14ac:dyDescent="0.3">
      <c r="A324" s="34">
        <v>323</v>
      </c>
      <c r="B324" s="46" t="s">
        <v>802</v>
      </c>
      <c r="C324" s="58">
        <v>46059.319409722222</v>
      </c>
      <c r="D324" s="55" t="s">
        <v>743</v>
      </c>
      <c r="E324" s="58">
        <v>46059.340243055558</v>
      </c>
      <c r="F324" s="46" t="s">
        <v>803</v>
      </c>
      <c r="G324" s="46" t="s">
        <v>185</v>
      </c>
      <c r="H324" s="49">
        <v>3</v>
      </c>
    </row>
    <row r="325" spans="1:8" x14ac:dyDescent="0.3">
      <c r="A325" s="34">
        <v>324</v>
      </c>
      <c r="B325" s="46" t="s">
        <v>804</v>
      </c>
      <c r="C325" s="58">
        <v>46059.594756944447</v>
      </c>
      <c r="D325" s="55" t="s">
        <v>743</v>
      </c>
      <c r="E325" s="58">
        <v>46059.615624999999</v>
      </c>
      <c r="F325" s="46" t="s">
        <v>805</v>
      </c>
      <c r="G325" s="46" t="s">
        <v>806</v>
      </c>
      <c r="H325" s="49">
        <v>3</v>
      </c>
    </row>
    <row r="326" spans="1:8" x14ac:dyDescent="0.3">
      <c r="A326" s="34">
        <v>325</v>
      </c>
      <c r="B326" s="46" t="s">
        <v>807</v>
      </c>
      <c r="C326" s="58">
        <v>46059.535254629627</v>
      </c>
      <c r="D326" s="55" t="s">
        <v>743</v>
      </c>
      <c r="E326" s="58">
        <v>46059.556134259263</v>
      </c>
      <c r="F326" s="46" t="s">
        <v>808</v>
      </c>
      <c r="G326" s="46" t="s">
        <v>809</v>
      </c>
      <c r="H326" s="49">
        <v>3</v>
      </c>
    </row>
    <row r="327" spans="1:8" x14ac:dyDescent="0.3">
      <c r="A327" s="34">
        <v>326</v>
      </c>
      <c r="B327" s="46" t="s">
        <v>170</v>
      </c>
      <c r="C327" s="58">
        <v>46059.013356481482</v>
      </c>
      <c r="D327" s="55" t="s">
        <v>743</v>
      </c>
      <c r="E327" s="58">
        <v>46059.034189814818</v>
      </c>
      <c r="F327" s="46" t="s">
        <v>810</v>
      </c>
      <c r="G327" s="46" t="s">
        <v>811</v>
      </c>
      <c r="H327" s="49">
        <v>5</v>
      </c>
    </row>
    <row r="328" spans="1:8" x14ac:dyDescent="0.3">
      <c r="A328" s="34">
        <v>327</v>
      </c>
      <c r="B328" s="46" t="s">
        <v>812</v>
      </c>
      <c r="C328" s="58">
        <v>46059.499398148153</v>
      </c>
      <c r="D328" s="55" t="s">
        <v>743</v>
      </c>
      <c r="E328" s="58">
        <v>46059.520277777781</v>
      </c>
      <c r="F328" s="46" t="s">
        <v>813</v>
      </c>
      <c r="G328" s="46" t="s">
        <v>814</v>
      </c>
      <c r="H328" s="49">
        <v>3</v>
      </c>
    </row>
    <row r="329" spans="1:8" x14ac:dyDescent="0.3">
      <c r="A329" s="34">
        <v>328</v>
      </c>
      <c r="B329" s="46" t="s">
        <v>324</v>
      </c>
      <c r="C329" s="58">
        <v>46059.473981481482</v>
      </c>
      <c r="D329" s="55" t="s">
        <v>743</v>
      </c>
      <c r="E329" s="58">
        <v>46059.494814814818</v>
      </c>
      <c r="F329" s="46" t="s">
        <v>815</v>
      </c>
      <c r="G329" s="46" t="s">
        <v>660</v>
      </c>
      <c r="H329" s="49">
        <v>7</v>
      </c>
    </row>
    <row r="330" spans="1:8" x14ac:dyDescent="0.3">
      <c r="A330" s="34">
        <v>329</v>
      </c>
      <c r="B330" s="46" t="s">
        <v>326</v>
      </c>
      <c r="C330" s="58">
        <v>46059.430486111109</v>
      </c>
      <c r="D330" s="55" t="s">
        <v>743</v>
      </c>
      <c r="E330" s="58">
        <v>46059.451354166667</v>
      </c>
      <c r="F330" s="46" t="s">
        <v>816</v>
      </c>
      <c r="G330" s="46" t="s">
        <v>213</v>
      </c>
      <c r="H330" s="49">
        <v>3</v>
      </c>
    </row>
    <row r="331" spans="1:8" x14ac:dyDescent="0.3">
      <c r="A331" s="34">
        <v>330</v>
      </c>
      <c r="B331" s="46" t="s">
        <v>37</v>
      </c>
      <c r="C331" s="58">
        <v>46059.004675925928</v>
      </c>
      <c r="D331" s="55" t="s">
        <v>743</v>
      </c>
      <c r="E331" s="58">
        <v>46059.025543981479</v>
      </c>
      <c r="F331" s="46" t="s">
        <v>817</v>
      </c>
      <c r="G331" s="46" t="s">
        <v>811</v>
      </c>
      <c r="H331" s="49">
        <v>3</v>
      </c>
    </row>
    <row r="332" spans="1:8" x14ac:dyDescent="0.3">
      <c r="A332" s="34">
        <v>331</v>
      </c>
      <c r="B332" s="46" t="s">
        <v>818</v>
      </c>
      <c r="C332" s="58">
        <v>46059.490127314813</v>
      </c>
      <c r="D332" s="55" t="s">
        <v>743</v>
      </c>
      <c r="E332" s="58">
        <v>46059.510983796303</v>
      </c>
      <c r="F332" s="46" t="s">
        <v>819</v>
      </c>
      <c r="G332" s="46" t="s">
        <v>113</v>
      </c>
      <c r="H332" s="49">
        <v>3</v>
      </c>
    </row>
    <row r="333" spans="1:8" x14ac:dyDescent="0.3">
      <c r="A333" s="34">
        <v>332</v>
      </c>
      <c r="B333" s="46" t="s">
        <v>70</v>
      </c>
      <c r="C333" s="58">
        <v>46059.431261574071</v>
      </c>
      <c r="D333" s="55" t="s">
        <v>743</v>
      </c>
      <c r="E333" s="58">
        <v>46059.452106481483</v>
      </c>
      <c r="F333" s="46" t="s">
        <v>820</v>
      </c>
      <c r="G333" s="46" t="s">
        <v>629</v>
      </c>
      <c r="H333" s="49">
        <v>4</v>
      </c>
    </row>
    <row r="334" spans="1:8" x14ac:dyDescent="0.3">
      <c r="A334" s="34">
        <v>333</v>
      </c>
      <c r="B334" s="46" t="s">
        <v>199</v>
      </c>
      <c r="C334" s="58">
        <v>46059.40184027778</v>
      </c>
      <c r="D334" s="55" t="s">
        <v>743</v>
      </c>
      <c r="E334" s="58">
        <v>46059.422673611109</v>
      </c>
      <c r="F334" s="46" t="s">
        <v>821</v>
      </c>
      <c r="G334" s="46" t="s">
        <v>822</v>
      </c>
      <c r="H334" s="49">
        <v>5</v>
      </c>
    </row>
    <row r="335" spans="1:8" x14ac:dyDescent="0.3">
      <c r="A335" s="34">
        <v>334</v>
      </c>
      <c r="B335" s="46" t="s">
        <v>823</v>
      </c>
      <c r="C335" s="58">
        <v>46059.501620370371</v>
      </c>
      <c r="D335" s="55" t="s">
        <v>743</v>
      </c>
      <c r="E335" s="58">
        <v>46059.522488425922</v>
      </c>
      <c r="F335" s="46" t="s">
        <v>824</v>
      </c>
      <c r="G335" s="46" t="s">
        <v>113</v>
      </c>
      <c r="H335" s="49">
        <v>3</v>
      </c>
    </row>
    <row r="336" spans="1:8" x14ac:dyDescent="0.3">
      <c r="A336" s="34">
        <v>335</v>
      </c>
      <c r="B336" s="46" t="s">
        <v>205</v>
      </c>
      <c r="C336" s="58">
        <v>46059.013437499998</v>
      </c>
      <c r="D336" s="55" t="s">
        <v>743</v>
      </c>
      <c r="E336" s="58">
        <v>46059.034305555557</v>
      </c>
      <c r="F336" s="46" t="s">
        <v>825</v>
      </c>
      <c r="G336" s="46" t="s">
        <v>826</v>
      </c>
      <c r="H336" s="49">
        <v>5</v>
      </c>
    </row>
    <row r="337" spans="1:8" x14ac:dyDescent="0.3">
      <c r="A337" s="34">
        <v>336</v>
      </c>
      <c r="B337" s="46" t="s">
        <v>50</v>
      </c>
      <c r="C337" s="58">
        <v>46059.463368055563</v>
      </c>
      <c r="D337" s="55" t="s">
        <v>743</v>
      </c>
      <c r="E337" s="58">
        <v>46059.484201388892</v>
      </c>
      <c r="F337" s="46" t="s">
        <v>827</v>
      </c>
      <c r="G337" s="46" t="s">
        <v>828</v>
      </c>
      <c r="H337" s="49">
        <v>3</v>
      </c>
    </row>
    <row r="338" spans="1:8" x14ac:dyDescent="0.3">
      <c r="A338" s="34">
        <v>337</v>
      </c>
      <c r="B338" s="46" t="s">
        <v>339</v>
      </c>
      <c r="C338" s="58">
        <v>46059.464479166672</v>
      </c>
      <c r="D338" s="55" t="s">
        <v>743</v>
      </c>
      <c r="E338" s="58">
        <v>46059.485324074078</v>
      </c>
      <c r="F338" s="46" t="s">
        <v>829</v>
      </c>
      <c r="G338" s="46" t="s">
        <v>660</v>
      </c>
      <c r="H338" s="49">
        <v>3</v>
      </c>
    </row>
    <row r="339" spans="1:8" x14ac:dyDescent="0.3">
      <c r="A339" s="34">
        <v>338</v>
      </c>
      <c r="B339" s="46" t="s">
        <v>830</v>
      </c>
      <c r="C339" s="58">
        <v>46059.595138888893</v>
      </c>
      <c r="D339" s="55" t="s">
        <v>743</v>
      </c>
      <c r="E339" s="58">
        <v>46059.616030092591</v>
      </c>
      <c r="F339" s="46" t="s">
        <v>831</v>
      </c>
      <c r="G339" s="46" t="s">
        <v>832</v>
      </c>
      <c r="H339" s="49">
        <v>3</v>
      </c>
    </row>
    <row r="340" spans="1:8" x14ac:dyDescent="0.3">
      <c r="A340" s="34">
        <v>339</v>
      </c>
      <c r="B340" s="46" t="s">
        <v>57</v>
      </c>
      <c r="C340" s="58">
        <v>46059.572731481479</v>
      </c>
      <c r="D340" s="55" t="s">
        <v>743</v>
      </c>
      <c r="E340" s="58">
        <v>46059.593564814822</v>
      </c>
      <c r="F340" s="46" t="s">
        <v>833</v>
      </c>
      <c r="G340" s="46" t="s">
        <v>834</v>
      </c>
      <c r="H340" s="49">
        <v>3</v>
      </c>
    </row>
    <row r="341" spans="1:8" x14ac:dyDescent="0.3">
      <c r="A341" s="34">
        <v>340</v>
      </c>
      <c r="B341" s="46" t="s">
        <v>835</v>
      </c>
      <c r="C341" s="58">
        <v>46059.48715277778</v>
      </c>
      <c r="D341" s="55" t="s">
        <v>743</v>
      </c>
      <c r="E341" s="58">
        <v>46059.527083333327</v>
      </c>
      <c r="F341" s="46" t="s">
        <v>836</v>
      </c>
      <c r="G341" s="46" t="s">
        <v>837</v>
      </c>
      <c r="H341" s="49">
        <v>8</v>
      </c>
    </row>
    <row r="342" spans="1:8" x14ac:dyDescent="0.3">
      <c r="A342" s="34">
        <v>341</v>
      </c>
      <c r="B342" s="46" t="s">
        <v>838</v>
      </c>
      <c r="C342" s="58">
        <v>46059.54246527778</v>
      </c>
      <c r="D342" s="55" t="s">
        <v>743</v>
      </c>
      <c r="E342" s="58">
        <v>46059.563321759262</v>
      </c>
      <c r="F342" s="46" t="s">
        <v>839</v>
      </c>
      <c r="G342" s="46" t="s">
        <v>814</v>
      </c>
      <c r="H342" s="49">
        <v>3</v>
      </c>
    </row>
    <row r="343" spans="1:8" x14ac:dyDescent="0.3">
      <c r="A343" s="34">
        <v>342</v>
      </c>
      <c r="B343" s="46" t="s">
        <v>840</v>
      </c>
      <c r="C343" s="58">
        <v>46059.437916666669</v>
      </c>
      <c r="D343" s="55" t="s">
        <v>743</v>
      </c>
      <c r="E343" s="58">
        <v>46059.458796296298</v>
      </c>
      <c r="F343" s="46" t="s">
        <v>841</v>
      </c>
      <c r="G343" s="46" t="s">
        <v>667</v>
      </c>
      <c r="H343" s="49">
        <v>3</v>
      </c>
    </row>
    <row r="344" spans="1:8" x14ac:dyDescent="0.3">
      <c r="A344" s="34">
        <v>343</v>
      </c>
      <c r="B344" s="46" t="s">
        <v>842</v>
      </c>
      <c r="C344" s="58">
        <v>46059.327499999999</v>
      </c>
      <c r="D344" s="55" t="s">
        <v>743</v>
      </c>
      <c r="E344" s="58">
        <v>46059.348379629628</v>
      </c>
      <c r="F344" s="46" t="s">
        <v>843</v>
      </c>
      <c r="G344" s="46" t="s">
        <v>844</v>
      </c>
      <c r="H344" s="49">
        <v>3</v>
      </c>
    </row>
    <row r="345" spans="1:8" x14ac:dyDescent="0.3">
      <c r="A345" s="34">
        <v>344</v>
      </c>
      <c r="B345" s="46" t="s">
        <v>845</v>
      </c>
      <c r="C345" s="58">
        <v>46059.715254629627</v>
      </c>
      <c r="D345" s="55" t="s">
        <v>743</v>
      </c>
      <c r="E345" s="58">
        <v>46059.736087962963</v>
      </c>
      <c r="F345" s="46" t="s">
        <v>846</v>
      </c>
      <c r="G345" s="46" t="s">
        <v>847</v>
      </c>
      <c r="H345" s="49">
        <v>3</v>
      </c>
    </row>
    <row r="346" spans="1:8" x14ac:dyDescent="0.3">
      <c r="A346" s="34">
        <v>345</v>
      </c>
      <c r="B346" s="46" t="s">
        <v>33</v>
      </c>
      <c r="C346" s="58">
        <v>46059.524236111109</v>
      </c>
      <c r="D346" s="55" t="s">
        <v>743</v>
      </c>
      <c r="E346" s="58">
        <v>46059.545104166667</v>
      </c>
      <c r="F346" s="46" t="s">
        <v>848</v>
      </c>
      <c r="G346" s="46" t="s">
        <v>660</v>
      </c>
      <c r="H346" s="49">
        <v>5</v>
      </c>
    </row>
    <row r="347" spans="1:8" x14ac:dyDescent="0.3">
      <c r="A347" s="34">
        <v>346</v>
      </c>
      <c r="B347" s="46" t="s">
        <v>63</v>
      </c>
      <c r="C347" s="58">
        <v>46059.44871527778</v>
      </c>
      <c r="D347" s="55" t="s">
        <v>743</v>
      </c>
      <c r="E347" s="58">
        <v>46059.469548611109</v>
      </c>
      <c r="F347" s="46" t="s">
        <v>849</v>
      </c>
      <c r="G347" s="46" t="s">
        <v>850</v>
      </c>
      <c r="H347" s="49">
        <v>3</v>
      </c>
    </row>
    <row r="348" spans="1:8" x14ac:dyDescent="0.3">
      <c r="A348" s="34">
        <v>347</v>
      </c>
      <c r="B348" s="46" t="s">
        <v>228</v>
      </c>
      <c r="C348" s="58">
        <v>46059.436388888891</v>
      </c>
      <c r="D348" s="55" t="s">
        <v>743</v>
      </c>
      <c r="E348" s="58">
        <v>46059.457233796304</v>
      </c>
      <c r="F348" s="46" t="s">
        <v>851</v>
      </c>
      <c r="G348" s="46" t="s">
        <v>852</v>
      </c>
      <c r="H348" s="49">
        <v>7</v>
      </c>
    </row>
    <row r="349" spans="1:8" x14ac:dyDescent="0.3">
      <c r="A349" s="34">
        <v>348</v>
      </c>
      <c r="B349" s="46" t="s">
        <v>853</v>
      </c>
      <c r="C349" s="58">
        <v>46059.479837962957</v>
      </c>
      <c r="D349" s="55" t="s">
        <v>743</v>
      </c>
      <c r="E349" s="58">
        <v>46059.500694444447</v>
      </c>
      <c r="F349" s="46" t="s">
        <v>854</v>
      </c>
      <c r="G349" s="46" t="s">
        <v>113</v>
      </c>
      <c r="H349" s="49">
        <v>3</v>
      </c>
    </row>
    <row r="350" spans="1:8" x14ac:dyDescent="0.3">
      <c r="A350" s="34">
        <v>349</v>
      </c>
      <c r="B350" s="46" t="s">
        <v>234</v>
      </c>
      <c r="C350" s="58">
        <v>46059.388159722221</v>
      </c>
      <c r="D350" s="55" t="s">
        <v>743</v>
      </c>
      <c r="E350" s="58">
        <v>46059.409039351849</v>
      </c>
      <c r="F350" s="46" t="s">
        <v>855</v>
      </c>
      <c r="G350" s="46" t="s">
        <v>856</v>
      </c>
      <c r="H350" s="49">
        <v>3</v>
      </c>
    </row>
    <row r="351" spans="1:8" x14ac:dyDescent="0.3">
      <c r="A351" s="34">
        <v>350</v>
      </c>
      <c r="B351" s="46" t="s">
        <v>588</v>
      </c>
      <c r="C351" s="58">
        <v>46059.344849537039</v>
      </c>
      <c r="D351" s="55" t="s">
        <v>743</v>
      </c>
      <c r="E351" s="58">
        <v>46059.365729166668</v>
      </c>
      <c r="F351" s="46" t="s">
        <v>857</v>
      </c>
      <c r="G351" s="46" t="s">
        <v>858</v>
      </c>
      <c r="H351" s="49">
        <v>3</v>
      </c>
    </row>
    <row r="352" spans="1:8" x14ac:dyDescent="0.3">
      <c r="A352" s="34">
        <v>351</v>
      </c>
      <c r="B352" s="46" t="s">
        <v>240</v>
      </c>
      <c r="C352" s="58">
        <v>46059.684918981482</v>
      </c>
      <c r="D352" s="55" t="s">
        <v>743</v>
      </c>
      <c r="E352" s="58">
        <v>46059.705775462957</v>
      </c>
      <c r="F352" s="46" t="s">
        <v>859</v>
      </c>
      <c r="G352" s="46" t="s">
        <v>107</v>
      </c>
      <c r="H352" s="49">
        <v>3</v>
      </c>
    </row>
    <row r="353" spans="1:8" x14ac:dyDescent="0.3">
      <c r="A353" s="34">
        <v>352</v>
      </c>
      <c r="B353" s="46" t="s">
        <v>715</v>
      </c>
      <c r="C353" s="58">
        <v>46059.681006944447</v>
      </c>
      <c r="D353" s="55" t="s">
        <v>743</v>
      </c>
      <c r="E353" s="58">
        <v>46059.701886574083</v>
      </c>
      <c r="F353" s="46" t="s">
        <v>860</v>
      </c>
      <c r="G353" s="46" t="s">
        <v>861</v>
      </c>
      <c r="H353" s="49">
        <v>3</v>
      </c>
    </row>
    <row r="354" spans="1:8" x14ac:dyDescent="0.3">
      <c r="A354" s="34">
        <v>353</v>
      </c>
      <c r="B354" s="46" t="s">
        <v>243</v>
      </c>
      <c r="C354" s="58">
        <v>46059.385185185187</v>
      </c>
      <c r="D354" s="55" t="s">
        <v>743</v>
      </c>
      <c r="E354" s="58">
        <v>46059.406041666669</v>
      </c>
      <c r="F354" s="46" t="s">
        <v>862</v>
      </c>
      <c r="G354" s="46" t="s">
        <v>863</v>
      </c>
      <c r="H354" s="49">
        <v>3</v>
      </c>
    </row>
    <row r="355" spans="1:8" x14ac:dyDescent="0.3">
      <c r="A355" s="34">
        <v>354</v>
      </c>
      <c r="B355" s="46" t="s">
        <v>864</v>
      </c>
      <c r="C355" s="58">
        <v>46059.515208333331</v>
      </c>
      <c r="D355" s="55" t="s">
        <v>743</v>
      </c>
      <c r="E355" s="58">
        <v>46059.536053240743</v>
      </c>
      <c r="F355" s="46" t="s">
        <v>865</v>
      </c>
      <c r="G355" s="46" t="s">
        <v>866</v>
      </c>
      <c r="H355" s="49">
        <v>3</v>
      </c>
    </row>
    <row r="356" spans="1:8" x14ac:dyDescent="0.3">
      <c r="A356" s="34">
        <v>355</v>
      </c>
      <c r="B356" s="46" t="s">
        <v>261</v>
      </c>
      <c r="C356" s="58">
        <v>46059.707604166673</v>
      </c>
      <c r="D356" s="55" t="s">
        <v>743</v>
      </c>
      <c r="E356" s="58">
        <v>46059.728437500002</v>
      </c>
      <c r="F356" s="46" t="s">
        <v>867</v>
      </c>
      <c r="G356" s="46" t="s">
        <v>779</v>
      </c>
      <c r="H356" s="49">
        <v>4</v>
      </c>
    </row>
    <row r="357" spans="1:8" x14ac:dyDescent="0.3">
      <c r="A357" s="34">
        <v>356</v>
      </c>
      <c r="B357" s="46" t="s">
        <v>868</v>
      </c>
      <c r="C357" s="58">
        <v>46059.303680555553</v>
      </c>
      <c r="D357" s="55" t="s">
        <v>743</v>
      </c>
      <c r="E357" s="58">
        <v>46059.324525462973</v>
      </c>
      <c r="F357" s="46" t="s">
        <v>869</v>
      </c>
      <c r="G357" s="46" t="s">
        <v>870</v>
      </c>
      <c r="H357" s="49">
        <v>3</v>
      </c>
    </row>
    <row r="358" spans="1:8" x14ac:dyDescent="0.3">
      <c r="A358" s="34">
        <v>357</v>
      </c>
      <c r="B358" s="46" t="s">
        <v>871</v>
      </c>
      <c r="C358" s="58">
        <v>46059.338182870371</v>
      </c>
      <c r="D358" s="55" t="s">
        <v>743</v>
      </c>
      <c r="E358" s="58">
        <v>46059.359039351853</v>
      </c>
      <c r="F358" s="46" t="s">
        <v>872</v>
      </c>
      <c r="G358" s="46" t="s">
        <v>309</v>
      </c>
      <c r="H358" s="49">
        <v>3</v>
      </c>
    </row>
    <row r="359" spans="1:8" x14ac:dyDescent="0.3">
      <c r="A359" s="34">
        <v>358</v>
      </c>
      <c r="B359" s="46" t="s">
        <v>873</v>
      </c>
      <c r="C359" s="58">
        <v>46059.405115740738</v>
      </c>
      <c r="D359" s="55" t="s">
        <v>743</v>
      </c>
      <c r="E359" s="58">
        <v>46059.42597222222</v>
      </c>
      <c r="F359" s="46" t="s">
        <v>874</v>
      </c>
      <c r="G359" s="46" t="s">
        <v>748</v>
      </c>
      <c r="H359" s="49">
        <v>3</v>
      </c>
    </row>
    <row r="360" spans="1:8" x14ac:dyDescent="0.3">
      <c r="A360" s="34">
        <v>359</v>
      </c>
      <c r="B360" s="46" t="s">
        <v>38</v>
      </c>
      <c r="C360" s="58">
        <v>46059.309074074074</v>
      </c>
      <c r="D360" s="55" t="s">
        <v>743</v>
      </c>
      <c r="E360" s="58">
        <v>46059.329942129632</v>
      </c>
      <c r="F360" s="46" t="s">
        <v>875</v>
      </c>
      <c r="G360" s="46" t="s">
        <v>107</v>
      </c>
      <c r="H360" s="49">
        <v>5</v>
      </c>
    </row>
    <row r="361" spans="1:8" x14ac:dyDescent="0.3">
      <c r="A361" s="34">
        <v>360</v>
      </c>
      <c r="B361" s="46" t="s">
        <v>876</v>
      </c>
      <c r="C361" s="58">
        <v>46059.508726851847</v>
      </c>
      <c r="D361" s="55" t="s">
        <v>743</v>
      </c>
      <c r="E361" s="58">
        <v>46059.52957175926</v>
      </c>
      <c r="F361" s="46" t="s">
        <v>877</v>
      </c>
      <c r="G361" s="46" t="s">
        <v>809</v>
      </c>
      <c r="H361" s="49">
        <v>3</v>
      </c>
    </row>
    <row r="362" spans="1:8" x14ac:dyDescent="0.3">
      <c r="A362" s="34">
        <v>361</v>
      </c>
      <c r="B362" s="46" t="s">
        <v>878</v>
      </c>
      <c r="C362" s="58">
        <v>46059.349988425929</v>
      </c>
      <c r="D362" s="55" t="s">
        <v>743</v>
      </c>
      <c r="E362" s="58">
        <v>46059.370821759258</v>
      </c>
      <c r="F362" s="46" t="s">
        <v>879</v>
      </c>
      <c r="G362" s="46" t="s">
        <v>107</v>
      </c>
      <c r="H362" s="49">
        <v>4</v>
      </c>
    </row>
    <row r="363" spans="1:8" x14ac:dyDescent="0.3">
      <c r="A363" s="34">
        <v>362</v>
      </c>
      <c r="B363" s="46" t="s">
        <v>880</v>
      </c>
      <c r="C363" s="58">
        <v>46059.529699074083</v>
      </c>
      <c r="D363" s="55" t="s">
        <v>743</v>
      </c>
      <c r="E363" s="58">
        <v>46059.550532407397</v>
      </c>
      <c r="F363" s="46" t="s">
        <v>881</v>
      </c>
      <c r="G363" s="46" t="s">
        <v>882</v>
      </c>
      <c r="H363" s="49">
        <v>4</v>
      </c>
    </row>
    <row r="364" spans="1:8" x14ac:dyDescent="0.3">
      <c r="A364" s="34">
        <v>363</v>
      </c>
      <c r="B364" s="46" t="s">
        <v>626</v>
      </c>
      <c r="C364" s="58">
        <v>46059.269270833327</v>
      </c>
      <c r="D364" s="55" t="s">
        <v>743</v>
      </c>
      <c r="E364" s="58">
        <v>46059.290138888893</v>
      </c>
      <c r="F364" s="46" t="s">
        <v>883</v>
      </c>
      <c r="G364" s="46" t="s">
        <v>884</v>
      </c>
      <c r="H364" s="49">
        <v>3</v>
      </c>
    </row>
    <row r="365" spans="1:8" x14ac:dyDescent="0.3">
      <c r="A365" s="34">
        <v>364</v>
      </c>
      <c r="B365" s="46" t="s">
        <v>885</v>
      </c>
      <c r="C365" s="58">
        <v>46059.448761574073</v>
      </c>
      <c r="D365" s="55" t="s">
        <v>743</v>
      </c>
      <c r="E365" s="58">
        <v>46059.469606481478</v>
      </c>
      <c r="F365" s="46" t="s">
        <v>886</v>
      </c>
      <c r="G365" s="46" t="s">
        <v>887</v>
      </c>
      <c r="H365" s="49">
        <v>4</v>
      </c>
    </row>
    <row r="366" spans="1:8" x14ac:dyDescent="0.3">
      <c r="A366" s="34">
        <v>365</v>
      </c>
      <c r="B366" s="46" t="s">
        <v>888</v>
      </c>
      <c r="C366" s="58">
        <v>46059.621469907397</v>
      </c>
      <c r="D366" s="55" t="s">
        <v>743</v>
      </c>
      <c r="E366" s="58">
        <v>46059.642395833333</v>
      </c>
      <c r="F366" s="46" t="s">
        <v>889</v>
      </c>
      <c r="G366" s="46" t="s">
        <v>890</v>
      </c>
      <c r="H366" s="49">
        <v>3</v>
      </c>
    </row>
    <row r="367" spans="1:8" x14ac:dyDescent="0.3">
      <c r="A367" s="34">
        <v>366</v>
      </c>
      <c r="B367" s="46" t="s">
        <v>891</v>
      </c>
      <c r="C367" s="58">
        <v>46059.591909722221</v>
      </c>
      <c r="D367" s="55" t="s">
        <v>743</v>
      </c>
      <c r="E367" s="58">
        <v>46059.612754629627</v>
      </c>
      <c r="F367" s="46" t="s">
        <v>892</v>
      </c>
      <c r="G367" s="46" t="s">
        <v>893</v>
      </c>
      <c r="H367" s="49">
        <v>3</v>
      </c>
    </row>
    <row r="368" spans="1:8" x14ac:dyDescent="0.3">
      <c r="A368" s="34">
        <v>367</v>
      </c>
      <c r="B368" s="46" t="s">
        <v>894</v>
      </c>
      <c r="C368" s="58">
        <v>46059.488668981481</v>
      </c>
      <c r="D368" s="55" t="s">
        <v>743</v>
      </c>
      <c r="E368" s="58">
        <v>46059.50953703704</v>
      </c>
      <c r="F368" s="46" t="s">
        <v>895</v>
      </c>
      <c r="G368" s="46" t="s">
        <v>896</v>
      </c>
      <c r="H368" s="49">
        <v>4</v>
      </c>
    </row>
    <row r="369" spans="1:8" x14ac:dyDescent="0.3">
      <c r="A369" s="34">
        <v>368</v>
      </c>
      <c r="B369" s="46" t="s">
        <v>742</v>
      </c>
      <c r="C369" s="58">
        <v>46060.360868055563</v>
      </c>
      <c r="D369" s="55" t="s">
        <v>897</v>
      </c>
      <c r="E369" s="58">
        <v>46060.381736111107</v>
      </c>
      <c r="F369" s="46" t="s">
        <v>898</v>
      </c>
      <c r="G369" s="46" t="s">
        <v>899</v>
      </c>
      <c r="H369" s="49">
        <v>3</v>
      </c>
    </row>
    <row r="370" spans="1:8" x14ac:dyDescent="0.3">
      <c r="A370" s="34">
        <v>369</v>
      </c>
      <c r="B370" s="46" t="s">
        <v>900</v>
      </c>
      <c r="C370" s="58">
        <v>46060.334270833337</v>
      </c>
      <c r="D370" s="55" t="s">
        <v>897</v>
      </c>
      <c r="E370" s="58">
        <v>46060.355138888888</v>
      </c>
      <c r="F370" s="46" t="s">
        <v>901</v>
      </c>
      <c r="G370" s="46" t="s">
        <v>902</v>
      </c>
      <c r="H370" s="49">
        <v>4</v>
      </c>
    </row>
    <row r="371" spans="1:8" x14ac:dyDescent="0.3">
      <c r="A371" s="34">
        <v>370</v>
      </c>
      <c r="B371" s="46" t="s">
        <v>637</v>
      </c>
      <c r="C371" s="58">
        <v>46060.353784722232</v>
      </c>
      <c r="D371" s="55" t="s">
        <v>897</v>
      </c>
      <c r="E371" s="58">
        <v>46060.374618055554</v>
      </c>
      <c r="F371" s="46" t="s">
        <v>903</v>
      </c>
      <c r="G371" s="46" t="s">
        <v>904</v>
      </c>
      <c r="H371" s="49">
        <v>3</v>
      </c>
    </row>
    <row r="372" spans="1:8" x14ac:dyDescent="0.3">
      <c r="A372" s="34">
        <v>371</v>
      </c>
      <c r="B372" s="46" t="s">
        <v>752</v>
      </c>
      <c r="C372" s="58">
        <v>46060.36755787037</v>
      </c>
      <c r="D372" s="55" t="s">
        <v>897</v>
      </c>
      <c r="E372" s="58">
        <v>46060.388425925928</v>
      </c>
      <c r="F372" s="46" t="s">
        <v>905</v>
      </c>
      <c r="G372" s="46" t="s">
        <v>906</v>
      </c>
      <c r="H372" s="49">
        <v>7</v>
      </c>
    </row>
    <row r="373" spans="1:8" x14ac:dyDescent="0.3">
      <c r="A373" s="34">
        <v>372</v>
      </c>
      <c r="B373" s="46" t="s">
        <v>907</v>
      </c>
      <c r="C373" s="58">
        <v>46060.442881944437</v>
      </c>
      <c r="D373" s="55" t="s">
        <v>897</v>
      </c>
      <c r="E373" s="58">
        <v>46060.463726851849</v>
      </c>
      <c r="F373" s="46" t="s">
        <v>908</v>
      </c>
      <c r="G373" s="46" t="s">
        <v>113</v>
      </c>
      <c r="H373" s="49">
        <v>3</v>
      </c>
    </row>
    <row r="374" spans="1:8" x14ac:dyDescent="0.3">
      <c r="A374" s="34">
        <v>373</v>
      </c>
      <c r="B374" s="46" t="s">
        <v>766</v>
      </c>
      <c r="C374" s="58">
        <v>46060.367245370369</v>
      </c>
      <c r="D374" s="55" t="s">
        <v>897</v>
      </c>
      <c r="E374" s="58">
        <v>46060.388078703712</v>
      </c>
      <c r="F374" s="46" t="s">
        <v>909</v>
      </c>
      <c r="G374" s="46" t="s">
        <v>910</v>
      </c>
      <c r="H374" s="49">
        <v>6</v>
      </c>
    </row>
    <row r="375" spans="1:8" x14ac:dyDescent="0.3">
      <c r="A375" s="34">
        <v>374</v>
      </c>
      <c r="B375" s="46" t="s">
        <v>117</v>
      </c>
      <c r="C375" s="58">
        <v>46060.44427083333</v>
      </c>
      <c r="D375" s="55" t="s">
        <v>897</v>
      </c>
      <c r="E375" s="58">
        <v>46060.465127314812</v>
      </c>
      <c r="F375" s="46" t="s">
        <v>911</v>
      </c>
      <c r="G375" s="46" t="s">
        <v>113</v>
      </c>
      <c r="H375" s="49">
        <v>3</v>
      </c>
    </row>
    <row r="376" spans="1:8" x14ac:dyDescent="0.3">
      <c r="A376" s="34">
        <v>375</v>
      </c>
      <c r="B376" s="46" t="s">
        <v>912</v>
      </c>
      <c r="C376" s="58">
        <v>46060.373414351852</v>
      </c>
      <c r="D376" s="55" t="s">
        <v>897</v>
      </c>
      <c r="E376" s="58">
        <v>46060.394293981481</v>
      </c>
      <c r="F376" s="46" t="s">
        <v>913</v>
      </c>
      <c r="G376" s="46" t="s">
        <v>914</v>
      </c>
      <c r="H376" s="49">
        <v>3</v>
      </c>
    </row>
    <row r="377" spans="1:8" x14ac:dyDescent="0.3">
      <c r="A377" s="34">
        <v>376</v>
      </c>
      <c r="B377" s="46" t="s">
        <v>790</v>
      </c>
      <c r="C377" s="58">
        <v>46060.359513888892</v>
      </c>
      <c r="D377" s="55" t="s">
        <v>897</v>
      </c>
      <c r="E377" s="58">
        <v>46060.380347222221</v>
      </c>
      <c r="F377" s="46" t="s">
        <v>915</v>
      </c>
      <c r="G377" s="46" t="s">
        <v>916</v>
      </c>
      <c r="H377" s="49">
        <v>4</v>
      </c>
    </row>
    <row r="378" spans="1:8" x14ac:dyDescent="0.3">
      <c r="A378" s="34">
        <v>377</v>
      </c>
      <c r="B378" s="46" t="s">
        <v>917</v>
      </c>
      <c r="C378" s="58">
        <v>46060.382719907408</v>
      </c>
      <c r="D378" s="55" t="s">
        <v>897</v>
      </c>
      <c r="E378" s="58">
        <v>46060.40357638889</v>
      </c>
      <c r="F378" s="46" t="s">
        <v>918</v>
      </c>
      <c r="G378" s="46" t="s">
        <v>113</v>
      </c>
      <c r="H378" s="49">
        <v>4</v>
      </c>
    </row>
    <row r="379" spans="1:8" x14ac:dyDescent="0.3">
      <c r="A379" s="34">
        <v>378</v>
      </c>
      <c r="B379" s="46" t="s">
        <v>132</v>
      </c>
      <c r="C379" s="58">
        <v>46060.447129629632</v>
      </c>
      <c r="D379" s="55" t="s">
        <v>897</v>
      </c>
      <c r="E379" s="58">
        <v>46060.467962962961</v>
      </c>
      <c r="F379" s="46" t="s">
        <v>919</v>
      </c>
      <c r="G379" s="46" t="s">
        <v>920</v>
      </c>
      <c r="H379" s="49">
        <v>4</v>
      </c>
    </row>
    <row r="380" spans="1:8" x14ac:dyDescent="0.3">
      <c r="A380" s="34">
        <v>379</v>
      </c>
      <c r="B380" s="46" t="s">
        <v>141</v>
      </c>
      <c r="C380" s="58">
        <v>46060.477256944447</v>
      </c>
      <c r="D380" s="55" t="s">
        <v>897</v>
      </c>
      <c r="E380" s="58">
        <v>46060.498113425929</v>
      </c>
      <c r="F380" s="46" t="s">
        <v>921</v>
      </c>
      <c r="G380" s="46" t="s">
        <v>148</v>
      </c>
      <c r="H380" s="49">
        <v>3</v>
      </c>
    </row>
    <row r="381" spans="1:8" x14ac:dyDescent="0.3">
      <c r="A381" s="34">
        <v>380</v>
      </c>
      <c r="B381" s="46" t="s">
        <v>922</v>
      </c>
      <c r="C381" s="58">
        <v>46060.331203703703</v>
      </c>
      <c r="D381" s="55" t="s">
        <v>897</v>
      </c>
      <c r="E381" s="58">
        <v>46060.352048611108</v>
      </c>
      <c r="F381" s="46" t="s">
        <v>923</v>
      </c>
      <c r="G381" s="46" t="s">
        <v>296</v>
      </c>
      <c r="H381" s="49">
        <v>3</v>
      </c>
    </row>
    <row r="382" spans="1:8" x14ac:dyDescent="0.3">
      <c r="A382" s="34">
        <v>381</v>
      </c>
      <c r="B382" s="46" t="s">
        <v>924</v>
      </c>
      <c r="C382" s="58">
        <v>46060.445543981477</v>
      </c>
      <c r="D382" s="55" t="s">
        <v>897</v>
      </c>
      <c r="E382" s="58">
        <v>46060.466400462959</v>
      </c>
      <c r="F382" s="46" t="s">
        <v>925</v>
      </c>
      <c r="G382" s="46" t="s">
        <v>113</v>
      </c>
      <c r="H382" s="49">
        <v>3</v>
      </c>
    </row>
    <row r="383" spans="1:8" x14ac:dyDescent="0.3">
      <c r="A383" s="34">
        <v>382</v>
      </c>
      <c r="B383" s="46" t="s">
        <v>34</v>
      </c>
      <c r="C383" s="58">
        <v>46060.447523148148</v>
      </c>
      <c r="D383" s="55" t="s">
        <v>897</v>
      </c>
      <c r="E383" s="58">
        <v>46060.468368055554</v>
      </c>
      <c r="F383" s="46" t="s">
        <v>926</v>
      </c>
      <c r="G383" s="46" t="s">
        <v>927</v>
      </c>
      <c r="H383" s="49">
        <v>3</v>
      </c>
    </row>
    <row r="384" spans="1:8" x14ac:dyDescent="0.3">
      <c r="A384" s="34">
        <v>383</v>
      </c>
      <c r="B384" s="46" t="s">
        <v>36</v>
      </c>
      <c r="C384" s="58">
        <v>46060.540891203702</v>
      </c>
      <c r="D384" s="55" t="s">
        <v>897</v>
      </c>
      <c r="E384" s="58">
        <v>46060.561759259261</v>
      </c>
      <c r="F384" s="46" t="s">
        <v>928</v>
      </c>
      <c r="G384" s="46" t="s">
        <v>210</v>
      </c>
      <c r="H384" s="49">
        <v>4</v>
      </c>
    </row>
    <row r="385" spans="1:8" x14ac:dyDescent="0.3">
      <c r="A385" s="34">
        <v>384</v>
      </c>
      <c r="B385" s="46" t="s">
        <v>929</v>
      </c>
      <c r="C385" s="58">
        <v>46060.599097222221</v>
      </c>
      <c r="D385" s="55" t="s">
        <v>897</v>
      </c>
      <c r="E385" s="58">
        <v>46060.619976851849</v>
      </c>
      <c r="F385" s="46" t="s">
        <v>930</v>
      </c>
      <c r="G385" s="46" t="s">
        <v>931</v>
      </c>
      <c r="H385" s="49">
        <v>3</v>
      </c>
    </row>
    <row r="386" spans="1:8" x14ac:dyDescent="0.3">
      <c r="A386" s="34">
        <v>385</v>
      </c>
      <c r="B386" s="46" t="s">
        <v>932</v>
      </c>
      <c r="C386" s="58">
        <v>46060.569120370368</v>
      </c>
      <c r="D386" s="55" t="s">
        <v>897</v>
      </c>
      <c r="E386" s="58">
        <v>46060.589965277781</v>
      </c>
      <c r="F386" s="46" t="s">
        <v>933</v>
      </c>
      <c r="G386" s="46" t="s">
        <v>934</v>
      </c>
      <c r="H386" s="49">
        <v>3</v>
      </c>
    </row>
    <row r="387" spans="1:8" x14ac:dyDescent="0.3">
      <c r="A387" s="34">
        <v>386</v>
      </c>
      <c r="B387" s="46" t="s">
        <v>935</v>
      </c>
      <c r="C387" s="58">
        <v>46060.589143518519</v>
      </c>
      <c r="D387" s="55" t="s">
        <v>897</v>
      </c>
      <c r="E387" s="58">
        <v>46060.609988425917</v>
      </c>
      <c r="F387" s="46" t="s">
        <v>936</v>
      </c>
      <c r="G387" s="46" t="s">
        <v>937</v>
      </c>
      <c r="H387" s="49">
        <v>3</v>
      </c>
    </row>
    <row r="388" spans="1:8" x14ac:dyDescent="0.3">
      <c r="A388" s="34">
        <v>387</v>
      </c>
      <c r="B388" s="46" t="s">
        <v>938</v>
      </c>
      <c r="C388" s="58">
        <v>46060.55746527778</v>
      </c>
      <c r="D388" s="55" t="s">
        <v>897</v>
      </c>
      <c r="E388" s="58">
        <v>46060.578310185178</v>
      </c>
      <c r="F388" s="46" t="s">
        <v>939</v>
      </c>
      <c r="G388" s="46" t="s">
        <v>940</v>
      </c>
      <c r="H388" s="49">
        <v>3</v>
      </c>
    </row>
    <row r="389" spans="1:8" x14ac:dyDescent="0.3">
      <c r="A389" s="34">
        <v>388</v>
      </c>
      <c r="B389" s="46" t="s">
        <v>344</v>
      </c>
      <c r="C389" s="58">
        <v>46060.48777777778</v>
      </c>
      <c r="D389" s="55" t="s">
        <v>897</v>
      </c>
      <c r="E389" s="58">
        <v>46060.508645833332</v>
      </c>
      <c r="F389" s="46" t="s">
        <v>941</v>
      </c>
      <c r="G389" s="46" t="s">
        <v>942</v>
      </c>
      <c r="H389" s="49">
        <v>3</v>
      </c>
    </row>
    <row r="390" spans="1:8" x14ac:dyDescent="0.3">
      <c r="A390" s="34">
        <v>389</v>
      </c>
      <c r="B390" s="46" t="s">
        <v>943</v>
      </c>
      <c r="C390" s="58">
        <v>46060.374988425923</v>
      </c>
      <c r="D390" s="55" t="s">
        <v>897</v>
      </c>
      <c r="E390" s="58">
        <v>46060.395868055559</v>
      </c>
      <c r="F390" s="46" t="s">
        <v>944</v>
      </c>
      <c r="G390" s="46" t="s">
        <v>945</v>
      </c>
      <c r="H390" s="49">
        <v>4</v>
      </c>
    </row>
    <row r="391" spans="1:8" x14ac:dyDescent="0.3">
      <c r="A391" s="34">
        <v>390</v>
      </c>
      <c r="B391" s="46" t="s">
        <v>57</v>
      </c>
      <c r="C391" s="58">
        <v>46060.242442129631</v>
      </c>
      <c r="D391" s="55" t="s">
        <v>897</v>
      </c>
      <c r="E391" s="58">
        <v>46060.263275462959</v>
      </c>
      <c r="F391" s="46" t="s">
        <v>946</v>
      </c>
      <c r="G391" s="46" t="s">
        <v>947</v>
      </c>
      <c r="H391" s="49">
        <v>3</v>
      </c>
    </row>
    <row r="392" spans="1:8" x14ac:dyDescent="0.3">
      <c r="A392" s="34">
        <v>391</v>
      </c>
      <c r="B392" s="46" t="s">
        <v>566</v>
      </c>
      <c r="C392" s="58">
        <v>46060.354826388888</v>
      </c>
      <c r="D392" s="55" t="s">
        <v>897</v>
      </c>
      <c r="E392" s="58">
        <v>46060.375659722216</v>
      </c>
      <c r="F392" s="46" t="s">
        <v>948</v>
      </c>
      <c r="G392" s="46" t="s">
        <v>949</v>
      </c>
      <c r="H392" s="49">
        <v>3</v>
      </c>
    </row>
    <row r="393" spans="1:8" x14ac:dyDescent="0.3">
      <c r="A393" s="34">
        <v>392</v>
      </c>
      <c r="B393" s="46" t="s">
        <v>350</v>
      </c>
      <c r="C393" s="58">
        <v>46060.487696759257</v>
      </c>
      <c r="D393" s="55" t="s">
        <v>897</v>
      </c>
      <c r="E393" s="58">
        <v>46060.508530092593</v>
      </c>
      <c r="F393" s="46" t="s">
        <v>950</v>
      </c>
      <c r="G393" s="46" t="s">
        <v>951</v>
      </c>
      <c r="H393" s="49">
        <v>3</v>
      </c>
    </row>
    <row r="394" spans="1:8" x14ac:dyDescent="0.3">
      <c r="A394" s="34">
        <v>393</v>
      </c>
      <c r="B394" s="46" t="s">
        <v>65</v>
      </c>
      <c r="C394" s="58">
        <v>46060.334039351852</v>
      </c>
      <c r="D394" s="55" t="s">
        <v>897</v>
      </c>
      <c r="E394" s="58">
        <v>46060.354907407411</v>
      </c>
      <c r="F394" s="46" t="s">
        <v>952</v>
      </c>
      <c r="G394" s="46" t="s">
        <v>953</v>
      </c>
      <c r="H394" s="49">
        <v>5</v>
      </c>
    </row>
    <row r="395" spans="1:8" x14ac:dyDescent="0.3">
      <c r="A395" s="34">
        <v>394</v>
      </c>
      <c r="B395" s="46" t="s">
        <v>73</v>
      </c>
      <c r="C395" s="58">
        <v>46060.354814814818</v>
      </c>
      <c r="D395" s="55" t="s">
        <v>897</v>
      </c>
      <c r="E395" s="58">
        <v>46060.375659722216</v>
      </c>
      <c r="F395" s="46" t="s">
        <v>954</v>
      </c>
      <c r="G395" s="46" t="s">
        <v>949</v>
      </c>
      <c r="H395" s="49">
        <v>3</v>
      </c>
    </row>
    <row r="396" spans="1:8" x14ac:dyDescent="0.3">
      <c r="A396" s="34">
        <v>395</v>
      </c>
      <c r="B396" s="46" t="s">
        <v>955</v>
      </c>
      <c r="C396" s="58">
        <v>46060.675081018519</v>
      </c>
      <c r="D396" s="55" t="s">
        <v>897</v>
      </c>
      <c r="E396" s="58">
        <v>46060.695914351847</v>
      </c>
      <c r="F396" s="46" t="s">
        <v>956</v>
      </c>
      <c r="G396" s="46" t="s">
        <v>957</v>
      </c>
      <c r="H396" s="49">
        <v>3</v>
      </c>
    </row>
    <row r="397" spans="1:8" x14ac:dyDescent="0.3">
      <c r="A397" s="34">
        <v>396</v>
      </c>
      <c r="B397" s="46" t="s">
        <v>958</v>
      </c>
      <c r="C397" s="58">
        <v>46060.666516203702</v>
      </c>
      <c r="D397" s="55" t="s">
        <v>897</v>
      </c>
      <c r="E397" s="58">
        <v>46060.687372685177</v>
      </c>
      <c r="F397" s="46" t="s">
        <v>959</v>
      </c>
      <c r="G397" s="46" t="s">
        <v>960</v>
      </c>
      <c r="H397" s="49">
        <v>3</v>
      </c>
    </row>
    <row r="398" spans="1:8" x14ac:dyDescent="0.3">
      <c r="A398" s="34">
        <v>397</v>
      </c>
      <c r="B398" s="46" t="s">
        <v>961</v>
      </c>
      <c r="C398" s="58">
        <v>46060.395590277767</v>
      </c>
      <c r="D398" s="55" t="s">
        <v>897</v>
      </c>
      <c r="E398" s="58">
        <v>46060.41646990741</v>
      </c>
      <c r="F398" s="46" t="s">
        <v>962</v>
      </c>
      <c r="G398" s="46" t="s">
        <v>963</v>
      </c>
      <c r="H398" s="49">
        <v>3</v>
      </c>
    </row>
    <row r="399" spans="1:8" x14ac:dyDescent="0.3">
      <c r="A399" s="34">
        <v>398</v>
      </c>
      <c r="B399" s="46" t="s">
        <v>237</v>
      </c>
      <c r="C399" s="58">
        <v>46060.006712962961</v>
      </c>
      <c r="D399" s="55" t="s">
        <v>897</v>
      </c>
      <c r="E399" s="58">
        <v>46060.027592592603</v>
      </c>
      <c r="F399" s="46" t="s">
        <v>964</v>
      </c>
      <c r="G399" s="46" t="s">
        <v>965</v>
      </c>
      <c r="H399" s="49">
        <v>5</v>
      </c>
    </row>
    <row r="400" spans="1:8" x14ac:dyDescent="0.3">
      <c r="A400" s="34">
        <v>399</v>
      </c>
      <c r="B400" s="46" t="s">
        <v>588</v>
      </c>
      <c r="C400" s="58">
        <v>46060.266956018517</v>
      </c>
      <c r="D400" s="55" t="s">
        <v>897</v>
      </c>
      <c r="E400" s="58">
        <v>46060.287812499999</v>
      </c>
      <c r="F400" s="46" t="s">
        <v>966</v>
      </c>
      <c r="G400" s="46" t="s">
        <v>967</v>
      </c>
      <c r="H400" s="49">
        <v>4</v>
      </c>
    </row>
    <row r="401" spans="1:8" x14ac:dyDescent="0.3">
      <c r="A401" s="34">
        <v>400</v>
      </c>
      <c r="B401" s="46" t="s">
        <v>462</v>
      </c>
      <c r="C401" s="58">
        <v>46060.612743055557</v>
      </c>
      <c r="D401" s="55" t="s">
        <v>897</v>
      </c>
      <c r="E401" s="58">
        <v>46060.633587962962</v>
      </c>
      <c r="F401" s="46" t="s">
        <v>968</v>
      </c>
      <c r="G401" s="46" t="s">
        <v>553</v>
      </c>
      <c r="H401" s="49">
        <v>3</v>
      </c>
    </row>
    <row r="402" spans="1:8" x14ac:dyDescent="0.3">
      <c r="A402" s="34">
        <v>401</v>
      </c>
      <c r="B402" s="46" t="s">
        <v>606</v>
      </c>
      <c r="C402" s="58">
        <v>46060.360578703701</v>
      </c>
      <c r="D402" s="55" t="s">
        <v>897</v>
      </c>
      <c r="E402" s="58">
        <v>46060.38144675926</v>
      </c>
      <c r="F402" s="46" t="s">
        <v>969</v>
      </c>
      <c r="G402" s="46" t="s">
        <v>558</v>
      </c>
      <c r="H402" s="49">
        <v>3</v>
      </c>
    </row>
    <row r="403" spans="1:8" x14ac:dyDescent="0.3">
      <c r="A403" s="34">
        <v>402</v>
      </c>
      <c r="B403" s="46" t="s">
        <v>726</v>
      </c>
      <c r="C403" s="58">
        <v>46060.596053240741</v>
      </c>
      <c r="D403" s="55" t="s">
        <v>897</v>
      </c>
      <c r="E403" s="58">
        <v>46060.616886574076</v>
      </c>
      <c r="F403" s="46" t="s">
        <v>970</v>
      </c>
      <c r="G403" s="46" t="s">
        <v>971</v>
      </c>
      <c r="H403" s="49">
        <v>3</v>
      </c>
    </row>
    <row r="404" spans="1:8" x14ac:dyDescent="0.3">
      <c r="A404" s="34">
        <v>403</v>
      </c>
      <c r="B404" s="46" t="s">
        <v>871</v>
      </c>
      <c r="C404" s="58">
        <v>46060.666562500002</v>
      </c>
      <c r="D404" s="55" t="s">
        <v>897</v>
      </c>
      <c r="E404" s="58">
        <v>46060.698888888888</v>
      </c>
      <c r="F404" s="46" t="s">
        <v>972</v>
      </c>
      <c r="G404" s="46" t="s">
        <v>973</v>
      </c>
      <c r="H404" s="49">
        <v>3</v>
      </c>
    </row>
    <row r="405" spans="1:8" x14ac:dyDescent="0.3">
      <c r="A405" s="34">
        <v>404</v>
      </c>
      <c r="B405" s="46" t="s">
        <v>38</v>
      </c>
      <c r="C405" s="58">
        <v>46060.357141203713</v>
      </c>
      <c r="D405" s="55" t="s">
        <v>897</v>
      </c>
      <c r="E405" s="58">
        <v>46060.377974537027</v>
      </c>
      <c r="F405" s="46" t="s">
        <v>974</v>
      </c>
      <c r="G405" s="46" t="s">
        <v>975</v>
      </c>
      <c r="H405" s="49">
        <v>3</v>
      </c>
    </row>
    <row r="406" spans="1:8" x14ac:dyDescent="0.3">
      <c r="A406" s="34">
        <v>405</v>
      </c>
      <c r="B406" s="46" t="s">
        <v>267</v>
      </c>
      <c r="C406" s="58">
        <v>46060.319803240738</v>
      </c>
      <c r="D406" s="55" t="s">
        <v>897</v>
      </c>
      <c r="E406" s="58">
        <v>46060.340648148151</v>
      </c>
      <c r="F406" s="46" t="s">
        <v>976</v>
      </c>
      <c r="G406" s="46" t="s">
        <v>977</v>
      </c>
      <c r="H406" s="49">
        <v>3</v>
      </c>
    </row>
    <row r="407" spans="1:8" x14ac:dyDescent="0.3">
      <c r="A407" s="34">
        <v>406</v>
      </c>
      <c r="B407" s="46" t="s">
        <v>52</v>
      </c>
      <c r="C407" s="58">
        <v>46060.33258101852</v>
      </c>
      <c r="D407" s="55" t="s">
        <v>897</v>
      </c>
      <c r="E407" s="58">
        <v>46060.353437500002</v>
      </c>
      <c r="F407" s="46" t="s">
        <v>978</v>
      </c>
      <c r="G407" s="46" t="s">
        <v>979</v>
      </c>
      <c r="H407" s="49">
        <v>7</v>
      </c>
    </row>
    <row r="408" spans="1:8" x14ac:dyDescent="0.3">
      <c r="A408" s="34">
        <v>407</v>
      </c>
      <c r="B408" s="46" t="s">
        <v>626</v>
      </c>
      <c r="C408" s="58">
        <v>46060.334016203713</v>
      </c>
      <c r="D408" s="55" t="s">
        <v>897</v>
      </c>
      <c r="E408" s="58">
        <v>46060.354849537027</v>
      </c>
      <c r="F408" s="46" t="s">
        <v>980</v>
      </c>
      <c r="G408" s="46" t="s">
        <v>981</v>
      </c>
      <c r="H408" s="49">
        <v>7</v>
      </c>
    </row>
    <row r="409" spans="1:8" x14ac:dyDescent="0.3">
      <c r="A409" s="34">
        <v>408</v>
      </c>
      <c r="B409" s="46" t="s">
        <v>885</v>
      </c>
      <c r="C409" s="58">
        <v>46060.35355324074</v>
      </c>
      <c r="D409" s="55" t="s">
        <v>897</v>
      </c>
      <c r="E409" s="58">
        <v>46060.374386574083</v>
      </c>
      <c r="F409" s="46" t="s">
        <v>982</v>
      </c>
      <c r="G409" s="46" t="s">
        <v>983</v>
      </c>
      <c r="H409" s="49">
        <v>3</v>
      </c>
    </row>
    <row r="410" spans="1:8" x14ac:dyDescent="0.3">
      <c r="A410" s="34">
        <v>409</v>
      </c>
      <c r="B410" s="46" t="s">
        <v>894</v>
      </c>
      <c r="C410" s="58">
        <v>46060.342442129629</v>
      </c>
      <c r="D410" s="55" t="s">
        <v>897</v>
      </c>
      <c r="E410" s="58">
        <v>46060.363321759258</v>
      </c>
      <c r="F410" s="46" t="s">
        <v>984</v>
      </c>
      <c r="G410" s="46" t="s">
        <v>985</v>
      </c>
      <c r="H410" s="49">
        <v>4</v>
      </c>
    </row>
    <row r="411" spans="1:8" x14ac:dyDescent="0.3">
      <c r="A411" s="34">
        <v>410</v>
      </c>
      <c r="B411" s="46" t="s">
        <v>81</v>
      </c>
      <c r="C411" s="58">
        <v>46061.303356481483</v>
      </c>
      <c r="D411" s="55" t="s">
        <v>986</v>
      </c>
      <c r="E411" s="58">
        <v>46061.324236111112</v>
      </c>
      <c r="F411" s="46" t="s">
        <v>987</v>
      </c>
      <c r="G411" s="46" t="s">
        <v>988</v>
      </c>
      <c r="H411" s="49">
        <v>3</v>
      </c>
    </row>
    <row r="412" spans="1:8" x14ac:dyDescent="0.3">
      <c r="A412" s="34">
        <v>411</v>
      </c>
      <c r="B412" s="46" t="s">
        <v>88</v>
      </c>
      <c r="C412" s="58">
        <v>46061.435798611114</v>
      </c>
      <c r="D412" s="55" t="s">
        <v>986</v>
      </c>
      <c r="E412" s="58">
        <v>46061.456643518519</v>
      </c>
      <c r="F412" s="46" t="s">
        <v>989</v>
      </c>
      <c r="G412" s="46" t="s">
        <v>990</v>
      </c>
      <c r="H412" s="49">
        <v>3</v>
      </c>
    </row>
    <row r="413" spans="1:8" x14ac:dyDescent="0.3">
      <c r="A413" s="34">
        <v>412</v>
      </c>
      <c r="B413" s="46" t="s">
        <v>991</v>
      </c>
      <c r="C413" s="58">
        <v>46061.510925925933</v>
      </c>
      <c r="D413" s="55" t="s">
        <v>986</v>
      </c>
      <c r="E413" s="58">
        <v>46061.531770833331</v>
      </c>
      <c r="F413" s="46" t="s">
        <v>992</v>
      </c>
      <c r="G413" s="46" t="s">
        <v>90</v>
      </c>
      <c r="H413" s="49">
        <v>3</v>
      </c>
    </row>
    <row r="414" spans="1:8" x14ac:dyDescent="0.3">
      <c r="A414" s="34">
        <v>413</v>
      </c>
      <c r="B414" s="46" t="s">
        <v>292</v>
      </c>
      <c r="C414" s="58">
        <v>46061.459085648137</v>
      </c>
      <c r="D414" s="55" t="s">
        <v>986</v>
      </c>
      <c r="E414" s="58">
        <v>46061.479942129627</v>
      </c>
      <c r="F414" s="46" t="s">
        <v>993</v>
      </c>
      <c r="G414" s="46" t="s">
        <v>994</v>
      </c>
      <c r="H414" s="49">
        <v>3</v>
      </c>
    </row>
    <row r="415" spans="1:8" x14ac:dyDescent="0.3">
      <c r="A415" s="34">
        <v>414</v>
      </c>
      <c r="B415" s="46" t="s">
        <v>995</v>
      </c>
      <c r="C415" s="58">
        <v>46061.423854166656</v>
      </c>
      <c r="D415" s="55" t="s">
        <v>986</v>
      </c>
      <c r="E415" s="58">
        <v>46061.444710648153</v>
      </c>
      <c r="F415" s="46" t="s">
        <v>996</v>
      </c>
      <c r="G415" s="46" t="s">
        <v>309</v>
      </c>
      <c r="H415" s="49">
        <v>3</v>
      </c>
    </row>
    <row r="416" spans="1:8" x14ac:dyDescent="0.3">
      <c r="A416" s="34">
        <v>415</v>
      </c>
      <c r="B416" s="46" t="s">
        <v>997</v>
      </c>
      <c r="C416" s="58">
        <v>46061.513379629629</v>
      </c>
      <c r="D416" s="55" t="s">
        <v>986</v>
      </c>
      <c r="E416" s="58">
        <v>46061.534212962957</v>
      </c>
      <c r="F416" s="46" t="s">
        <v>998</v>
      </c>
      <c r="G416" s="46" t="s">
        <v>999</v>
      </c>
      <c r="H416" s="49">
        <v>4</v>
      </c>
    </row>
    <row r="417" spans="1:8" x14ac:dyDescent="0.3">
      <c r="A417" s="34">
        <v>416</v>
      </c>
      <c r="B417" s="46" t="s">
        <v>766</v>
      </c>
      <c r="C417" s="58">
        <v>46061.329039351847</v>
      </c>
      <c r="D417" s="55" t="s">
        <v>986</v>
      </c>
      <c r="E417" s="58">
        <v>46061.34988425926</v>
      </c>
      <c r="F417" s="46" t="s">
        <v>1000</v>
      </c>
      <c r="G417" s="46" t="s">
        <v>684</v>
      </c>
      <c r="H417" s="49">
        <v>3</v>
      </c>
    </row>
    <row r="418" spans="1:8" x14ac:dyDescent="0.3">
      <c r="A418" s="34">
        <v>417</v>
      </c>
      <c r="B418" s="46" t="s">
        <v>1001</v>
      </c>
      <c r="C418" s="58">
        <v>46061.435474537036</v>
      </c>
      <c r="D418" s="55" t="s">
        <v>986</v>
      </c>
      <c r="E418" s="58">
        <v>46061.456354166658</v>
      </c>
      <c r="F418" s="46" t="s">
        <v>1002</v>
      </c>
      <c r="G418" s="46" t="s">
        <v>1003</v>
      </c>
      <c r="H418" s="49">
        <v>4</v>
      </c>
    </row>
    <row r="419" spans="1:8" x14ac:dyDescent="0.3">
      <c r="A419" s="34">
        <v>418</v>
      </c>
      <c r="B419" s="46" t="s">
        <v>912</v>
      </c>
      <c r="C419" s="58">
        <v>46061.5158912037</v>
      </c>
      <c r="D419" s="55" t="s">
        <v>986</v>
      </c>
      <c r="E419" s="58">
        <v>46061.536770833343</v>
      </c>
      <c r="F419" s="46" t="s">
        <v>1004</v>
      </c>
      <c r="G419" s="46" t="s">
        <v>90</v>
      </c>
      <c r="H419" s="49">
        <v>4</v>
      </c>
    </row>
    <row r="420" spans="1:8" x14ac:dyDescent="0.3">
      <c r="A420" s="34">
        <v>419</v>
      </c>
      <c r="B420" s="46" t="s">
        <v>653</v>
      </c>
      <c r="C420" s="58">
        <v>46061.448622685188</v>
      </c>
      <c r="D420" s="55" t="s">
        <v>986</v>
      </c>
      <c r="E420" s="58">
        <v>46061.469467592593</v>
      </c>
      <c r="F420" s="46" t="s">
        <v>1005</v>
      </c>
      <c r="G420" s="46" t="s">
        <v>1006</v>
      </c>
      <c r="H420" s="49">
        <v>3</v>
      </c>
    </row>
    <row r="421" spans="1:8" x14ac:dyDescent="0.3">
      <c r="A421" s="34">
        <v>420</v>
      </c>
      <c r="B421" s="46" t="s">
        <v>790</v>
      </c>
      <c r="C421" s="58">
        <v>46061.36378472222</v>
      </c>
      <c r="D421" s="55" t="s">
        <v>986</v>
      </c>
      <c r="E421" s="58">
        <v>46061.384675925918</v>
      </c>
      <c r="F421" s="46" t="s">
        <v>1007</v>
      </c>
      <c r="G421" s="46" t="s">
        <v>1008</v>
      </c>
      <c r="H421" s="49">
        <v>3</v>
      </c>
    </row>
    <row r="422" spans="1:8" x14ac:dyDescent="0.3">
      <c r="A422" s="34">
        <v>421</v>
      </c>
      <c r="B422" s="46" t="s">
        <v>924</v>
      </c>
      <c r="C422" s="58">
        <v>46061.465891203698</v>
      </c>
      <c r="D422" s="55" t="s">
        <v>986</v>
      </c>
      <c r="E422" s="58">
        <v>46061.491759259261</v>
      </c>
      <c r="F422" s="46" t="s">
        <v>1009</v>
      </c>
      <c r="G422" s="46" t="s">
        <v>1010</v>
      </c>
      <c r="H422" s="49">
        <v>4</v>
      </c>
    </row>
    <row r="423" spans="1:8" x14ac:dyDescent="0.3">
      <c r="A423" s="34">
        <v>422</v>
      </c>
      <c r="B423" s="46" t="s">
        <v>1011</v>
      </c>
      <c r="C423" s="58">
        <v>46061.429108796299</v>
      </c>
      <c r="D423" s="55" t="s">
        <v>986</v>
      </c>
      <c r="E423" s="58">
        <v>46061.449988425928</v>
      </c>
      <c r="F423" s="46" t="s">
        <v>1012</v>
      </c>
      <c r="G423" s="46" t="s">
        <v>568</v>
      </c>
      <c r="H423" s="49">
        <v>3</v>
      </c>
    </row>
    <row r="424" spans="1:8" x14ac:dyDescent="0.3">
      <c r="A424" s="34">
        <v>423</v>
      </c>
      <c r="B424" s="46" t="s">
        <v>35</v>
      </c>
      <c r="C424" s="58">
        <v>46061.083668981482</v>
      </c>
      <c r="D424" s="55" t="s">
        <v>986</v>
      </c>
      <c r="E424" s="58">
        <v>46061.104525462957</v>
      </c>
      <c r="F424" s="46" t="s">
        <v>1013</v>
      </c>
      <c r="G424" s="46" t="s">
        <v>1014</v>
      </c>
      <c r="H424" s="49">
        <v>6</v>
      </c>
    </row>
    <row r="425" spans="1:8" x14ac:dyDescent="0.3">
      <c r="A425" s="34">
        <v>424</v>
      </c>
      <c r="B425" s="46" t="s">
        <v>440</v>
      </c>
      <c r="C425" s="58">
        <v>46061.576006944437</v>
      </c>
      <c r="D425" s="55" t="s">
        <v>986</v>
      </c>
      <c r="E425" s="58">
        <v>46061.596863425933</v>
      </c>
      <c r="F425" s="46" t="s">
        <v>1015</v>
      </c>
      <c r="G425" s="46" t="s">
        <v>1016</v>
      </c>
      <c r="H425" s="49">
        <v>3</v>
      </c>
    </row>
    <row r="426" spans="1:8" x14ac:dyDescent="0.3">
      <c r="A426" s="34">
        <v>425</v>
      </c>
      <c r="B426" s="46" t="s">
        <v>208</v>
      </c>
      <c r="C426" s="58">
        <v>46061.578101851846</v>
      </c>
      <c r="D426" s="55" t="s">
        <v>986</v>
      </c>
      <c r="E426" s="58">
        <v>46061.598935185182</v>
      </c>
      <c r="F426" s="46" t="s">
        <v>1017</v>
      </c>
      <c r="G426" s="46" t="s">
        <v>1018</v>
      </c>
      <c r="H426" s="49">
        <v>3</v>
      </c>
    </row>
    <row r="427" spans="1:8" x14ac:dyDescent="0.3">
      <c r="A427" s="34">
        <v>426</v>
      </c>
      <c r="B427" s="46" t="s">
        <v>341</v>
      </c>
      <c r="C427" s="58">
        <v>46061.489062499997</v>
      </c>
      <c r="D427" s="55" t="s">
        <v>986</v>
      </c>
      <c r="E427" s="58">
        <v>46061.509895833333</v>
      </c>
      <c r="F427" s="46" t="s">
        <v>1019</v>
      </c>
      <c r="G427" s="46" t="s">
        <v>1020</v>
      </c>
      <c r="H427" s="49">
        <v>3</v>
      </c>
    </row>
    <row r="428" spans="1:8" x14ac:dyDescent="0.3">
      <c r="A428" s="34">
        <v>427</v>
      </c>
      <c r="B428" s="46" t="s">
        <v>938</v>
      </c>
      <c r="C428" s="58">
        <v>46061.339317129627</v>
      </c>
      <c r="D428" s="55" t="s">
        <v>986</v>
      </c>
      <c r="E428" s="58">
        <v>46061.360196759262</v>
      </c>
      <c r="F428" s="46" t="s">
        <v>1021</v>
      </c>
      <c r="G428" s="46" t="s">
        <v>266</v>
      </c>
      <c r="H428" s="49">
        <v>3</v>
      </c>
    </row>
    <row r="429" spans="1:8" x14ac:dyDescent="0.3">
      <c r="A429" s="34">
        <v>428</v>
      </c>
      <c r="B429" s="46" t="s">
        <v>344</v>
      </c>
      <c r="C429" s="58">
        <v>46061.452488425923</v>
      </c>
      <c r="D429" s="55" t="s">
        <v>986</v>
      </c>
      <c r="E429" s="58">
        <v>46061.473356481481</v>
      </c>
      <c r="F429" s="46" t="s">
        <v>1022</v>
      </c>
      <c r="G429" s="46" t="s">
        <v>1023</v>
      </c>
      <c r="H429" s="49">
        <v>5</v>
      </c>
    </row>
    <row r="430" spans="1:8" x14ac:dyDescent="0.3">
      <c r="A430" s="34">
        <v>429</v>
      </c>
      <c r="B430" s="46" t="s">
        <v>350</v>
      </c>
      <c r="C430" s="58">
        <v>46061.388275462959</v>
      </c>
      <c r="D430" s="55" t="s">
        <v>986</v>
      </c>
      <c r="E430" s="58">
        <v>46061.422326388893</v>
      </c>
      <c r="F430" s="46" t="s">
        <v>1024</v>
      </c>
      <c r="G430" s="46" t="s">
        <v>1025</v>
      </c>
      <c r="H430" s="49">
        <v>5</v>
      </c>
    </row>
    <row r="431" spans="1:8" x14ac:dyDescent="0.3">
      <c r="A431" s="34">
        <v>430</v>
      </c>
      <c r="B431" s="46" t="s">
        <v>73</v>
      </c>
      <c r="C431" s="58">
        <v>46061.372395833343</v>
      </c>
      <c r="D431" s="55" t="s">
        <v>986</v>
      </c>
      <c r="E431" s="58">
        <v>46061.393240740741</v>
      </c>
      <c r="F431" s="46" t="s">
        <v>1026</v>
      </c>
      <c r="G431" s="46" t="s">
        <v>785</v>
      </c>
      <c r="H431" s="49">
        <v>3</v>
      </c>
    </row>
    <row r="432" spans="1:8" x14ac:dyDescent="0.3">
      <c r="A432" s="34">
        <v>431</v>
      </c>
      <c r="B432" s="46" t="s">
        <v>1027</v>
      </c>
      <c r="C432" s="58">
        <v>46061.421527777777</v>
      </c>
      <c r="D432" s="55" t="s">
        <v>986</v>
      </c>
      <c r="E432" s="58">
        <v>46061.442418981482</v>
      </c>
      <c r="F432" s="46" t="s">
        <v>1028</v>
      </c>
      <c r="G432" s="46" t="s">
        <v>1029</v>
      </c>
      <c r="H432" s="49">
        <v>3</v>
      </c>
    </row>
    <row r="433" spans="1:8" x14ac:dyDescent="0.3">
      <c r="A433" s="34">
        <v>432</v>
      </c>
      <c r="B433" s="46" t="s">
        <v>1030</v>
      </c>
      <c r="C433" s="58">
        <v>46061.386018518519</v>
      </c>
      <c r="D433" s="55" t="s">
        <v>986</v>
      </c>
      <c r="E433" s="58">
        <v>46061.406898148147</v>
      </c>
      <c r="F433" s="46" t="s">
        <v>1031</v>
      </c>
      <c r="G433" s="46" t="s">
        <v>1032</v>
      </c>
      <c r="H433" s="49">
        <v>4</v>
      </c>
    </row>
    <row r="434" spans="1:8" x14ac:dyDescent="0.3">
      <c r="A434" s="34">
        <v>433</v>
      </c>
      <c r="B434" s="46" t="s">
        <v>1033</v>
      </c>
      <c r="C434" s="58">
        <v>46061.320219907408</v>
      </c>
      <c r="D434" s="55" t="s">
        <v>986</v>
      </c>
      <c r="E434" s="58">
        <v>46061.341099537043</v>
      </c>
      <c r="F434" s="46" t="s">
        <v>1034</v>
      </c>
      <c r="G434" s="46" t="s">
        <v>1035</v>
      </c>
      <c r="H434" s="49">
        <v>3</v>
      </c>
    </row>
    <row r="435" spans="1:8" x14ac:dyDescent="0.3">
      <c r="A435" s="34">
        <v>434</v>
      </c>
      <c r="B435" s="46" t="s">
        <v>958</v>
      </c>
      <c r="C435" s="58">
        <v>46061.576550925929</v>
      </c>
      <c r="D435" s="55" t="s">
        <v>986</v>
      </c>
      <c r="E435" s="58">
        <v>46061.597418981481</v>
      </c>
      <c r="F435" s="46" t="s">
        <v>1036</v>
      </c>
      <c r="G435" s="46" t="s">
        <v>1016</v>
      </c>
      <c r="H435" s="49">
        <v>3</v>
      </c>
    </row>
    <row r="436" spans="1:8" x14ac:dyDescent="0.3">
      <c r="A436" s="34">
        <v>435</v>
      </c>
      <c r="B436" s="46" t="s">
        <v>961</v>
      </c>
      <c r="C436" s="58">
        <v>46061.512488425928</v>
      </c>
      <c r="D436" s="55" t="s">
        <v>986</v>
      </c>
      <c r="E436" s="58">
        <v>46061.53334490741</v>
      </c>
      <c r="F436" s="46" t="s">
        <v>1037</v>
      </c>
      <c r="G436" s="46" t="s">
        <v>90</v>
      </c>
      <c r="H436" s="49">
        <v>3</v>
      </c>
    </row>
    <row r="437" spans="1:8" x14ac:dyDescent="0.3">
      <c r="A437" s="34">
        <v>436</v>
      </c>
      <c r="B437" s="46" t="s">
        <v>1038</v>
      </c>
      <c r="C437" s="58">
        <v>46061.418171296304</v>
      </c>
      <c r="D437" s="55" t="s">
        <v>986</v>
      </c>
      <c r="E437" s="58">
        <v>46061.439016203702</v>
      </c>
      <c r="F437" s="46" t="s">
        <v>1039</v>
      </c>
      <c r="G437" s="46" t="s">
        <v>1020</v>
      </c>
      <c r="H437" s="49">
        <v>4</v>
      </c>
    </row>
    <row r="438" spans="1:8" x14ac:dyDescent="0.3">
      <c r="A438" s="34">
        <v>437</v>
      </c>
      <c r="B438" s="46" t="s">
        <v>240</v>
      </c>
      <c r="C438" s="58">
        <v>46061.329340277778</v>
      </c>
      <c r="D438" s="55" t="s">
        <v>986</v>
      </c>
      <c r="E438" s="58">
        <v>46061.350173611107</v>
      </c>
      <c r="F438" s="46" t="s">
        <v>1040</v>
      </c>
      <c r="G438" s="46" t="s">
        <v>1041</v>
      </c>
      <c r="H438" s="49">
        <v>5</v>
      </c>
    </row>
    <row r="439" spans="1:8" x14ac:dyDescent="0.3">
      <c r="A439" s="34">
        <v>438</v>
      </c>
      <c r="B439" s="46" t="s">
        <v>1042</v>
      </c>
      <c r="C439" s="58">
        <v>46061.421180555553</v>
      </c>
      <c r="D439" s="55" t="s">
        <v>986</v>
      </c>
      <c r="E439" s="58">
        <v>46061.442048611112</v>
      </c>
      <c r="F439" s="46" t="s">
        <v>1043</v>
      </c>
      <c r="G439" s="46" t="s">
        <v>1029</v>
      </c>
      <c r="H439" s="49">
        <v>3</v>
      </c>
    </row>
    <row r="440" spans="1:8" x14ac:dyDescent="0.3">
      <c r="A440" s="34">
        <v>439</v>
      </c>
      <c r="B440" s="46" t="s">
        <v>864</v>
      </c>
      <c r="C440" s="58">
        <v>46061.435856481483</v>
      </c>
      <c r="D440" s="55" t="s">
        <v>986</v>
      </c>
      <c r="E440" s="58">
        <v>46061.456701388888</v>
      </c>
      <c r="F440" s="46" t="s">
        <v>1044</v>
      </c>
      <c r="G440" s="46" t="s">
        <v>1045</v>
      </c>
      <c r="H440" s="49">
        <v>3</v>
      </c>
    </row>
    <row r="441" spans="1:8" x14ac:dyDescent="0.3">
      <c r="A441" s="34">
        <v>440</v>
      </c>
      <c r="B441" s="46" t="s">
        <v>1046</v>
      </c>
      <c r="C441" s="58">
        <v>46061.54378472222</v>
      </c>
      <c r="D441" s="55" t="s">
        <v>986</v>
      </c>
      <c r="E441" s="58">
        <v>46061.564664351848</v>
      </c>
      <c r="F441" s="46" t="s">
        <v>1047</v>
      </c>
      <c r="G441" s="46" t="s">
        <v>1048</v>
      </c>
      <c r="H441" s="49">
        <v>4</v>
      </c>
    </row>
    <row r="442" spans="1:8" x14ac:dyDescent="0.3">
      <c r="A442" s="34">
        <v>441</v>
      </c>
      <c r="B442" s="46" t="s">
        <v>611</v>
      </c>
      <c r="C442" s="58">
        <v>46061.422638888893</v>
      </c>
      <c r="D442" s="55" t="s">
        <v>986</v>
      </c>
      <c r="E442" s="58">
        <v>46061.443495370368</v>
      </c>
      <c r="F442" s="46" t="s">
        <v>1049</v>
      </c>
      <c r="G442" s="46" t="s">
        <v>1029</v>
      </c>
      <c r="H442" s="49">
        <v>3</v>
      </c>
    </row>
    <row r="443" spans="1:8" x14ac:dyDescent="0.3">
      <c r="A443" s="34">
        <v>442</v>
      </c>
      <c r="B443" s="46" t="s">
        <v>729</v>
      </c>
      <c r="C443" s="58">
        <v>46061.447766203702</v>
      </c>
      <c r="D443" s="55" t="s">
        <v>986</v>
      </c>
      <c r="E443" s="58">
        <v>46061.468599537038</v>
      </c>
      <c r="F443" s="46" t="s">
        <v>1050</v>
      </c>
      <c r="G443" s="46" t="s">
        <v>1051</v>
      </c>
      <c r="H443" s="49">
        <v>4</v>
      </c>
    </row>
    <row r="444" spans="1:8" x14ac:dyDescent="0.3">
      <c r="A444" s="34">
        <v>443</v>
      </c>
      <c r="B444" s="46" t="s">
        <v>1052</v>
      </c>
      <c r="C444" s="58">
        <v>46061.437025462961</v>
      </c>
      <c r="D444" s="55" t="s">
        <v>986</v>
      </c>
      <c r="E444" s="58">
        <v>46061.457881944443</v>
      </c>
      <c r="F444" s="46" t="s">
        <v>1053</v>
      </c>
      <c r="G444" s="46" t="s">
        <v>1045</v>
      </c>
      <c r="H444" s="49">
        <v>3</v>
      </c>
    </row>
    <row r="445" spans="1:8" x14ac:dyDescent="0.3">
      <c r="A445" s="34">
        <v>444</v>
      </c>
      <c r="B445" s="46" t="s">
        <v>1054</v>
      </c>
      <c r="C445" s="58">
        <v>46061.456261574072</v>
      </c>
      <c r="D445" s="55" t="s">
        <v>986</v>
      </c>
      <c r="E445" s="58">
        <v>46061.477129629631</v>
      </c>
      <c r="F445" s="46" t="s">
        <v>1055</v>
      </c>
      <c r="G445" s="46" t="s">
        <v>1056</v>
      </c>
      <c r="H445" s="49">
        <v>4</v>
      </c>
    </row>
    <row r="446" spans="1:8" x14ac:dyDescent="0.3">
      <c r="A446" s="34">
        <v>445</v>
      </c>
      <c r="B446" s="46" t="s">
        <v>1057</v>
      </c>
      <c r="C446" s="58">
        <v>46061.576192129629</v>
      </c>
      <c r="D446" s="55" t="s">
        <v>986</v>
      </c>
      <c r="E446" s="58">
        <v>46061.597037037027</v>
      </c>
      <c r="F446" s="46" t="s">
        <v>1058</v>
      </c>
      <c r="G446" s="46" t="s">
        <v>1018</v>
      </c>
      <c r="H446" s="49">
        <v>3</v>
      </c>
    </row>
    <row r="447" spans="1:8" x14ac:dyDescent="0.3">
      <c r="A447" s="34">
        <v>446</v>
      </c>
      <c r="B447" s="46" t="s">
        <v>1059</v>
      </c>
      <c r="C447" s="58">
        <v>46061.330752314818</v>
      </c>
      <c r="D447" s="55" t="s">
        <v>986</v>
      </c>
      <c r="E447" s="58">
        <v>46061.351620370369</v>
      </c>
      <c r="F447" s="46" t="s">
        <v>1060</v>
      </c>
      <c r="G447" s="46" t="s">
        <v>309</v>
      </c>
      <c r="H447" s="49">
        <v>3</v>
      </c>
    </row>
    <row r="448" spans="1:8" x14ac:dyDescent="0.3">
      <c r="A448" s="34">
        <v>447</v>
      </c>
      <c r="B448" s="46" t="s">
        <v>377</v>
      </c>
      <c r="C448" s="58">
        <v>46061.36042824074</v>
      </c>
      <c r="D448" s="55" t="s">
        <v>986</v>
      </c>
      <c r="E448" s="58">
        <v>46061.381273148138</v>
      </c>
      <c r="F448" s="46" t="s">
        <v>1061</v>
      </c>
      <c r="G448" s="46" t="s">
        <v>349</v>
      </c>
      <c r="H448" s="49">
        <v>3</v>
      </c>
    </row>
    <row r="449" spans="1:8" x14ac:dyDescent="0.3">
      <c r="A449" s="34">
        <v>448</v>
      </c>
      <c r="B449" s="46" t="s">
        <v>1062</v>
      </c>
      <c r="C449" s="58">
        <v>46061.288275462961</v>
      </c>
      <c r="D449" s="55" t="s">
        <v>986</v>
      </c>
      <c r="E449" s="58">
        <v>46061.30914351852</v>
      </c>
      <c r="F449" s="46" t="s">
        <v>1063</v>
      </c>
      <c r="G449" s="46" t="s">
        <v>266</v>
      </c>
      <c r="H449" s="49">
        <v>3</v>
      </c>
    </row>
    <row r="450" spans="1:8" x14ac:dyDescent="0.3">
      <c r="A450" s="34">
        <v>449</v>
      </c>
      <c r="B450" s="46" t="s">
        <v>486</v>
      </c>
      <c r="C450" s="58">
        <v>46061.575520833343</v>
      </c>
      <c r="D450" s="55" t="s">
        <v>986</v>
      </c>
      <c r="E450" s="58">
        <v>46061.596400462957</v>
      </c>
      <c r="F450" s="46" t="s">
        <v>1064</v>
      </c>
      <c r="G450" s="46" t="s">
        <v>1065</v>
      </c>
      <c r="H450" s="49">
        <v>3</v>
      </c>
    </row>
    <row r="451" spans="1:8" x14ac:dyDescent="0.3">
      <c r="A451" s="34">
        <v>450</v>
      </c>
      <c r="B451" s="46" t="s">
        <v>1066</v>
      </c>
      <c r="C451" s="58">
        <v>46061.340578703697</v>
      </c>
      <c r="D451" s="55" t="s">
        <v>986</v>
      </c>
      <c r="E451" s="58">
        <v>46061.36141203704</v>
      </c>
      <c r="F451" s="46" t="s">
        <v>1067</v>
      </c>
      <c r="G451" s="46" t="s">
        <v>309</v>
      </c>
      <c r="H451" s="49">
        <v>3</v>
      </c>
    </row>
    <row r="452" spans="1:8" x14ac:dyDescent="0.3">
      <c r="A452" s="34">
        <v>451</v>
      </c>
      <c r="B452" s="46" t="s">
        <v>885</v>
      </c>
      <c r="C452" s="58">
        <v>46061.401412037027</v>
      </c>
      <c r="D452" s="55" t="s">
        <v>986</v>
      </c>
      <c r="E452" s="58">
        <v>46061.422256944446</v>
      </c>
      <c r="F452" s="46" t="s">
        <v>1068</v>
      </c>
      <c r="G452" s="46" t="s">
        <v>1069</v>
      </c>
      <c r="H452" s="49">
        <v>3</v>
      </c>
    </row>
    <row r="453" spans="1:8" x14ac:dyDescent="0.3">
      <c r="A453" s="34">
        <v>452</v>
      </c>
      <c r="B453" s="46" t="s">
        <v>1070</v>
      </c>
      <c r="C453" s="58">
        <v>46061.410324074073</v>
      </c>
      <c r="D453" s="55" t="s">
        <v>986</v>
      </c>
      <c r="E453" s="58">
        <v>46061.431168981479</v>
      </c>
      <c r="F453" s="46" t="s">
        <v>1071</v>
      </c>
      <c r="G453" s="46" t="s">
        <v>333</v>
      </c>
      <c r="H453" s="49">
        <v>3</v>
      </c>
    </row>
    <row r="454" spans="1:8" x14ac:dyDescent="0.3">
      <c r="A454" s="34">
        <v>453</v>
      </c>
      <c r="B454" s="46" t="s">
        <v>60</v>
      </c>
      <c r="C454" s="58">
        <v>46062.394733796304</v>
      </c>
      <c r="D454" s="55" t="s">
        <v>1072</v>
      </c>
      <c r="E454" s="58">
        <v>46062.415590277778</v>
      </c>
      <c r="F454" s="46" t="s">
        <v>1073</v>
      </c>
      <c r="G454" s="46" t="s">
        <v>1074</v>
      </c>
      <c r="H454" s="49">
        <v>3</v>
      </c>
    </row>
    <row r="455" spans="1:8" x14ac:dyDescent="0.3">
      <c r="A455" s="34">
        <v>454</v>
      </c>
      <c r="B455" s="46" t="s">
        <v>1075</v>
      </c>
      <c r="C455" s="58">
        <v>46062.619062500002</v>
      </c>
      <c r="D455" s="55" t="s">
        <v>1072</v>
      </c>
      <c r="E455" s="58">
        <v>46062.639918981477</v>
      </c>
      <c r="F455" s="46" t="s">
        <v>1076</v>
      </c>
      <c r="G455" s="46" t="s">
        <v>1077</v>
      </c>
      <c r="H455" s="49">
        <v>4</v>
      </c>
    </row>
    <row r="456" spans="1:8" x14ac:dyDescent="0.3">
      <c r="A456" s="34">
        <v>455</v>
      </c>
      <c r="B456" s="46" t="s">
        <v>1078</v>
      </c>
      <c r="C456" s="58">
        <v>46062.566712962973</v>
      </c>
      <c r="D456" s="55" t="s">
        <v>1072</v>
      </c>
      <c r="E456" s="58">
        <v>46062.587569444448</v>
      </c>
      <c r="F456" s="46" t="s">
        <v>1079</v>
      </c>
      <c r="G456" s="46" t="s">
        <v>213</v>
      </c>
      <c r="H456" s="49">
        <v>3</v>
      </c>
    </row>
    <row r="457" spans="1:8" x14ac:dyDescent="0.3">
      <c r="A457" s="34">
        <v>456</v>
      </c>
      <c r="B457" s="46" t="s">
        <v>99</v>
      </c>
      <c r="C457" s="58">
        <v>46062.502372685187</v>
      </c>
      <c r="D457" s="55" t="s">
        <v>1072</v>
      </c>
      <c r="E457" s="58">
        <v>46062.523206018523</v>
      </c>
      <c r="F457" s="46" t="s">
        <v>1080</v>
      </c>
      <c r="G457" s="46" t="s">
        <v>1081</v>
      </c>
      <c r="H457" s="49">
        <v>4</v>
      </c>
    </row>
    <row r="458" spans="1:8" x14ac:dyDescent="0.3">
      <c r="A458" s="34">
        <v>457</v>
      </c>
      <c r="B458" s="46" t="s">
        <v>1082</v>
      </c>
      <c r="C458" s="58">
        <v>46062.469490740739</v>
      </c>
      <c r="D458" s="55" t="s">
        <v>1072</v>
      </c>
      <c r="E458" s="58">
        <v>46062.490358796298</v>
      </c>
      <c r="F458" s="46" t="s">
        <v>1083</v>
      </c>
      <c r="G458" s="46" t="s">
        <v>1084</v>
      </c>
      <c r="H458" s="49">
        <v>3</v>
      </c>
    </row>
    <row r="459" spans="1:8" x14ac:dyDescent="0.3">
      <c r="A459" s="34">
        <v>458</v>
      </c>
      <c r="B459" s="46" t="s">
        <v>502</v>
      </c>
      <c r="C459" s="58">
        <v>46062.451562499999</v>
      </c>
      <c r="D459" s="55" t="s">
        <v>1072</v>
      </c>
      <c r="E459" s="58">
        <v>46062.472418981481</v>
      </c>
      <c r="F459" s="46" t="s">
        <v>1085</v>
      </c>
      <c r="G459" s="46" t="s">
        <v>104</v>
      </c>
      <c r="H459" s="49">
        <v>3</v>
      </c>
    </row>
    <row r="460" spans="1:8" x14ac:dyDescent="0.3">
      <c r="A460" s="34">
        <v>459</v>
      </c>
      <c r="B460" s="46" t="s">
        <v>1086</v>
      </c>
      <c r="C460" s="58">
        <v>46062.598761574067</v>
      </c>
      <c r="D460" s="55" t="s">
        <v>1072</v>
      </c>
      <c r="E460" s="58">
        <v>46062.619641203702</v>
      </c>
      <c r="F460" s="46" t="s">
        <v>1087</v>
      </c>
      <c r="G460" s="46" t="s">
        <v>333</v>
      </c>
      <c r="H460" s="49">
        <v>4</v>
      </c>
    </row>
    <row r="461" spans="1:8" x14ac:dyDescent="0.3">
      <c r="A461" s="34">
        <v>460</v>
      </c>
      <c r="B461" s="46" t="s">
        <v>656</v>
      </c>
      <c r="C461" s="58">
        <v>46062.325266203698</v>
      </c>
      <c r="D461" s="55" t="s">
        <v>1072</v>
      </c>
      <c r="E461" s="58">
        <v>46062.346145833333</v>
      </c>
      <c r="F461" s="46" t="s">
        <v>1088</v>
      </c>
      <c r="G461" s="46" t="s">
        <v>213</v>
      </c>
      <c r="H461" s="49">
        <v>3</v>
      </c>
    </row>
    <row r="462" spans="1:8" x14ac:dyDescent="0.3">
      <c r="A462" s="34">
        <v>461</v>
      </c>
      <c r="B462" s="46" t="s">
        <v>1089</v>
      </c>
      <c r="C462" s="58">
        <v>46062.453842592593</v>
      </c>
      <c r="D462" s="55" t="s">
        <v>1072</v>
      </c>
      <c r="E462" s="58">
        <v>46062.474675925929</v>
      </c>
      <c r="F462" s="46" t="s">
        <v>1090</v>
      </c>
      <c r="G462" s="46" t="s">
        <v>104</v>
      </c>
      <c r="H462" s="49">
        <v>3</v>
      </c>
    </row>
    <row r="463" spans="1:8" x14ac:dyDescent="0.3">
      <c r="A463" s="34">
        <v>462</v>
      </c>
      <c r="B463" s="46" t="s">
        <v>42</v>
      </c>
      <c r="C463" s="58">
        <v>46062.391585648147</v>
      </c>
      <c r="D463" s="55" t="s">
        <v>1072</v>
      </c>
      <c r="E463" s="58">
        <v>46062.412453703713</v>
      </c>
      <c r="F463" s="46" t="s">
        <v>1091</v>
      </c>
      <c r="G463" s="46" t="s">
        <v>1074</v>
      </c>
      <c r="H463" s="49">
        <v>3</v>
      </c>
    </row>
    <row r="464" spans="1:8" x14ac:dyDescent="0.3">
      <c r="A464" s="34">
        <v>463</v>
      </c>
      <c r="B464" s="46" t="s">
        <v>1092</v>
      </c>
      <c r="C464" s="58">
        <v>46062.40929398148</v>
      </c>
      <c r="D464" s="55" t="s">
        <v>1072</v>
      </c>
      <c r="E464" s="58">
        <v>46062.430173611108</v>
      </c>
      <c r="F464" s="46" t="s">
        <v>1093</v>
      </c>
      <c r="G464" s="46" t="s">
        <v>1094</v>
      </c>
      <c r="H464" s="49">
        <v>3</v>
      </c>
    </row>
    <row r="465" spans="1:8" x14ac:dyDescent="0.3">
      <c r="A465" s="34">
        <v>464</v>
      </c>
      <c r="B465" s="46" t="s">
        <v>1095</v>
      </c>
      <c r="C465" s="58">
        <v>46062.669340277767</v>
      </c>
      <c r="D465" s="55" t="s">
        <v>1072</v>
      </c>
      <c r="E465" s="58">
        <v>46062.699467592603</v>
      </c>
      <c r="F465" s="46" t="s">
        <v>1096</v>
      </c>
      <c r="G465" s="46" t="s">
        <v>213</v>
      </c>
      <c r="H465" s="49">
        <v>3</v>
      </c>
    </row>
    <row r="466" spans="1:8" x14ac:dyDescent="0.3">
      <c r="A466" s="34">
        <v>465</v>
      </c>
      <c r="B466" s="46" t="s">
        <v>1097</v>
      </c>
      <c r="C466" s="58">
        <v>46062.533171296287</v>
      </c>
      <c r="D466" s="55" t="s">
        <v>1072</v>
      </c>
      <c r="E466" s="58">
        <v>46062.554027777784</v>
      </c>
      <c r="F466" s="46" t="s">
        <v>1098</v>
      </c>
      <c r="G466" s="46" t="s">
        <v>1074</v>
      </c>
      <c r="H466" s="49">
        <v>3</v>
      </c>
    </row>
    <row r="467" spans="1:8" x14ac:dyDescent="0.3">
      <c r="A467" s="34">
        <v>466</v>
      </c>
      <c r="B467" s="46" t="s">
        <v>1099</v>
      </c>
      <c r="C467" s="58">
        <v>46062.467233796298</v>
      </c>
      <c r="D467" s="55" t="s">
        <v>1072</v>
      </c>
      <c r="E467" s="58">
        <v>46062.48810185185</v>
      </c>
      <c r="F467" s="46" t="s">
        <v>1100</v>
      </c>
      <c r="G467" s="46" t="s">
        <v>1101</v>
      </c>
      <c r="H467" s="49">
        <v>4</v>
      </c>
    </row>
    <row r="468" spans="1:8" x14ac:dyDescent="0.3">
      <c r="A468" s="34">
        <v>467</v>
      </c>
      <c r="B468" s="46" t="s">
        <v>164</v>
      </c>
      <c r="C468" s="58">
        <v>46062.393020833333</v>
      </c>
      <c r="D468" s="55" t="s">
        <v>1072</v>
      </c>
      <c r="E468" s="58">
        <v>46062.413854166669</v>
      </c>
      <c r="F468" s="46" t="s">
        <v>1102</v>
      </c>
      <c r="G468" s="46" t="s">
        <v>1074</v>
      </c>
      <c r="H468" s="49">
        <v>3</v>
      </c>
    </row>
    <row r="469" spans="1:8" x14ac:dyDescent="0.3">
      <c r="A469" s="34">
        <v>468</v>
      </c>
      <c r="B469" s="46" t="s">
        <v>36</v>
      </c>
      <c r="C469" s="58">
        <v>46062.390057870369</v>
      </c>
      <c r="D469" s="55" t="s">
        <v>1072</v>
      </c>
      <c r="E469" s="58">
        <v>46062.410937499997</v>
      </c>
      <c r="F469" s="46" t="s">
        <v>1103</v>
      </c>
      <c r="G469" s="46" t="s">
        <v>1074</v>
      </c>
      <c r="H469" s="49">
        <v>3</v>
      </c>
    </row>
    <row r="470" spans="1:8" x14ac:dyDescent="0.3">
      <c r="A470" s="34">
        <v>469</v>
      </c>
      <c r="B470" s="46" t="s">
        <v>35</v>
      </c>
      <c r="C470" s="58">
        <v>46062.24428240741</v>
      </c>
      <c r="D470" s="55" t="s">
        <v>1072</v>
      </c>
      <c r="E470" s="58">
        <v>46062.265127314808</v>
      </c>
      <c r="F470" s="46" t="s">
        <v>1104</v>
      </c>
      <c r="G470" s="46" t="s">
        <v>1014</v>
      </c>
      <c r="H470" s="49">
        <v>6</v>
      </c>
    </row>
    <row r="471" spans="1:8" x14ac:dyDescent="0.3">
      <c r="A471" s="34">
        <v>470</v>
      </c>
      <c r="B471" s="46" t="s">
        <v>929</v>
      </c>
      <c r="C471" s="58">
        <v>46062.392060185193</v>
      </c>
      <c r="D471" s="55" t="s">
        <v>1072</v>
      </c>
      <c r="E471" s="58">
        <v>46062.412928240738</v>
      </c>
      <c r="F471" s="46" t="s">
        <v>1105</v>
      </c>
      <c r="G471" s="46" t="s">
        <v>1074</v>
      </c>
      <c r="H471" s="49">
        <v>3</v>
      </c>
    </row>
    <row r="472" spans="1:8" x14ac:dyDescent="0.3">
      <c r="A472" s="34">
        <v>471</v>
      </c>
      <c r="B472" s="46" t="s">
        <v>1106</v>
      </c>
      <c r="C472" s="58">
        <v>46062.532500000001</v>
      </c>
      <c r="D472" s="55" t="s">
        <v>1072</v>
      </c>
      <c r="E472" s="58">
        <v>46062.553333333337</v>
      </c>
      <c r="F472" s="46" t="s">
        <v>1107</v>
      </c>
      <c r="G472" s="46" t="s">
        <v>1074</v>
      </c>
      <c r="H472" s="49">
        <v>3</v>
      </c>
    </row>
    <row r="473" spans="1:8" x14ac:dyDescent="0.3">
      <c r="A473" s="34">
        <v>472</v>
      </c>
      <c r="B473" s="46" t="s">
        <v>932</v>
      </c>
      <c r="C473" s="58">
        <v>46062.452002314807</v>
      </c>
      <c r="D473" s="55" t="s">
        <v>1072</v>
      </c>
      <c r="E473" s="58">
        <v>46062.472881944443</v>
      </c>
      <c r="F473" s="46" t="s">
        <v>1108</v>
      </c>
      <c r="G473" s="46" t="s">
        <v>1109</v>
      </c>
      <c r="H473" s="49">
        <v>3</v>
      </c>
    </row>
    <row r="474" spans="1:8" x14ac:dyDescent="0.3">
      <c r="A474" s="34">
        <v>473</v>
      </c>
      <c r="B474" s="46" t="s">
        <v>935</v>
      </c>
      <c r="C474" s="58">
        <v>46062.396203703713</v>
      </c>
      <c r="D474" s="55" t="s">
        <v>1072</v>
      </c>
      <c r="E474" s="58">
        <v>46062.417037037027</v>
      </c>
      <c r="F474" s="46" t="s">
        <v>1110</v>
      </c>
      <c r="G474" s="46" t="s">
        <v>1074</v>
      </c>
      <c r="H474" s="49">
        <v>3</v>
      </c>
    </row>
    <row r="475" spans="1:8" x14ac:dyDescent="0.3">
      <c r="A475" s="34">
        <v>474</v>
      </c>
      <c r="B475" s="46" t="s">
        <v>1111</v>
      </c>
      <c r="C475" s="58">
        <v>46062.451666666668</v>
      </c>
      <c r="D475" s="55" t="s">
        <v>1072</v>
      </c>
      <c r="E475" s="58">
        <v>46062.472534722219</v>
      </c>
      <c r="F475" s="46" t="s">
        <v>1112</v>
      </c>
      <c r="G475" s="46" t="s">
        <v>1113</v>
      </c>
      <c r="H475" s="49">
        <v>3</v>
      </c>
    </row>
    <row r="476" spans="1:8" x14ac:dyDescent="0.3">
      <c r="A476" s="34">
        <v>475</v>
      </c>
      <c r="B476" s="46" t="s">
        <v>1114</v>
      </c>
      <c r="C476" s="58">
        <v>46062.513067129628</v>
      </c>
      <c r="D476" s="55" t="s">
        <v>1072</v>
      </c>
      <c r="E476" s="58">
        <v>46062.533900462957</v>
      </c>
      <c r="F476" s="46" t="s">
        <v>1115</v>
      </c>
      <c r="G476" s="46" t="s">
        <v>213</v>
      </c>
      <c r="H476" s="49">
        <v>3</v>
      </c>
    </row>
    <row r="477" spans="1:8" x14ac:dyDescent="0.3">
      <c r="A477" s="34">
        <v>476</v>
      </c>
      <c r="B477" s="46" t="s">
        <v>1116</v>
      </c>
      <c r="C477" s="58">
        <v>46062.363842592589</v>
      </c>
      <c r="D477" s="55" t="s">
        <v>1072</v>
      </c>
      <c r="E477" s="58">
        <v>46062.384675925918</v>
      </c>
      <c r="F477" s="46" t="s">
        <v>1117</v>
      </c>
      <c r="G477" s="46" t="s">
        <v>1118</v>
      </c>
      <c r="H477" s="49">
        <v>3</v>
      </c>
    </row>
    <row r="478" spans="1:8" x14ac:dyDescent="0.3">
      <c r="A478" s="34">
        <v>477</v>
      </c>
      <c r="B478" s="46" t="s">
        <v>1119</v>
      </c>
      <c r="C478" s="58">
        <v>46062.274456018517</v>
      </c>
      <c r="D478" s="55" t="s">
        <v>1072</v>
      </c>
      <c r="E478" s="58">
        <v>46062.295312499999</v>
      </c>
      <c r="F478" s="46" t="s">
        <v>1120</v>
      </c>
      <c r="G478" s="46" t="s">
        <v>1121</v>
      </c>
      <c r="H478" s="49">
        <v>4</v>
      </c>
    </row>
    <row r="479" spans="1:8" x14ac:dyDescent="0.3">
      <c r="A479" s="34">
        <v>478</v>
      </c>
      <c r="B479" s="46" t="s">
        <v>853</v>
      </c>
      <c r="C479" s="58">
        <v>46062.410162037027</v>
      </c>
      <c r="D479" s="55" t="s">
        <v>1072</v>
      </c>
      <c r="E479" s="58">
        <v>46062.431041666663</v>
      </c>
      <c r="F479" s="46" t="s">
        <v>1122</v>
      </c>
      <c r="G479" s="46" t="s">
        <v>1123</v>
      </c>
      <c r="H479" s="49">
        <v>3</v>
      </c>
    </row>
    <row r="480" spans="1:8" x14ac:dyDescent="0.3">
      <c r="A480" s="34">
        <v>479</v>
      </c>
      <c r="B480" s="46" t="s">
        <v>1124</v>
      </c>
      <c r="C480" s="58">
        <v>46062.464062500003</v>
      </c>
      <c r="D480" s="55" t="s">
        <v>1072</v>
      </c>
      <c r="E480" s="58">
        <v>46062.484907407408</v>
      </c>
      <c r="F480" s="46" t="s">
        <v>1125</v>
      </c>
      <c r="G480" s="46" t="s">
        <v>1126</v>
      </c>
      <c r="H480" s="49">
        <v>3</v>
      </c>
    </row>
    <row r="481" spans="1:8" x14ac:dyDescent="0.3">
      <c r="A481" s="34">
        <v>480</v>
      </c>
      <c r="B481" s="46" t="s">
        <v>44</v>
      </c>
      <c r="C481" s="58">
        <v>46062.582349537042</v>
      </c>
      <c r="D481" s="55" t="s">
        <v>1072</v>
      </c>
      <c r="E481" s="58">
        <v>46062.603217592587</v>
      </c>
      <c r="F481" s="46" t="s">
        <v>1127</v>
      </c>
      <c r="G481" s="46" t="s">
        <v>1128</v>
      </c>
      <c r="H481" s="49">
        <v>5</v>
      </c>
    </row>
    <row r="482" spans="1:8" x14ac:dyDescent="0.3">
      <c r="A482" s="34">
        <v>481</v>
      </c>
      <c r="B482" s="46" t="s">
        <v>1129</v>
      </c>
      <c r="C482" s="58">
        <v>46062.418240740742</v>
      </c>
      <c r="D482" s="55" t="s">
        <v>1072</v>
      </c>
      <c r="E482" s="58">
        <v>46062.439120370371</v>
      </c>
      <c r="F482" s="46" t="s">
        <v>1130</v>
      </c>
      <c r="G482" s="46" t="s">
        <v>1131</v>
      </c>
      <c r="H482" s="49">
        <v>5</v>
      </c>
    </row>
    <row r="483" spans="1:8" x14ac:dyDescent="0.3">
      <c r="A483" s="34">
        <v>482</v>
      </c>
      <c r="B483" s="46" t="s">
        <v>1132</v>
      </c>
      <c r="C483" s="58">
        <v>46062.644895833328</v>
      </c>
      <c r="D483" s="55" t="s">
        <v>1072</v>
      </c>
      <c r="E483" s="58">
        <v>46062.66574074074</v>
      </c>
      <c r="F483" s="46" t="s">
        <v>1133</v>
      </c>
      <c r="G483" s="46" t="s">
        <v>887</v>
      </c>
      <c r="H483" s="49">
        <v>3</v>
      </c>
    </row>
    <row r="484" spans="1:8" x14ac:dyDescent="0.3">
      <c r="A484" s="34">
        <v>483</v>
      </c>
      <c r="B484" s="46" t="s">
        <v>1134</v>
      </c>
      <c r="C484" s="58">
        <v>46062.462175925917</v>
      </c>
      <c r="D484" s="55" t="s">
        <v>1072</v>
      </c>
      <c r="E484" s="58">
        <v>46062.483055555553</v>
      </c>
      <c r="F484" s="46" t="s">
        <v>1135</v>
      </c>
      <c r="G484" s="46" t="s">
        <v>553</v>
      </c>
      <c r="H484" s="49">
        <v>3</v>
      </c>
    </row>
    <row r="485" spans="1:8" x14ac:dyDescent="0.3">
      <c r="A485" s="34">
        <v>484</v>
      </c>
      <c r="B485" s="46" t="s">
        <v>1059</v>
      </c>
      <c r="C485" s="58">
        <v>46062.360567129632</v>
      </c>
      <c r="D485" s="55" t="s">
        <v>1072</v>
      </c>
      <c r="E485" s="58">
        <v>46062.38144675926</v>
      </c>
      <c r="F485" s="46" t="s">
        <v>1136</v>
      </c>
      <c r="G485" s="46" t="s">
        <v>104</v>
      </c>
      <c r="H485" s="49">
        <v>3</v>
      </c>
    </row>
    <row r="486" spans="1:8" x14ac:dyDescent="0.3">
      <c r="A486" s="34">
        <v>485</v>
      </c>
      <c r="B486" s="46" t="s">
        <v>377</v>
      </c>
      <c r="C486" s="58">
        <v>46062.582291666673</v>
      </c>
      <c r="D486" s="55" t="s">
        <v>1072</v>
      </c>
      <c r="E486" s="58">
        <v>46062.603159722217</v>
      </c>
      <c r="F486" s="46" t="s">
        <v>1137</v>
      </c>
      <c r="G486" s="46" t="s">
        <v>973</v>
      </c>
      <c r="H486" s="49">
        <v>3</v>
      </c>
    </row>
    <row r="487" spans="1:8" x14ac:dyDescent="0.3">
      <c r="A487" s="34">
        <v>486</v>
      </c>
      <c r="B487" s="46" t="s">
        <v>1066</v>
      </c>
      <c r="C487" s="58">
        <v>46062.36109953704</v>
      </c>
      <c r="D487" s="55" t="s">
        <v>1072</v>
      </c>
      <c r="E487" s="58">
        <v>46062.381967592592</v>
      </c>
      <c r="F487" s="46" t="s">
        <v>1138</v>
      </c>
      <c r="G487" s="46" t="s">
        <v>104</v>
      </c>
      <c r="H487" s="49">
        <v>4</v>
      </c>
    </row>
    <row r="488" spans="1:8" x14ac:dyDescent="0.3">
      <c r="A488" s="34">
        <v>487</v>
      </c>
      <c r="B488" s="46" t="s">
        <v>1139</v>
      </c>
      <c r="C488" s="58">
        <v>46062.411435185182</v>
      </c>
      <c r="D488" s="55" t="s">
        <v>1072</v>
      </c>
      <c r="E488" s="58">
        <v>46062.432314814818</v>
      </c>
      <c r="F488" s="46" t="s">
        <v>1140</v>
      </c>
      <c r="G488" s="46" t="s">
        <v>553</v>
      </c>
      <c r="H488" s="49">
        <v>3</v>
      </c>
    </row>
    <row r="489" spans="1:8" x14ac:dyDescent="0.3">
      <c r="A489" s="34">
        <v>488</v>
      </c>
      <c r="B489" s="46" t="s">
        <v>1141</v>
      </c>
      <c r="C489" s="58">
        <v>46063.391932870371</v>
      </c>
      <c r="D489" s="55" t="s">
        <v>1142</v>
      </c>
      <c r="E489" s="58">
        <v>46063.412812499999</v>
      </c>
      <c r="F489" s="46" t="s">
        <v>1143</v>
      </c>
      <c r="G489" s="46" t="s">
        <v>1144</v>
      </c>
      <c r="H489" s="49">
        <v>3</v>
      </c>
    </row>
    <row r="490" spans="1:8" x14ac:dyDescent="0.3">
      <c r="A490" s="34">
        <v>489</v>
      </c>
      <c r="B490" s="46" t="s">
        <v>287</v>
      </c>
      <c r="C490" s="58">
        <v>46063.498113425929</v>
      </c>
      <c r="D490" s="55" t="s">
        <v>1142</v>
      </c>
      <c r="E490" s="58">
        <v>46063.518993055557</v>
      </c>
      <c r="F490" s="46" t="s">
        <v>1145</v>
      </c>
      <c r="G490" s="46" t="s">
        <v>1146</v>
      </c>
      <c r="H490" s="49">
        <v>3</v>
      </c>
    </row>
    <row r="491" spans="1:8" x14ac:dyDescent="0.3">
      <c r="A491" s="34">
        <v>490</v>
      </c>
      <c r="B491" s="46" t="s">
        <v>91</v>
      </c>
      <c r="C491" s="58">
        <v>46063.508252314823</v>
      </c>
      <c r="D491" s="55" t="s">
        <v>1142</v>
      </c>
      <c r="E491" s="58">
        <v>46063.529085648152</v>
      </c>
      <c r="F491" s="46" t="s">
        <v>1147</v>
      </c>
      <c r="G491" s="46" t="s">
        <v>1148</v>
      </c>
      <c r="H491" s="49">
        <v>3</v>
      </c>
    </row>
    <row r="492" spans="1:8" x14ac:dyDescent="0.3">
      <c r="A492" s="34">
        <v>491</v>
      </c>
      <c r="B492" s="46" t="s">
        <v>1149</v>
      </c>
      <c r="C492" s="58">
        <v>46063.582662037043</v>
      </c>
      <c r="D492" s="55" t="s">
        <v>1142</v>
      </c>
      <c r="E492" s="58">
        <v>46063.603576388887</v>
      </c>
      <c r="F492" s="46" t="s">
        <v>1150</v>
      </c>
      <c r="G492" s="46" t="s">
        <v>1151</v>
      </c>
      <c r="H492" s="49">
        <v>3</v>
      </c>
    </row>
    <row r="493" spans="1:8" x14ac:dyDescent="0.3">
      <c r="A493" s="34">
        <v>492</v>
      </c>
      <c r="B493" s="46" t="s">
        <v>393</v>
      </c>
      <c r="C493" s="58">
        <v>46063.460902777777</v>
      </c>
      <c r="D493" s="55" t="s">
        <v>1142</v>
      </c>
      <c r="E493" s="58">
        <v>46063.481770833343</v>
      </c>
      <c r="F493" s="46" t="s">
        <v>1152</v>
      </c>
      <c r="G493" s="46" t="s">
        <v>98</v>
      </c>
      <c r="H493" s="49">
        <v>4</v>
      </c>
    </row>
    <row r="494" spans="1:8" x14ac:dyDescent="0.3">
      <c r="A494" s="34">
        <v>493</v>
      </c>
      <c r="B494" s="46" t="s">
        <v>780</v>
      </c>
      <c r="C494" s="58">
        <v>46063.442858796298</v>
      </c>
      <c r="D494" s="55" t="s">
        <v>1142</v>
      </c>
      <c r="E494" s="58">
        <v>46063.463703703703</v>
      </c>
      <c r="F494" s="46" t="s">
        <v>1153</v>
      </c>
      <c r="G494" s="46" t="s">
        <v>1154</v>
      </c>
      <c r="H494" s="49">
        <v>6</v>
      </c>
    </row>
    <row r="495" spans="1:8" x14ac:dyDescent="0.3">
      <c r="A495" s="34">
        <v>494</v>
      </c>
      <c r="B495" s="46" t="s">
        <v>505</v>
      </c>
      <c r="C495" s="58">
        <v>46063.405173611107</v>
      </c>
      <c r="D495" s="55" t="s">
        <v>1142</v>
      </c>
      <c r="E495" s="58">
        <v>46063.426030092603</v>
      </c>
      <c r="F495" s="46" t="s">
        <v>1155</v>
      </c>
      <c r="G495" s="46" t="s">
        <v>1156</v>
      </c>
      <c r="H495" s="49">
        <v>3</v>
      </c>
    </row>
    <row r="496" spans="1:8" x14ac:dyDescent="0.3">
      <c r="A496" s="34">
        <v>495</v>
      </c>
      <c r="B496" s="46" t="s">
        <v>1157</v>
      </c>
      <c r="C496" s="58">
        <v>46063.419942129629</v>
      </c>
      <c r="D496" s="55" t="s">
        <v>1142</v>
      </c>
      <c r="E496" s="58">
        <v>46063.440810185188</v>
      </c>
      <c r="F496" s="46" t="s">
        <v>1158</v>
      </c>
      <c r="G496" s="46" t="s">
        <v>1159</v>
      </c>
      <c r="H496" s="49">
        <v>3</v>
      </c>
    </row>
    <row r="497" spans="1:8" x14ac:dyDescent="0.3">
      <c r="A497" s="34">
        <v>496</v>
      </c>
      <c r="B497" s="46" t="s">
        <v>27</v>
      </c>
      <c r="C497" s="58">
        <v>46063.414837962962</v>
      </c>
      <c r="D497" s="55" t="s">
        <v>1142</v>
      </c>
      <c r="E497" s="58">
        <v>46063.435706018521</v>
      </c>
      <c r="F497" s="46" t="s">
        <v>1160</v>
      </c>
      <c r="G497" s="46" t="s">
        <v>1161</v>
      </c>
      <c r="H497" s="49">
        <v>6</v>
      </c>
    </row>
    <row r="498" spans="1:8" x14ac:dyDescent="0.3">
      <c r="A498" s="34">
        <v>497</v>
      </c>
      <c r="B498" s="46" t="s">
        <v>1162</v>
      </c>
      <c r="C498" s="58">
        <v>46063.459953703707</v>
      </c>
      <c r="D498" s="55" t="s">
        <v>1142</v>
      </c>
      <c r="E498" s="58">
        <v>46063.480833333328</v>
      </c>
      <c r="F498" s="46" t="s">
        <v>1163</v>
      </c>
      <c r="G498" s="46" t="s">
        <v>1164</v>
      </c>
      <c r="H498" s="49">
        <v>3</v>
      </c>
    </row>
    <row r="499" spans="1:8" x14ac:dyDescent="0.3">
      <c r="A499" s="34">
        <v>498</v>
      </c>
      <c r="B499" s="46" t="s">
        <v>401</v>
      </c>
      <c r="C499" s="58">
        <v>46063.417037037027</v>
      </c>
      <c r="D499" s="55" t="s">
        <v>1142</v>
      </c>
      <c r="E499" s="58">
        <v>46063.437905092593</v>
      </c>
      <c r="F499" s="46" t="s">
        <v>1165</v>
      </c>
      <c r="G499" s="46" t="s">
        <v>1166</v>
      </c>
      <c r="H499" s="49">
        <v>3</v>
      </c>
    </row>
    <row r="500" spans="1:8" x14ac:dyDescent="0.3">
      <c r="A500" s="34">
        <v>499</v>
      </c>
      <c r="B500" s="46" t="s">
        <v>1167</v>
      </c>
      <c r="C500" s="58">
        <v>46063.382060185177</v>
      </c>
      <c r="D500" s="55" t="s">
        <v>1142</v>
      </c>
      <c r="E500" s="58">
        <v>46063.402905092589</v>
      </c>
      <c r="F500" s="46" t="s">
        <v>1168</v>
      </c>
      <c r="G500" s="46" t="s">
        <v>1169</v>
      </c>
      <c r="H500" s="49">
        <v>3</v>
      </c>
    </row>
    <row r="501" spans="1:8" x14ac:dyDescent="0.3">
      <c r="A501" s="34">
        <v>500</v>
      </c>
      <c r="B501" s="46" t="s">
        <v>141</v>
      </c>
      <c r="C501" s="58">
        <v>46063.545555555553</v>
      </c>
      <c r="D501" s="55" t="s">
        <v>1142</v>
      </c>
      <c r="E501" s="58">
        <v>46063.566435185188</v>
      </c>
      <c r="F501" s="46" t="s">
        <v>1170</v>
      </c>
      <c r="G501" s="46" t="s">
        <v>1171</v>
      </c>
      <c r="H501" s="49">
        <v>3</v>
      </c>
    </row>
    <row r="502" spans="1:8" x14ac:dyDescent="0.3">
      <c r="A502" s="34">
        <v>501</v>
      </c>
      <c r="B502" s="46" t="s">
        <v>802</v>
      </c>
      <c r="C502" s="58">
        <v>46063.451145833344</v>
      </c>
      <c r="D502" s="55" t="s">
        <v>1142</v>
      </c>
      <c r="E502" s="58">
        <v>46063.472002314818</v>
      </c>
      <c r="F502" s="46" t="s">
        <v>1172</v>
      </c>
      <c r="G502" s="46" t="s">
        <v>660</v>
      </c>
      <c r="H502" s="49">
        <v>11</v>
      </c>
    </row>
    <row r="503" spans="1:8" x14ac:dyDescent="0.3">
      <c r="A503" s="34">
        <v>502</v>
      </c>
      <c r="B503" s="46" t="s">
        <v>1011</v>
      </c>
      <c r="C503" s="58">
        <v>46063.723090277781</v>
      </c>
      <c r="D503" s="55" t="s">
        <v>1142</v>
      </c>
      <c r="E503" s="58">
        <v>46063.743981481479</v>
      </c>
      <c r="F503" s="46" t="s">
        <v>1173</v>
      </c>
      <c r="G503" s="46" t="s">
        <v>779</v>
      </c>
      <c r="H503" s="49">
        <v>4</v>
      </c>
    </row>
    <row r="504" spans="1:8" x14ac:dyDescent="0.3">
      <c r="A504" s="34">
        <v>503</v>
      </c>
      <c r="B504" s="46" t="s">
        <v>1174</v>
      </c>
      <c r="C504" s="58">
        <v>46063.402499999997</v>
      </c>
      <c r="D504" s="55" t="s">
        <v>1142</v>
      </c>
      <c r="E504" s="58">
        <v>46063.423379629632</v>
      </c>
      <c r="F504" s="46" t="s">
        <v>1175</v>
      </c>
      <c r="G504" s="46" t="s">
        <v>1176</v>
      </c>
      <c r="H504" s="49">
        <v>3</v>
      </c>
    </row>
    <row r="505" spans="1:8" x14ac:dyDescent="0.3">
      <c r="A505" s="34">
        <v>504</v>
      </c>
      <c r="B505" s="46" t="s">
        <v>189</v>
      </c>
      <c r="C505" s="58">
        <v>46063.462395833332</v>
      </c>
      <c r="D505" s="55" t="s">
        <v>1142</v>
      </c>
      <c r="E505" s="58">
        <v>46063.491076388891</v>
      </c>
      <c r="F505" s="46" t="s">
        <v>1177</v>
      </c>
      <c r="G505" s="46" t="s">
        <v>304</v>
      </c>
      <c r="H505" s="49">
        <v>3</v>
      </c>
    </row>
    <row r="506" spans="1:8" x14ac:dyDescent="0.3">
      <c r="A506" s="34">
        <v>505</v>
      </c>
      <c r="B506" s="46" t="s">
        <v>35</v>
      </c>
      <c r="C506" s="58">
        <v>46063.195868055547</v>
      </c>
      <c r="D506" s="55" t="s">
        <v>1142</v>
      </c>
      <c r="E506" s="58">
        <v>46063.216724537036</v>
      </c>
      <c r="F506" s="46" t="s">
        <v>1178</v>
      </c>
      <c r="G506" s="46" t="s">
        <v>1014</v>
      </c>
      <c r="H506" s="49">
        <v>9</v>
      </c>
    </row>
    <row r="507" spans="1:8" x14ac:dyDescent="0.3">
      <c r="A507" s="34">
        <v>506</v>
      </c>
      <c r="B507" s="46" t="s">
        <v>539</v>
      </c>
      <c r="C507" s="58">
        <v>46063.415439814817</v>
      </c>
      <c r="D507" s="55" t="s">
        <v>1142</v>
      </c>
      <c r="E507" s="58">
        <v>46063.436284722222</v>
      </c>
      <c r="F507" s="46" t="s">
        <v>1179</v>
      </c>
      <c r="G507" s="46" t="s">
        <v>1180</v>
      </c>
      <c r="H507" s="49">
        <v>3</v>
      </c>
    </row>
    <row r="508" spans="1:8" x14ac:dyDescent="0.3">
      <c r="A508" s="34">
        <v>507</v>
      </c>
      <c r="B508" s="46" t="s">
        <v>1181</v>
      </c>
      <c r="C508" s="58">
        <v>46063.398576388892</v>
      </c>
      <c r="D508" s="55" t="s">
        <v>1142</v>
      </c>
      <c r="E508" s="58">
        <v>46063.41946759259</v>
      </c>
      <c r="F508" s="46" t="s">
        <v>1182</v>
      </c>
      <c r="G508" s="46" t="s">
        <v>1183</v>
      </c>
      <c r="H508" s="49">
        <v>4</v>
      </c>
    </row>
    <row r="509" spans="1:8" x14ac:dyDescent="0.3">
      <c r="A509" s="34">
        <v>508</v>
      </c>
      <c r="B509" s="46" t="s">
        <v>1184</v>
      </c>
      <c r="C509" s="58">
        <v>46063.383796296293</v>
      </c>
      <c r="D509" s="55" t="s">
        <v>1142</v>
      </c>
      <c r="E509" s="58">
        <v>46063.404641203713</v>
      </c>
      <c r="F509" s="46" t="s">
        <v>1185</v>
      </c>
      <c r="G509" s="46" t="s">
        <v>1186</v>
      </c>
      <c r="H509" s="49">
        <v>6</v>
      </c>
    </row>
    <row r="510" spans="1:8" x14ac:dyDescent="0.3">
      <c r="A510" s="34">
        <v>509</v>
      </c>
      <c r="B510" s="46" t="s">
        <v>1187</v>
      </c>
      <c r="C510" s="58">
        <v>46063.391574074078</v>
      </c>
      <c r="D510" s="55" t="s">
        <v>1142</v>
      </c>
      <c r="E510" s="58">
        <v>46063.412407407413</v>
      </c>
      <c r="F510" s="46" t="s">
        <v>1188</v>
      </c>
      <c r="G510" s="46" t="s">
        <v>1189</v>
      </c>
      <c r="H510" s="49">
        <v>3</v>
      </c>
    </row>
    <row r="511" spans="1:8" x14ac:dyDescent="0.3">
      <c r="A511" s="34">
        <v>510</v>
      </c>
      <c r="B511" s="46" t="s">
        <v>57</v>
      </c>
      <c r="C511" s="58">
        <v>46063.468599537038</v>
      </c>
      <c r="D511" s="55" t="s">
        <v>1142</v>
      </c>
      <c r="E511" s="58">
        <v>46063.489432870367</v>
      </c>
      <c r="F511" s="46" t="s">
        <v>1190</v>
      </c>
      <c r="G511" s="46" t="s">
        <v>660</v>
      </c>
      <c r="H511" s="49">
        <v>9</v>
      </c>
    </row>
    <row r="512" spans="1:8" x14ac:dyDescent="0.3">
      <c r="A512" s="34">
        <v>511</v>
      </c>
      <c r="B512" s="46" t="s">
        <v>1114</v>
      </c>
      <c r="C512" s="58">
        <v>46063.322326388887</v>
      </c>
      <c r="D512" s="55" t="s">
        <v>1142</v>
      </c>
      <c r="E512" s="58">
        <v>46063.343171296299</v>
      </c>
      <c r="F512" s="46" t="s">
        <v>1191</v>
      </c>
      <c r="G512" s="46" t="s">
        <v>914</v>
      </c>
      <c r="H512" s="49">
        <v>4</v>
      </c>
    </row>
    <row r="513" spans="1:8" x14ac:dyDescent="0.3">
      <c r="A513" s="34">
        <v>512</v>
      </c>
      <c r="B513" s="46" t="s">
        <v>1116</v>
      </c>
      <c r="C513" s="58">
        <v>46063.399537037039</v>
      </c>
      <c r="D513" s="55" t="s">
        <v>1142</v>
      </c>
      <c r="E513" s="58">
        <v>46063.420370370368</v>
      </c>
      <c r="F513" s="46" t="s">
        <v>1192</v>
      </c>
      <c r="G513" s="46" t="s">
        <v>1193</v>
      </c>
      <c r="H513" s="49">
        <v>4</v>
      </c>
    </row>
    <row r="514" spans="1:8" x14ac:dyDescent="0.3">
      <c r="A514" s="34">
        <v>513</v>
      </c>
      <c r="B514" s="46" t="s">
        <v>355</v>
      </c>
      <c r="C514" s="58">
        <v>46063.467581018522</v>
      </c>
      <c r="D514" s="55" t="s">
        <v>1142</v>
      </c>
      <c r="E514" s="58">
        <v>46063.488449074073</v>
      </c>
      <c r="F514" s="46" t="s">
        <v>1194</v>
      </c>
      <c r="G514" s="46" t="s">
        <v>1195</v>
      </c>
      <c r="H514" s="49">
        <v>3</v>
      </c>
    </row>
    <row r="515" spans="1:8" x14ac:dyDescent="0.3">
      <c r="A515" s="34">
        <v>514</v>
      </c>
      <c r="B515" s="46" t="s">
        <v>1119</v>
      </c>
      <c r="C515" s="58">
        <v>46063.558379629627</v>
      </c>
      <c r="D515" s="55" t="s">
        <v>1142</v>
      </c>
      <c r="E515" s="58">
        <v>46063.579270833332</v>
      </c>
      <c r="F515" s="46" t="s">
        <v>1196</v>
      </c>
      <c r="G515" s="46" t="s">
        <v>349</v>
      </c>
      <c r="H515" s="49">
        <v>3</v>
      </c>
    </row>
    <row r="516" spans="1:8" x14ac:dyDescent="0.3">
      <c r="A516" s="34">
        <v>515</v>
      </c>
      <c r="B516" s="46" t="s">
        <v>1197</v>
      </c>
      <c r="C516" s="58">
        <v>46063.370092592602</v>
      </c>
      <c r="D516" s="55" t="s">
        <v>1142</v>
      </c>
      <c r="E516" s="58">
        <v>46063.3909375</v>
      </c>
      <c r="F516" s="46" t="s">
        <v>1198</v>
      </c>
      <c r="G516" s="46" t="s">
        <v>1121</v>
      </c>
      <c r="H516" s="49">
        <v>3</v>
      </c>
    </row>
    <row r="517" spans="1:8" x14ac:dyDescent="0.3">
      <c r="A517" s="34">
        <v>516</v>
      </c>
      <c r="B517" s="46" t="s">
        <v>1033</v>
      </c>
      <c r="C517" s="58">
        <v>46063.4059375</v>
      </c>
      <c r="D517" s="55" t="s">
        <v>1142</v>
      </c>
      <c r="E517" s="58">
        <v>46063.426782407398</v>
      </c>
      <c r="F517" s="46" t="s">
        <v>1199</v>
      </c>
      <c r="G517" s="46" t="s">
        <v>1200</v>
      </c>
      <c r="H517" s="49">
        <v>3</v>
      </c>
    </row>
    <row r="518" spans="1:8" x14ac:dyDescent="0.3">
      <c r="A518" s="34">
        <v>517</v>
      </c>
      <c r="B518" s="46" t="s">
        <v>231</v>
      </c>
      <c r="C518" s="58">
        <v>46063.444814814808</v>
      </c>
      <c r="D518" s="55" t="s">
        <v>1142</v>
      </c>
      <c r="E518" s="58">
        <v>46063.465682870366</v>
      </c>
      <c r="F518" s="46" t="s">
        <v>1201</v>
      </c>
      <c r="G518" s="46" t="s">
        <v>213</v>
      </c>
      <c r="H518" s="49">
        <v>3</v>
      </c>
    </row>
    <row r="519" spans="1:8" x14ac:dyDescent="0.3">
      <c r="A519" s="34">
        <v>518</v>
      </c>
      <c r="B519" s="46" t="s">
        <v>1202</v>
      </c>
      <c r="C519" s="58">
        <v>46063.334837962961</v>
      </c>
      <c r="D519" s="55" t="s">
        <v>1142</v>
      </c>
      <c r="E519" s="58">
        <v>46063.355717592603</v>
      </c>
      <c r="F519" s="46" t="s">
        <v>1203</v>
      </c>
      <c r="G519" s="46" t="s">
        <v>90</v>
      </c>
      <c r="H519" s="49">
        <v>3</v>
      </c>
    </row>
    <row r="520" spans="1:8" x14ac:dyDescent="0.3">
      <c r="A520" s="34">
        <v>519</v>
      </c>
      <c r="B520" s="46" t="s">
        <v>1204</v>
      </c>
      <c r="C520" s="58">
        <v>46063.401134259257</v>
      </c>
      <c r="D520" s="55" t="s">
        <v>1142</v>
      </c>
      <c r="E520" s="58">
        <v>46063.421967592592</v>
      </c>
      <c r="F520" s="46" t="s">
        <v>1205</v>
      </c>
      <c r="G520" s="46" t="s">
        <v>558</v>
      </c>
      <c r="H520" s="49">
        <v>4</v>
      </c>
    </row>
    <row r="521" spans="1:8" x14ac:dyDescent="0.3">
      <c r="A521" s="34">
        <v>520</v>
      </c>
      <c r="B521" s="46" t="s">
        <v>240</v>
      </c>
      <c r="C521" s="58">
        <v>46063.342800925922</v>
      </c>
      <c r="D521" s="55" t="s">
        <v>1142</v>
      </c>
      <c r="E521" s="58">
        <v>46063.363668981481</v>
      </c>
      <c r="F521" s="46" t="s">
        <v>1206</v>
      </c>
      <c r="G521" s="46" t="s">
        <v>1207</v>
      </c>
      <c r="H521" s="49">
        <v>3</v>
      </c>
    </row>
    <row r="522" spans="1:8" x14ac:dyDescent="0.3">
      <c r="A522" s="34">
        <v>521</v>
      </c>
      <c r="B522" s="46" t="s">
        <v>44</v>
      </c>
      <c r="C522" s="58">
        <v>46063.414004629631</v>
      </c>
      <c r="D522" s="55" t="s">
        <v>1142</v>
      </c>
      <c r="E522" s="58">
        <v>46063.434837962966</v>
      </c>
      <c r="F522" s="46" t="s">
        <v>1208</v>
      </c>
      <c r="G522" s="46" t="s">
        <v>977</v>
      </c>
      <c r="H522" s="49">
        <v>4</v>
      </c>
    </row>
    <row r="523" spans="1:8" x14ac:dyDescent="0.3">
      <c r="A523" s="34">
        <v>522</v>
      </c>
      <c r="B523" s="46" t="s">
        <v>55</v>
      </c>
      <c r="C523" s="58">
        <v>46063.501238425917</v>
      </c>
      <c r="D523" s="55" t="s">
        <v>1142</v>
      </c>
      <c r="E523" s="58">
        <v>46063.522083333337</v>
      </c>
      <c r="F523" s="46" t="s">
        <v>1209</v>
      </c>
      <c r="G523" s="46" t="s">
        <v>1210</v>
      </c>
      <c r="H523" s="49">
        <v>5</v>
      </c>
    </row>
    <row r="524" spans="1:8" x14ac:dyDescent="0.3">
      <c r="A524" s="34">
        <v>523</v>
      </c>
      <c r="B524" s="46" t="s">
        <v>1211</v>
      </c>
      <c r="C524" s="58">
        <v>46063.599988425929</v>
      </c>
      <c r="D524" s="55" t="s">
        <v>1142</v>
      </c>
      <c r="E524" s="58">
        <v>46063.623611111107</v>
      </c>
      <c r="F524" s="46" t="s">
        <v>1212</v>
      </c>
      <c r="G524" s="46" t="s">
        <v>266</v>
      </c>
      <c r="H524" s="49">
        <v>4</v>
      </c>
    </row>
    <row r="525" spans="1:8" x14ac:dyDescent="0.3">
      <c r="A525" s="34">
        <v>524</v>
      </c>
      <c r="B525" s="46" t="s">
        <v>1213</v>
      </c>
      <c r="C525" s="58">
        <v>46063.307858796303</v>
      </c>
      <c r="D525" s="55" t="s">
        <v>1142</v>
      </c>
      <c r="E525" s="58">
        <v>46063.328703703701</v>
      </c>
      <c r="F525" s="46" t="s">
        <v>1214</v>
      </c>
      <c r="G525" s="46" t="s">
        <v>1215</v>
      </c>
      <c r="H525" s="49">
        <v>3</v>
      </c>
    </row>
    <row r="526" spans="1:8" x14ac:dyDescent="0.3">
      <c r="A526" s="34">
        <v>525</v>
      </c>
      <c r="B526" s="46" t="s">
        <v>613</v>
      </c>
      <c r="C526" s="58">
        <v>46063.357141203713</v>
      </c>
      <c r="D526" s="55" t="s">
        <v>1142</v>
      </c>
      <c r="E526" s="58">
        <v>46063.377974537027</v>
      </c>
      <c r="F526" s="46" t="s">
        <v>1216</v>
      </c>
      <c r="G526" s="46" t="s">
        <v>1217</v>
      </c>
      <c r="H526" s="49">
        <v>3</v>
      </c>
    </row>
    <row r="527" spans="1:8" x14ac:dyDescent="0.3">
      <c r="A527" s="34">
        <v>526</v>
      </c>
      <c r="B527" s="46" t="s">
        <v>1132</v>
      </c>
      <c r="C527" s="58">
        <v>46063.320497685178</v>
      </c>
      <c r="D527" s="55" t="s">
        <v>1142</v>
      </c>
      <c r="E527" s="58">
        <v>46063.341377314813</v>
      </c>
      <c r="F527" s="46" t="s">
        <v>1218</v>
      </c>
      <c r="G527" s="46" t="s">
        <v>1219</v>
      </c>
      <c r="H527" s="49">
        <v>3</v>
      </c>
    </row>
    <row r="528" spans="1:8" x14ac:dyDescent="0.3">
      <c r="A528" s="34">
        <v>527</v>
      </c>
      <c r="B528" s="46" t="s">
        <v>1134</v>
      </c>
      <c r="C528" s="58">
        <v>46063.724050925928</v>
      </c>
      <c r="D528" s="55" t="s">
        <v>1142</v>
      </c>
      <c r="E528" s="58">
        <v>46063.744884259257</v>
      </c>
      <c r="F528" s="46" t="s">
        <v>1220</v>
      </c>
      <c r="G528" s="46" t="s">
        <v>309</v>
      </c>
      <c r="H528" s="49">
        <v>3</v>
      </c>
    </row>
    <row r="529" spans="1:8" x14ac:dyDescent="0.3">
      <c r="A529" s="34">
        <v>528</v>
      </c>
      <c r="B529" s="46" t="s">
        <v>1221</v>
      </c>
      <c r="C529" s="58">
        <v>46063.620428240742</v>
      </c>
      <c r="D529" s="55" t="s">
        <v>1142</v>
      </c>
      <c r="E529" s="58">
        <v>46063.64130787037</v>
      </c>
      <c r="F529" s="46" t="s">
        <v>1222</v>
      </c>
      <c r="G529" s="46" t="s">
        <v>90</v>
      </c>
      <c r="H529" s="49">
        <v>3</v>
      </c>
    </row>
    <row r="530" spans="1:8" x14ac:dyDescent="0.3">
      <c r="A530" s="34">
        <v>529</v>
      </c>
      <c r="B530" s="46" t="s">
        <v>41</v>
      </c>
      <c r="C530" s="58">
        <v>46063.362662037027</v>
      </c>
      <c r="D530" s="55" t="s">
        <v>1142</v>
      </c>
      <c r="E530" s="58">
        <v>46063.383506944447</v>
      </c>
      <c r="F530" s="46" t="s">
        <v>1223</v>
      </c>
      <c r="G530" s="46" t="s">
        <v>1224</v>
      </c>
      <c r="H530" s="49">
        <v>5</v>
      </c>
    </row>
    <row r="531" spans="1:8" x14ac:dyDescent="0.3">
      <c r="A531" s="34">
        <v>530</v>
      </c>
      <c r="B531" s="46" t="s">
        <v>878</v>
      </c>
      <c r="C531" s="58">
        <v>46063.46634259259</v>
      </c>
      <c r="D531" s="55" t="s">
        <v>1142</v>
      </c>
      <c r="E531" s="58">
        <v>46063.487175925933</v>
      </c>
      <c r="F531" s="46" t="s">
        <v>1225</v>
      </c>
      <c r="G531" s="46" t="s">
        <v>660</v>
      </c>
      <c r="H531" s="49">
        <v>8</v>
      </c>
    </row>
    <row r="532" spans="1:8" x14ac:dyDescent="0.3">
      <c r="A532" s="34">
        <v>531</v>
      </c>
      <c r="B532" s="46" t="s">
        <v>1226</v>
      </c>
      <c r="C532" s="58">
        <v>46063.383622685193</v>
      </c>
      <c r="D532" s="55" t="s">
        <v>1142</v>
      </c>
      <c r="E532" s="58">
        <v>46063.404467592591</v>
      </c>
      <c r="F532" s="46" t="s">
        <v>1227</v>
      </c>
      <c r="G532" s="46" t="s">
        <v>809</v>
      </c>
      <c r="H532" s="49">
        <v>3</v>
      </c>
    </row>
    <row r="533" spans="1:8" x14ac:dyDescent="0.3">
      <c r="A533" s="34">
        <v>532</v>
      </c>
      <c r="B533" s="46" t="s">
        <v>1228</v>
      </c>
      <c r="C533" s="58">
        <v>46063.50277777778</v>
      </c>
      <c r="D533" s="55" t="s">
        <v>1142</v>
      </c>
      <c r="E533" s="58">
        <v>46063.523645833331</v>
      </c>
      <c r="F533" s="46" t="s">
        <v>1229</v>
      </c>
      <c r="G533" s="46" t="s">
        <v>1151</v>
      </c>
      <c r="H533" s="49">
        <v>4</v>
      </c>
    </row>
    <row r="534" spans="1:8" x14ac:dyDescent="0.3">
      <c r="A534" s="34">
        <v>533</v>
      </c>
      <c r="B534" s="46" t="s">
        <v>1230</v>
      </c>
      <c r="C534" s="58">
        <v>46064.472395833327</v>
      </c>
      <c r="D534" s="55" t="s">
        <v>1231</v>
      </c>
      <c r="E534" s="58">
        <v>46064.493252314824</v>
      </c>
      <c r="F534" s="46" t="s">
        <v>1232</v>
      </c>
      <c r="G534" s="46" t="s">
        <v>113</v>
      </c>
      <c r="H534" s="49">
        <v>3</v>
      </c>
    </row>
    <row r="535" spans="1:8" x14ac:dyDescent="0.3">
      <c r="A535" s="34">
        <v>534</v>
      </c>
      <c r="B535" s="46" t="s">
        <v>1233</v>
      </c>
      <c r="C535" s="58">
        <v>46064.59175925926</v>
      </c>
      <c r="D535" s="55" t="s">
        <v>1231</v>
      </c>
      <c r="E535" s="58">
        <v>46064.612627314818</v>
      </c>
      <c r="F535" s="46" t="s">
        <v>1234</v>
      </c>
      <c r="G535" s="46" t="s">
        <v>1235</v>
      </c>
      <c r="H535" s="49">
        <v>3</v>
      </c>
    </row>
    <row r="536" spans="1:8" x14ac:dyDescent="0.3">
      <c r="A536" s="34">
        <v>535</v>
      </c>
      <c r="B536" s="46" t="s">
        <v>1236</v>
      </c>
      <c r="C536" s="58">
        <v>46064.592534722222</v>
      </c>
      <c r="D536" s="55" t="s">
        <v>1231</v>
      </c>
      <c r="E536" s="58">
        <v>46064.613379629627</v>
      </c>
      <c r="F536" s="46" t="s">
        <v>1237</v>
      </c>
      <c r="G536" s="46" t="s">
        <v>1238</v>
      </c>
      <c r="H536" s="49">
        <v>3</v>
      </c>
    </row>
    <row r="537" spans="1:8" x14ac:dyDescent="0.3">
      <c r="A537" s="34">
        <v>536</v>
      </c>
      <c r="B537" s="46" t="s">
        <v>1149</v>
      </c>
      <c r="C537" s="58">
        <v>46064.43545138889</v>
      </c>
      <c r="D537" s="55" t="s">
        <v>1231</v>
      </c>
      <c r="E537" s="58">
        <v>46064.456319444442</v>
      </c>
      <c r="F537" s="46" t="s">
        <v>1239</v>
      </c>
      <c r="G537" s="46" t="s">
        <v>296</v>
      </c>
      <c r="H537" s="49">
        <v>3</v>
      </c>
    </row>
    <row r="538" spans="1:8" x14ac:dyDescent="0.3">
      <c r="A538" s="34">
        <v>537</v>
      </c>
      <c r="B538" s="46" t="s">
        <v>1240</v>
      </c>
      <c r="C538" s="58">
        <v>46064.290590277778</v>
      </c>
      <c r="D538" s="55" t="s">
        <v>1231</v>
      </c>
      <c r="E538" s="58">
        <v>46064.311469907407</v>
      </c>
      <c r="F538" s="46" t="s">
        <v>1241</v>
      </c>
      <c r="G538" s="46" t="s">
        <v>309</v>
      </c>
      <c r="H538" s="49">
        <v>5</v>
      </c>
    </row>
    <row r="539" spans="1:8" x14ac:dyDescent="0.3">
      <c r="A539" s="34">
        <v>538</v>
      </c>
      <c r="B539" s="46" t="s">
        <v>1082</v>
      </c>
      <c r="C539" s="58">
        <v>46064.297986111109</v>
      </c>
      <c r="D539" s="55" t="s">
        <v>1231</v>
      </c>
      <c r="E539" s="58">
        <v>46064.318842592591</v>
      </c>
      <c r="F539" s="46" t="s">
        <v>1242</v>
      </c>
      <c r="G539" s="46" t="s">
        <v>1243</v>
      </c>
      <c r="H539" s="49">
        <v>4</v>
      </c>
    </row>
    <row r="540" spans="1:8" x14ac:dyDescent="0.3">
      <c r="A540" s="34">
        <v>539</v>
      </c>
      <c r="B540" s="46" t="s">
        <v>1244</v>
      </c>
      <c r="C540" s="58">
        <v>46064.42863425926</v>
      </c>
      <c r="D540" s="55" t="s">
        <v>1231</v>
      </c>
      <c r="E540" s="58">
        <v>46064.449479166673</v>
      </c>
      <c r="F540" s="46" t="s">
        <v>1245</v>
      </c>
      <c r="G540" s="46" t="s">
        <v>1246</v>
      </c>
      <c r="H540" s="49">
        <v>3</v>
      </c>
    </row>
    <row r="541" spans="1:8" x14ac:dyDescent="0.3">
      <c r="A541" s="34">
        <v>540</v>
      </c>
      <c r="B541" s="46" t="s">
        <v>777</v>
      </c>
      <c r="C541" s="58">
        <v>46064.630069444444</v>
      </c>
      <c r="D541" s="55" t="s">
        <v>1231</v>
      </c>
      <c r="E541" s="58">
        <v>46064.650937500002</v>
      </c>
      <c r="F541" s="46" t="s">
        <v>1247</v>
      </c>
      <c r="G541" s="46" t="s">
        <v>1248</v>
      </c>
      <c r="H541" s="49">
        <v>3</v>
      </c>
    </row>
    <row r="542" spans="1:8" x14ac:dyDescent="0.3">
      <c r="A542" s="34">
        <v>541</v>
      </c>
      <c r="B542" s="46" t="s">
        <v>505</v>
      </c>
      <c r="C542" s="58">
        <v>46064.395057870373</v>
      </c>
      <c r="D542" s="55" t="s">
        <v>1231</v>
      </c>
      <c r="E542" s="58">
        <v>46064.415891203702</v>
      </c>
      <c r="F542" s="46" t="s">
        <v>1249</v>
      </c>
      <c r="G542" s="46" t="s">
        <v>183</v>
      </c>
      <c r="H542" s="49">
        <v>3</v>
      </c>
    </row>
    <row r="543" spans="1:8" x14ac:dyDescent="0.3">
      <c r="A543" s="34">
        <v>542</v>
      </c>
      <c r="B543" s="46" t="s">
        <v>1086</v>
      </c>
      <c r="C543" s="58">
        <v>46064.722129629627</v>
      </c>
      <c r="D543" s="55" t="s">
        <v>1231</v>
      </c>
      <c r="E543" s="58">
        <v>46064.742962962962</v>
      </c>
      <c r="F543" s="46" t="s">
        <v>1250</v>
      </c>
      <c r="G543" s="46" t="s">
        <v>660</v>
      </c>
      <c r="H543" s="49">
        <v>5</v>
      </c>
    </row>
    <row r="544" spans="1:8" x14ac:dyDescent="0.3">
      <c r="A544" s="34">
        <v>543</v>
      </c>
      <c r="B544" s="46" t="s">
        <v>51</v>
      </c>
      <c r="C544" s="58">
        <v>46064.578252314823</v>
      </c>
      <c r="D544" s="55" t="s">
        <v>1231</v>
      </c>
      <c r="E544" s="58">
        <v>46064.599131944437</v>
      </c>
      <c r="F544" s="46" t="s">
        <v>1251</v>
      </c>
      <c r="G544" s="46" t="s">
        <v>113</v>
      </c>
      <c r="H544" s="49">
        <v>4</v>
      </c>
    </row>
    <row r="545" spans="1:8" x14ac:dyDescent="0.3">
      <c r="A545" s="34">
        <v>544</v>
      </c>
      <c r="B545" s="46" t="s">
        <v>42</v>
      </c>
      <c r="C545" s="58">
        <v>46064.429745370369</v>
      </c>
      <c r="D545" s="55" t="s">
        <v>1231</v>
      </c>
      <c r="E545" s="58">
        <v>46064.450578703712</v>
      </c>
      <c r="F545" s="46" t="s">
        <v>1252</v>
      </c>
      <c r="G545" s="46" t="s">
        <v>442</v>
      </c>
      <c r="H545" s="49">
        <v>3</v>
      </c>
    </row>
    <row r="546" spans="1:8" x14ac:dyDescent="0.3">
      <c r="A546" s="34">
        <v>545</v>
      </c>
      <c r="B546" s="46" t="s">
        <v>1253</v>
      </c>
      <c r="C546" s="58">
        <v>46064.461527777778</v>
      </c>
      <c r="D546" s="55" t="s">
        <v>1231</v>
      </c>
      <c r="E546" s="58">
        <v>46064.487685185188</v>
      </c>
      <c r="F546" s="46" t="s">
        <v>1254</v>
      </c>
      <c r="G546" s="46" t="s">
        <v>1126</v>
      </c>
      <c r="H546" s="49">
        <v>3</v>
      </c>
    </row>
    <row r="547" spans="1:8" x14ac:dyDescent="0.3">
      <c r="A547" s="34">
        <v>546</v>
      </c>
      <c r="B547" s="46" t="s">
        <v>1255</v>
      </c>
      <c r="C547" s="58">
        <v>46064.340775462973</v>
      </c>
      <c r="D547" s="55" t="s">
        <v>1231</v>
      </c>
      <c r="E547" s="58">
        <v>46064.361608796287</v>
      </c>
      <c r="F547" s="46" t="s">
        <v>1256</v>
      </c>
      <c r="G547" s="46" t="s">
        <v>1257</v>
      </c>
      <c r="H547" s="49">
        <v>3</v>
      </c>
    </row>
    <row r="548" spans="1:8" x14ac:dyDescent="0.3">
      <c r="A548" s="34">
        <v>547</v>
      </c>
      <c r="B548" s="46" t="s">
        <v>531</v>
      </c>
      <c r="C548" s="58">
        <v>46064.579861111109</v>
      </c>
      <c r="D548" s="55" t="s">
        <v>1231</v>
      </c>
      <c r="E548" s="58">
        <v>46064.600694444453</v>
      </c>
      <c r="F548" s="46" t="s">
        <v>1258</v>
      </c>
      <c r="G548" s="46" t="s">
        <v>113</v>
      </c>
      <c r="H548" s="49">
        <v>3</v>
      </c>
    </row>
    <row r="549" spans="1:8" x14ac:dyDescent="0.3">
      <c r="A549" s="34">
        <v>548</v>
      </c>
      <c r="B549" s="46" t="s">
        <v>36</v>
      </c>
      <c r="C549" s="58">
        <v>46064.425937499997</v>
      </c>
      <c r="D549" s="55" t="s">
        <v>1231</v>
      </c>
      <c r="E549" s="58">
        <v>46064.446817129632</v>
      </c>
      <c r="F549" s="46" t="s">
        <v>1259</v>
      </c>
      <c r="G549" s="46" t="s">
        <v>1260</v>
      </c>
      <c r="H549" s="49">
        <v>3</v>
      </c>
    </row>
    <row r="550" spans="1:8" x14ac:dyDescent="0.3">
      <c r="A550" s="34">
        <v>549</v>
      </c>
      <c r="B550" s="46" t="s">
        <v>179</v>
      </c>
      <c r="C550" s="58">
        <v>46064.614189814813</v>
      </c>
      <c r="D550" s="55" t="s">
        <v>1231</v>
      </c>
      <c r="E550" s="58">
        <v>46064.635023148148</v>
      </c>
      <c r="F550" s="46" t="s">
        <v>1261</v>
      </c>
      <c r="G550" s="46" t="s">
        <v>1262</v>
      </c>
      <c r="H550" s="49">
        <v>3</v>
      </c>
    </row>
    <row r="551" spans="1:8" x14ac:dyDescent="0.3">
      <c r="A551" s="34">
        <v>550</v>
      </c>
      <c r="B551" s="46" t="s">
        <v>35</v>
      </c>
      <c r="C551" s="58">
        <v>46064.146643518521</v>
      </c>
      <c r="D551" s="55" t="s">
        <v>1231</v>
      </c>
      <c r="E551" s="58">
        <v>46064.167488425926</v>
      </c>
      <c r="F551" s="46" t="s">
        <v>1263</v>
      </c>
      <c r="G551" s="46" t="s">
        <v>1014</v>
      </c>
      <c r="H551" s="49">
        <v>8</v>
      </c>
    </row>
    <row r="552" spans="1:8" x14ac:dyDescent="0.3">
      <c r="A552" s="34">
        <v>551</v>
      </c>
      <c r="B552" s="46" t="s">
        <v>929</v>
      </c>
      <c r="C552" s="58">
        <v>46064.434351851851</v>
      </c>
      <c r="D552" s="55" t="s">
        <v>1231</v>
      </c>
      <c r="E552" s="58">
        <v>46064.45521990741</v>
      </c>
      <c r="F552" s="46" t="s">
        <v>1264</v>
      </c>
      <c r="G552" s="46" t="s">
        <v>861</v>
      </c>
      <c r="H552" s="49">
        <v>3</v>
      </c>
    </row>
    <row r="553" spans="1:8" x14ac:dyDescent="0.3">
      <c r="A553" s="34">
        <v>552</v>
      </c>
      <c r="B553" s="46" t="s">
        <v>823</v>
      </c>
      <c r="C553" s="58">
        <v>46064.331689814811</v>
      </c>
      <c r="D553" s="55" t="s">
        <v>1231</v>
      </c>
      <c r="E553" s="58">
        <v>46064.35255787037</v>
      </c>
      <c r="F553" s="46" t="s">
        <v>1265</v>
      </c>
      <c r="G553" s="46" t="s">
        <v>309</v>
      </c>
      <c r="H553" s="49">
        <v>3</v>
      </c>
    </row>
    <row r="554" spans="1:8" x14ac:dyDescent="0.3">
      <c r="A554" s="34">
        <v>553</v>
      </c>
      <c r="B554" s="46" t="s">
        <v>1266</v>
      </c>
      <c r="C554" s="58">
        <v>46064.430312500001</v>
      </c>
      <c r="D554" s="55" t="s">
        <v>1231</v>
      </c>
      <c r="E554" s="58">
        <v>46064.451168981483</v>
      </c>
      <c r="F554" s="46" t="s">
        <v>1267</v>
      </c>
      <c r="G554" s="46" t="s">
        <v>1260</v>
      </c>
      <c r="H554" s="49">
        <v>3</v>
      </c>
    </row>
    <row r="555" spans="1:8" x14ac:dyDescent="0.3">
      <c r="A555" s="34">
        <v>554</v>
      </c>
      <c r="B555" s="46" t="s">
        <v>830</v>
      </c>
      <c r="C555" s="58">
        <v>46064.330740740741</v>
      </c>
      <c r="D555" s="55" t="s">
        <v>1231</v>
      </c>
      <c r="E555" s="58">
        <v>46064.351574074077</v>
      </c>
      <c r="F555" s="46" t="s">
        <v>1268</v>
      </c>
      <c r="G555" s="46" t="s">
        <v>309</v>
      </c>
      <c r="H555" s="49">
        <v>3</v>
      </c>
    </row>
    <row r="556" spans="1:8" x14ac:dyDescent="0.3">
      <c r="A556" s="34">
        <v>555</v>
      </c>
      <c r="B556" s="46" t="s">
        <v>1269</v>
      </c>
      <c r="C556" s="58">
        <v>46064.591400462959</v>
      </c>
      <c r="D556" s="55" t="s">
        <v>1231</v>
      </c>
      <c r="E556" s="58">
        <v>46064.612291666657</v>
      </c>
      <c r="F556" s="46" t="s">
        <v>1270</v>
      </c>
      <c r="G556" s="46" t="s">
        <v>1271</v>
      </c>
      <c r="H556" s="49">
        <v>3</v>
      </c>
    </row>
    <row r="557" spans="1:8" x14ac:dyDescent="0.3">
      <c r="A557" s="34">
        <v>556</v>
      </c>
      <c r="B557" s="46" t="s">
        <v>1116</v>
      </c>
      <c r="C557" s="58">
        <v>46064.320023148153</v>
      </c>
      <c r="D557" s="55" t="s">
        <v>1231</v>
      </c>
      <c r="E557" s="58">
        <v>46064.340879629628</v>
      </c>
      <c r="F557" s="46" t="s">
        <v>1272</v>
      </c>
      <c r="G557" s="46" t="s">
        <v>104</v>
      </c>
      <c r="H557" s="49">
        <v>3</v>
      </c>
    </row>
    <row r="558" spans="1:8" x14ac:dyDescent="0.3">
      <c r="A558" s="34">
        <v>557</v>
      </c>
      <c r="B558" s="46" t="s">
        <v>1273</v>
      </c>
      <c r="C558" s="58">
        <v>46064.502002314817</v>
      </c>
      <c r="D558" s="55" t="s">
        <v>1231</v>
      </c>
      <c r="E558" s="58">
        <v>46064.522835648153</v>
      </c>
      <c r="F558" s="46" t="s">
        <v>1274</v>
      </c>
      <c r="G558" s="46" t="s">
        <v>113</v>
      </c>
      <c r="H558" s="49">
        <v>4</v>
      </c>
    </row>
    <row r="559" spans="1:8" x14ac:dyDescent="0.3">
      <c r="A559" s="34">
        <v>558</v>
      </c>
      <c r="B559" s="46" t="s">
        <v>840</v>
      </c>
      <c r="C559" s="58">
        <v>46064.402951388889</v>
      </c>
      <c r="D559" s="55" t="s">
        <v>1231</v>
      </c>
      <c r="E559" s="58">
        <v>46064.423796296287</v>
      </c>
      <c r="F559" s="46" t="s">
        <v>1275</v>
      </c>
      <c r="G559" s="46" t="s">
        <v>887</v>
      </c>
      <c r="H559" s="49">
        <v>3</v>
      </c>
    </row>
    <row r="560" spans="1:8" x14ac:dyDescent="0.3">
      <c r="A560" s="34">
        <v>559</v>
      </c>
      <c r="B560" s="46" t="s">
        <v>1276</v>
      </c>
      <c r="C560" s="58">
        <v>46064.591122685182</v>
      </c>
      <c r="D560" s="55" t="s">
        <v>1231</v>
      </c>
      <c r="E560" s="58">
        <v>46064.611990740741</v>
      </c>
      <c r="F560" s="46" t="s">
        <v>1277</v>
      </c>
      <c r="G560" s="46" t="s">
        <v>1278</v>
      </c>
      <c r="H560" s="49">
        <v>3</v>
      </c>
    </row>
    <row r="561" spans="1:8" x14ac:dyDescent="0.3">
      <c r="A561" s="34">
        <v>560</v>
      </c>
      <c r="B561" s="46" t="s">
        <v>1033</v>
      </c>
      <c r="C561" s="58">
        <v>46064.389097222222</v>
      </c>
      <c r="D561" s="55" t="s">
        <v>1231</v>
      </c>
      <c r="E561" s="58">
        <v>46064.409930555557</v>
      </c>
      <c r="F561" s="46" t="s">
        <v>1279</v>
      </c>
      <c r="G561" s="46" t="s">
        <v>183</v>
      </c>
      <c r="H561" s="49">
        <v>3</v>
      </c>
    </row>
    <row r="562" spans="1:8" x14ac:dyDescent="0.3">
      <c r="A562" s="34">
        <v>561</v>
      </c>
      <c r="B562" s="46" t="s">
        <v>853</v>
      </c>
      <c r="C562" s="58">
        <v>46064.531388888892</v>
      </c>
      <c r="D562" s="55" t="s">
        <v>1231</v>
      </c>
      <c r="E562" s="58">
        <v>46064.552233796298</v>
      </c>
      <c r="F562" s="46" t="s">
        <v>1280</v>
      </c>
      <c r="G562" s="46" t="s">
        <v>1121</v>
      </c>
      <c r="H562" s="49">
        <v>4</v>
      </c>
    </row>
    <row r="563" spans="1:8" x14ac:dyDescent="0.3">
      <c r="A563" s="34">
        <v>562</v>
      </c>
      <c r="B563" s="46" t="s">
        <v>1124</v>
      </c>
      <c r="C563" s="58">
        <v>46064.336712962962</v>
      </c>
      <c r="D563" s="55" t="s">
        <v>1231</v>
      </c>
      <c r="E563" s="58">
        <v>46064.357592592591</v>
      </c>
      <c r="F563" s="46" t="s">
        <v>1281</v>
      </c>
      <c r="G563" s="46" t="s">
        <v>242</v>
      </c>
      <c r="H563" s="49">
        <v>4</v>
      </c>
    </row>
    <row r="564" spans="1:8" x14ac:dyDescent="0.3">
      <c r="A564" s="34">
        <v>563</v>
      </c>
      <c r="B564" s="46" t="s">
        <v>468</v>
      </c>
      <c r="C564" s="58">
        <v>46064.456377314818</v>
      </c>
      <c r="D564" s="55" t="s">
        <v>1231</v>
      </c>
      <c r="E564" s="58">
        <v>46064.477256944447</v>
      </c>
      <c r="F564" s="46" t="s">
        <v>1282</v>
      </c>
      <c r="G564" s="46" t="s">
        <v>1283</v>
      </c>
      <c r="H564" s="49">
        <v>4</v>
      </c>
    </row>
    <row r="565" spans="1:8" x14ac:dyDescent="0.3">
      <c r="A565" s="34">
        <v>564</v>
      </c>
      <c r="B565" s="46" t="s">
        <v>1284</v>
      </c>
      <c r="C565" s="58">
        <v>46064.592245370368</v>
      </c>
      <c r="D565" s="55" t="s">
        <v>1231</v>
      </c>
      <c r="E565" s="58">
        <v>46064.61310185185</v>
      </c>
      <c r="F565" s="46" t="s">
        <v>1285</v>
      </c>
      <c r="G565" s="46" t="s">
        <v>1286</v>
      </c>
      <c r="H565" s="49">
        <v>3</v>
      </c>
    </row>
    <row r="566" spans="1:8" x14ac:dyDescent="0.3">
      <c r="A566" s="34">
        <v>565</v>
      </c>
      <c r="B566" s="46" t="s">
        <v>1134</v>
      </c>
      <c r="C566" s="58">
        <v>46064.301458333342</v>
      </c>
      <c r="D566" s="55" t="s">
        <v>1231</v>
      </c>
      <c r="E566" s="58">
        <v>46064.322326388887</v>
      </c>
      <c r="F566" s="46" t="s">
        <v>1287</v>
      </c>
      <c r="G566" s="46" t="s">
        <v>1288</v>
      </c>
      <c r="H566" s="49">
        <v>3</v>
      </c>
    </row>
    <row r="567" spans="1:8" x14ac:dyDescent="0.3">
      <c r="A567" s="34">
        <v>566</v>
      </c>
      <c r="B567" s="46" t="s">
        <v>891</v>
      </c>
      <c r="C567" s="58">
        <v>46064.337777777779</v>
      </c>
      <c r="D567" s="55" t="s">
        <v>1231</v>
      </c>
      <c r="E567" s="58">
        <v>46064.35864583333</v>
      </c>
      <c r="F567" s="46" t="s">
        <v>1289</v>
      </c>
      <c r="G567" s="46" t="s">
        <v>309</v>
      </c>
      <c r="H567" s="49">
        <v>3</v>
      </c>
    </row>
    <row r="568" spans="1:8" x14ac:dyDescent="0.3">
      <c r="A568" s="34">
        <v>567</v>
      </c>
      <c r="B568" s="46" t="s">
        <v>1290</v>
      </c>
      <c r="C568" s="58">
        <v>46065.698842592603</v>
      </c>
      <c r="D568" s="55" t="s">
        <v>1291</v>
      </c>
      <c r="E568" s="58">
        <v>46065.719722222217</v>
      </c>
      <c r="F568" s="46" t="s">
        <v>1292</v>
      </c>
      <c r="G568" s="46" t="s">
        <v>266</v>
      </c>
      <c r="H568" s="49">
        <v>4</v>
      </c>
    </row>
    <row r="569" spans="1:8" x14ac:dyDescent="0.3">
      <c r="A569" s="34">
        <v>568</v>
      </c>
      <c r="B569" s="46" t="s">
        <v>755</v>
      </c>
      <c r="C569" s="58">
        <v>46065.722662037027</v>
      </c>
      <c r="D569" s="55" t="s">
        <v>1291</v>
      </c>
      <c r="E569" s="58">
        <v>46065.743506944447</v>
      </c>
      <c r="F569" s="46" t="s">
        <v>1293</v>
      </c>
      <c r="G569" s="46" t="s">
        <v>183</v>
      </c>
      <c r="H569" s="49">
        <v>3</v>
      </c>
    </row>
    <row r="570" spans="1:8" x14ac:dyDescent="0.3">
      <c r="A570" s="34">
        <v>569</v>
      </c>
      <c r="B570" s="46" t="s">
        <v>1236</v>
      </c>
      <c r="C570" s="58">
        <v>46065.328773148147</v>
      </c>
      <c r="D570" s="55" t="s">
        <v>1291</v>
      </c>
      <c r="E570" s="58">
        <v>46065.349652777782</v>
      </c>
      <c r="F570" s="46" t="s">
        <v>1294</v>
      </c>
      <c r="G570" s="46" t="s">
        <v>1295</v>
      </c>
      <c r="H570" s="49">
        <v>5</v>
      </c>
    </row>
    <row r="571" spans="1:8" x14ac:dyDescent="0.3">
      <c r="A571" s="34">
        <v>570</v>
      </c>
      <c r="B571" s="46" t="s">
        <v>760</v>
      </c>
      <c r="C571" s="58">
        <v>46065.294259259259</v>
      </c>
      <c r="D571" s="55" t="s">
        <v>1291</v>
      </c>
      <c r="E571" s="58">
        <v>46065.315104166657</v>
      </c>
      <c r="F571" s="46" t="s">
        <v>1296</v>
      </c>
      <c r="G571" s="46" t="s">
        <v>1029</v>
      </c>
      <c r="H571" s="49">
        <v>5</v>
      </c>
    </row>
    <row r="572" spans="1:8" x14ac:dyDescent="0.3">
      <c r="A572" s="34">
        <v>571</v>
      </c>
      <c r="B572" s="46" t="s">
        <v>105</v>
      </c>
      <c r="C572" s="58">
        <v>46065.511342592603</v>
      </c>
      <c r="D572" s="55" t="s">
        <v>1291</v>
      </c>
      <c r="E572" s="58">
        <v>46065.532175925917</v>
      </c>
      <c r="F572" s="46" t="s">
        <v>1297</v>
      </c>
      <c r="G572" s="46" t="s">
        <v>1298</v>
      </c>
      <c r="H572" s="49">
        <v>3</v>
      </c>
    </row>
    <row r="573" spans="1:8" x14ac:dyDescent="0.3">
      <c r="A573" s="34">
        <v>572</v>
      </c>
      <c r="B573" s="46" t="s">
        <v>1299</v>
      </c>
      <c r="C573" s="58">
        <v>46065.476273148153</v>
      </c>
      <c r="D573" s="55" t="s">
        <v>1291</v>
      </c>
      <c r="E573" s="58">
        <v>46065.497141203698</v>
      </c>
      <c r="F573" s="46" t="s">
        <v>1300</v>
      </c>
      <c r="G573" s="46" t="s">
        <v>263</v>
      </c>
      <c r="H573" s="49">
        <v>3</v>
      </c>
    </row>
    <row r="574" spans="1:8" x14ac:dyDescent="0.3">
      <c r="A574" s="34">
        <v>573</v>
      </c>
      <c r="B574" s="46" t="s">
        <v>1301</v>
      </c>
      <c r="C574" s="58">
        <v>46065.708113425928</v>
      </c>
      <c r="D574" s="55" t="s">
        <v>1291</v>
      </c>
      <c r="E574" s="58">
        <v>46065.728958333333</v>
      </c>
      <c r="F574" s="46" t="s">
        <v>1302</v>
      </c>
      <c r="G574" s="46" t="s">
        <v>1303</v>
      </c>
      <c r="H574" s="49">
        <v>4</v>
      </c>
    </row>
    <row r="575" spans="1:8" x14ac:dyDescent="0.3">
      <c r="A575" s="34">
        <v>574</v>
      </c>
      <c r="B575" s="46" t="s">
        <v>768</v>
      </c>
      <c r="C575" s="58">
        <v>46065.722037037027</v>
      </c>
      <c r="D575" s="55" t="s">
        <v>1291</v>
      </c>
      <c r="E575" s="58">
        <v>46065.744143518517</v>
      </c>
      <c r="F575" s="46" t="s">
        <v>1304</v>
      </c>
      <c r="G575" s="46" t="s">
        <v>406</v>
      </c>
      <c r="H575" s="49">
        <v>3</v>
      </c>
    </row>
    <row r="576" spans="1:8" x14ac:dyDescent="0.3">
      <c r="A576" s="34">
        <v>575</v>
      </c>
      <c r="B576" s="46" t="s">
        <v>1305</v>
      </c>
      <c r="C576" s="58">
        <v>46065.390798611108</v>
      </c>
      <c r="D576" s="55" t="s">
        <v>1291</v>
      </c>
      <c r="E576" s="58">
        <v>46065.41165509259</v>
      </c>
      <c r="F576" s="46" t="s">
        <v>1306</v>
      </c>
      <c r="G576" s="46" t="s">
        <v>1307</v>
      </c>
      <c r="H576" s="49">
        <v>3</v>
      </c>
    </row>
    <row r="577" spans="1:8" x14ac:dyDescent="0.3">
      <c r="A577" s="34">
        <v>576</v>
      </c>
      <c r="B577" s="46" t="s">
        <v>1308</v>
      </c>
      <c r="C577" s="58">
        <v>46065.430185185192</v>
      </c>
      <c r="D577" s="55" t="s">
        <v>1291</v>
      </c>
      <c r="E577" s="58">
        <v>46065.451018518521</v>
      </c>
      <c r="F577" s="46" t="s">
        <v>1309</v>
      </c>
      <c r="G577" s="46" t="s">
        <v>113</v>
      </c>
      <c r="H577" s="49">
        <v>3</v>
      </c>
    </row>
    <row r="578" spans="1:8" x14ac:dyDescent="0.3">
      <c r="A578" s="34">
        <v>577</v>
      </c>
      <c r="B578" s="46" t="s">
        <v>512</v>
      </c>
      <c r="C578" s="58">
        <v>46065.43954861111</v>
      </c>
      <c r="D578" s="55" t="s">
        <v>1291</v>
      </c>
      <c r="E578" s="58">
        <v>46065.460428240738</v>
      </c>
      <c r="F578" s="46" t="s">
        <v>1310</v>
      </c>
      <c r="G578" s="46" t="s">
        <v>113</v>
      </c>
      <c r="H578" s="49">
        <v>3</v>
      </c>
    </row>
    <row r="579" spans="1:8" x14ac:dyDescent="0.3">
      <c r="A579" s="34">
        <v>578</v>
      </c>
      <c r="B579" s="46" t="s">
        <v>786</v>
      </c>
      <c r="C579" s="58">
        <v>46065.73741898148</v>
      </c>
      <c r="D579" s="55" t="s">
        <v>1291</v>
      </c>
      <c r="E579" s="58">
        <v>46065.758252314823</v>
      </c>
      <c r="F579" s="46" t="s">
        <v>1311</v>
      </c>
      <c r="G579" s="46" t="s">
        <v>304</v>
      </c>
      <c r="H579" s="49">
        <v>4</v>
      </c>
    </row>
    <row r="580" spans="1:8" x14ac:dyDescent="0.3">
      <c r="A580" s="34">
        <v>579</v>
      </c>
      <c r="B580" s="46" t="s">
        <v>1312</v>
      </c>
      <c r="C580" s="58">
        <v>46065.641550925917</v>
      </c>
      <c r="D580" s="55" t="s">
        <v>1291</v>
      </c>
      <c r="E580" s="58">
        <v>46065.662407407413</v>
      </c>
      <c r="F580" s="46" t="s">
        <v>1313</v>
      </c>
      <c r="G580" s="46" t="s">
        <v>266</v>
      </c>
      <c r="H580" s="49">
        <v>5</v>
      </c>
    </row>
    <row r="581" spans="1:8" x14ac:dyDescent="0.3">
      <c r="A581" s="34">
        <v>580</v>
      </c>
      <c r="B581" s="46" t="s">
        <v>61</v>
      </c>
      <c r="C581" s="58">
        <v>46065.631736111107</v>
      </c>
      <c r="D581" s="55" t="s">
        <v>1291</v>
      </c>
      <c r="E581" s="58">
        <v>46065.652604166673</v>
      </c>
      <c r="F581" s="46" t="s">
        <v>1314</v>
      </c>
      <c r="G581" s="46" t="s">
        <v>1315</v>
      </c>
      <c r="H581" s="49">
        <v>3</v>
      </c>
    </row>
    <row r="582" spans="1:8" x14ac:dyDescent="0.3">
      <c r="A582" s="34">
        <v>581</v>
      </c>
      <c r="B582" s="46" t="s">
        <v>1316</v>
      </c>
      <c r="C582" s="58">
        <v>46065.416562500002</v>
      </c>
      <c r="D582" s="55" t="s">
        <v>1291</v>
      </c>
      <c r="E582" s="58">
        <v>46065.450532407413</v>
      </c>
      <c r="F582" s="46" t="s">
        <v>1317</v>
      </c>
      <c r="G582" s="46" t="s">
        <v>1307</v>
      </c>
      <c r="H582" s="49">
        <v>3</v>
      </c>
    </row>
    <row r="583" spans="1:8" x14ac:dyDescent="0.3">
      <c r="A583" s="34">
        <v>582</v>
      </c>
      <c r="B583" s="46" t="s">
        <v>1167</v>
      </c>
      <c r="C583" s="58">
        <v>46065.38790509259</v>
      </c>
      <c r="D583" s="55" t="s">
        <v>1291</v>
      </c>
      <c r="E583" s="58">
        <v>46065.408761574072</v>
      </c>
      <c r="F583" s="46" t="s">
        <v>1318</v>
      </c>
      <c r="G583" s="46" t="s">
        <v>1257</v>
      </c>
      <c r="H583" s="49">
        <v>3</v>
      </c>
    </row>
    <row r="584" spans="1:8" x14ac:dyDescent="0.3">
      <c r="A584" s="34">
        <v>583</v>
      </c>
      <c r="B584" s="46" t="s">
        <v>1319</v>
      </c>
      <c r="C584" s="58">
        <v>46065.433749999997</v>
      </c>
      <c r="D584" s="55" t="s">
        <v>1291</v>
      </c>
      <c r="E584" s="58">
        <v>46065.454618055563</v>
      </c>
      <c r="F584" s="46" t="s">
        <v>1320</v>
      </c>
      <c r="G584" s="46" t="s">
        <v>1307</v>
      </c>
      <c r="H584" s="49">
        <v>4</v>
      </c>
    </row>
    <row r="585" spans="1:8" x14ac:dyDescent="0.3">
      <c r="A585" s="34">
        <v>584</v>
      </c>
      <c r="B585" s="46" t="s">
        <v>924</v>
      </c>
      <c r="C585" s="58">
        <v>46065.731111111112</v>
      </c>
      <c r="D585" s="55" t="s">
        <v>1291</v>
      </c>
      <c r="E585" s="58">
        <v>46065.751979166656</v>
      </c>
      <c r="F585" s="46" t="s">
        <v>1321</v>
      </c>
      <c r="G585" s="46" t="s">
        <v>309</v>
      </c>
      <c r="H585" s="49">
        <v>3</v>
      </c>
    </row>
    <row r="586" spans="1:8" x14ac:dyDescent="0.3">
      <c r="A586" s="34">
        <v>585</v>
      </c>
      <c r="B586" s="46" t="s">
        <v>181</v>
      </c>
      <c r="C586" s="58">
        <v>46065.343622685177</v>
      </c>
      <c r="D586" s="55" t="s">
        <v>1291</v>
      </c>
      <c r="E586" s="58">
        <v>46065.364479166667</v>
      </c>
      <c r="F586" s="46" t="s">
        <v>1322</v>
      </c>
      <c r="G586" s="46" t="s">
        <v>1323</v>
      </c>
      <c r="H586" s="49">
        <v>3</v>
      </c>
    </row>
    <row r="587" spans="1:8" x14ac:dyDescent="0.3">
      <c r="A587" s="34">
        <v>586</v>
      </c>
      <c r="B587" s="46" t="s">
        <v>35</v>
      </c>
      <c r="C587" s="58">
        <v>46065.012777777767</v>
      </c>
      <c r="D587" s="55" t="s">
        <v>1291</v>
      </c>
      <c r="E587" s="58">
        <v>46065.03361111111</v>
      </c>
      <c r="F587" s="46" t="s">
        <v>1324</v>
      </c>
      <c r="G587" s="46" t="s">
        <v>1014</v>
      </c>
      <c r="H587" s="49">
        <v>7</v>
      </c>
    </row>
    <row r="588" spans="1:8" x14ac:dyDescent="0.3">
      <c r="A588" s="34">
        <v>587</v>
      </c>
      <c r="B588" s="46" t="s">
        <v>1181</v>
      </c>
      <c r="C588" s="58">
        <v>46065.318773148138</v>
      </c>
      <c r="D588" s="55" t="s">
        <v>1291</v>
      </c>
      <c r="E588" s="58">
        <v>46065.339641203696</v>
      </c>
      <c r="F588" s="46" t="s">
        <v>1325</v>
      </c>
      <c r="G588" s="46" t="s">
        <v>242</v>
      </c>
      <c r="H588" s="49">
        <v>3</v>
      </c>
    </row>
    <row r="589" spans="1:8" x14ac:dyDescent="0.3">
      <c r="A589" s="34">
        <v>588</v>
      </c>
      <c r="B589" s="46" t="s">
        <v>1326</v>
      </c>
      <c r="C589" s="58">
        <v>46065.605312500003</v>
      </c>
      <c r="D589" s="55" t="s">
        <v>1291</v>
      </c>
      <c r="E589" s="58">
        <v>46065.626168981478</v>
      </c>
      <c r="F589" s="46" t="s">
        <v>1327</v>
      </c>
      <c r="G589" s="46" t="s">
        <v>296</v>
      </c>
      <c r="H589" s="49">
        <v>3</v>
      </c>
    </row>
    <row r="590" spans="1:8" x14ac:dyDescent="0.3">
      <c r="A590" s="34">
        <v>589</v>
      </c>
      <c r="B590" s="46" t="s">
        <v>199</v>
      </c>
      <c r="C590" s="58">
        <v>46065.510254629633</v>
      </c>
      <c r="D590" s="55" t="s">
        <v>1291</v>
      </c>
      <c r="E590" s="58">
        <v>46065.531134259261</v>
      </c>
      <c r="F590" s="46" t="s">
        <v>1328</v>
      </c>
      <c r="G590" s="46" t="s">
        <v>1329</v>
      </c>
      <c r="H590" s="49">
        <v>3</v>
      </c>
    </row>
    <row r="591" spans="1:8" x14ac:dyDescent="0.3">
      <c r="A591" s="34">
        <v>590</v>
      </c>
      <c r="B591" s="46" t="s">
        <v>202</v>
      </c>
      <c r="C591" s="58">
        <v>46065.416550925933</v>
      </c>
      <c r="D591" s="55" t="s">
        <v>1291</v>
      </c>
      <c r="E591" s="58">
        <v>46065.458449074067</v>
      </c>
      <c r="F591" s="46" t="s">
        <v>1330</v>
      </c>
      <c r="G591" s="46" t="s">
        <v>1307</v>
      </c>
      <c r="H591" s="49">
        <v>3</v>
      </c>
    </row>
    <row r="592" spans="1:8" x14ac:dyDescent="0.3">
      <c r="A592" s="34">
        <v>591</v>
      </c>
      <c r="B592" s="46" t="s">
        <v>823</v>
      </c>
      <c r="C592" s="58">
        <v>46065.413518518522</v>
      </c>
      <c r="D592" s="55" t="s">
        <v>1291</v>
      </c>
      <c r="E592" s="58">
        <v>46065.434374999997</v>
      </c>
      <c r="F592" s="46" t="s">
        <v>1331</v>
      </c>
      <c r="G592" s="46" t="s">
        <v>266</v>
      </c>
      <c r="H592" s="49">
        <v>3</v>
      </c>
    </row>
    <row r="593" spans="1:8" x14ac:dyDescent="0.3">
      <c r="A593" s="34">
        <v>592</v>
      </c>
      <c r="B593" s="46" t="s">
        <v>694</v>
      </c>
      <c r="C593" s="58">
        <v>46065.479907407411</v>
      </c>
      <c r="D593" s="55" t="s">
        <v>1291</v>
      </c>
      <c r="E593" s="58">
        <v>46065.500787037039</v>
      </c>
      <c r="F593" s="46" t="s">
        <v>1332</v>
      </c>
      <c r="G593" s="46" t="s">
        <v>185</v>
      </c>
      <c r="H593" s="49">
        <v>3</v>
      </c>
    </row>
    <row r="594" spans="1:8" x14ac:dyDescent="0.3">
      <c r="A594" s="34">
        <v>593</v>
      </c>
      <c r="B594" s="46" t="s">
        <v>1333</v>
      </c>
      <c r="C594" s="58">
        <v>46065.375601851847</v>
      </c>
      <c r="D594" s="55" t="s">
        <v>1291</v>
      </c>
      <c r="E594" s="58">
        <v>46065.396469907413</v>
      </c>
      <c r="F594" s="46" t="s">
        <v>1334</v>
      </c>
      <c r="G594" s="46" t="s">
        <v>1335</v>
      </c>
      <c r="H594" s="49">
        <v>4</v>
      </c>
    </row>
    <row r="595" spans="1:8" x14ac:dyDescent="0.3">
      <c r="A595" s="34">
        <v>594</v>
      </c>
      <c r="B595" s="46" t="s">
        <v>1336</v>
      </c>
      <c r="C595" s="58">
        <v>46065.372766203713</v>
      </c>
      <c r="D595" s="55" t="s">
        <v>1291</v>
      </c>
      <c r="E595" s="58">
        <v>46065.39366898148</v>
      </c>
      <c r="F595" s="46" t="s">
        <v>1337</v>
      </c>
      <c r="G595" s="46" t="s">
        <v>1338</v>
      </c>
      <c r="H595" s="49">
        <v>3</v>
      </c>
    </row>
    <row r="596" spans="1:8" x14ac:dyDescent="0.3">
      <c r="A596" s="34">
        <v>595</v>
      </c>
      <c r="B596" s="46" t="s">
        <v>835</v>
      </c>
      <c r="C596" s="58">
        <v>46065.683229166672</v>
      </c>
      <c r="D596" s="55" t="s">
        <v>1291</v>
      </c>
      <c r="E596" s="58">
        <v>46065.704108796293</v>
      </c>
      <c r="F596" s="46" t="s">
        <v>1339</v>
      </c>
      <c r="G596" s="46" t="s">
        <v>1340</v>
      </c>
      <c r="H596" s="49">
        <v>3</v>
      </c>
    </row>
    <row r="597" spans="1:8" x14ac:dyDescent="0.3">
      <c r="A597" s="34">
        <v>596</v>
      </c>
      <c r="B597" s="46" t="s">
        <v>1269</v>
      </c>
      <c r="C597" s="58">
        <v>46065.328553240739</v>
      </c>
      <c r="D597" s="55" t="s">
        <v>1291</v>
      </c>
      <c r="E597" s="58">
        <v>46065.349432870367</v>
      </c>
      <c r="F597" s="46" t="s">
        <v>1341</v>
      </c>
      <c r="G597" s="46" t="s">
        <v>1342</v>
      </c>
      <c r="H597" s="49">
        <v>3</v>
      </c>
    </row>
    <row r="598" spans="1:8" x14ac:dyDescent="0.3">
      <c r="A598" s="34">
        <v>597</v>
      </c>
      <c r="B598" s="46" t="s">
        <v>1276</v>
      </c>
      <c r="C598" s="58">
        <v>46065.350983796299</v>
      </c>
      <c r="D598" s="55" t="s">
        <v>1291</v>
      </c>
      <c r="E598" s="58">
        <v>46065.371851851851</v>
      </c>
      <c r="F598" s="46" t="s">
        <v>1343</v>
      </c>
      <c r="G598" s="46" t="s">
        <v>1344</v>
      </c>
      <c r="H598" s="49">
        <v>4</v>
      </c>
    </row>
    <row r="599" spans="1:8" x14ac:dyDescent="0.3">
      <c r="A599" s="34">
        <v>598</v>
      </c>
      <c r="B599" s="46" t="s">
        <v>40</v>
      </c>
      <c r="C599" s="58">
        <v>46065.417002314818</v>
      </c>
      <c r="D599" s="55" t="s">
        <v>1291</v>
      </c>
      <c r="E599" s="58">
        <v>46065.43787037037</v>
      </c>
      <c r="F599" s="46" t="s">
        <v>1345</v>
      </c>
      <c r="G599" s="46" t="s">
        <v>1307</v>
      </c>
      <c r="H599" s="49">
        <v>3</v>
      </c>
    </row>
    <row r="600" spans="1:8" x14ac:dyDescent="0.3">
      <c r="A600" s="34">
        <v>599</v>
      </c>
      <c r="B600" s="46" t="s">
        <v>1346</v>
      </c>
      <c r="C600" s="58">
        <v>46065.359513888892</v>
      </c>
      <c r="D600" s="55" t="s">
        <v>1291</v>
      </c>
      <c r="E600" s="58">
        <v>46065.380381944437</v>
      </c>
      <c r="F600" s="46" t="s">
        <v>1347</v>
      </c>
      <c r="G600" s="46" t="s">
        <v>323</v>
      </c>
      <c r="H600" s="49">
        <v>3</v>
      </c>
    </row>
    <row r="601" spans="1:8" x14ac:dyDescent="0.3">
      <c r="A601" s="34">
        <v>600</v>
      </c>
      <c r="B601" s="46" t="s">
        <v>1348</v>
      </c>
      <c r="C601" s="58">
        <v>46065.489421296297</v>
      </c>
      <c r="D601" s="55" t="s">
        <v>1291</v>
      </c>
      <c r="E601" s="58">
        <v>46065.510266203702</v>
      </c>
      <c r="F601" s="46" t="s">
        <v>1349</v>
      </c>
      <c r="G601" s="46" t="s">
        <v>1350</v>
      </c>
      <c r="H601" s="49">
        <v>3</v>
      </c>
    </row>
    <row r="602" spans="1:8" x14ac:dyDescent="0.3">
      <c r="A602" s="34">
        <v>601</v>
      </c>
      <c r="B602" s="46" t="s">
        <v>261</v>
      </c>
      <c r="C602" s="58">
        <v>46065.680162037039</v>
      </c>
      <c r="D602" s="55" t="s">
        <v>1291</v>
      </c>
      <c r="E602" s="58">
        <v>46065.70103009259</v>
      </c>
      <c r="F602" s="46" t="s">
        <v>1351</v>
      </c>
      <c r="G602" s="46" t="s">
        <v>1340</v>
      </c>
      <c r="H602" s="49">
        <v>3</v>
      </c>
    </row>
    <row r="603" spans="1:8" x14ac:dyDescent="0.3">
      <c r="A603" s="34">
        <v>602</v>
      </c>
      <c r="B603" s="46" t="s">
        <v>868</v>
      </c>
      <c r="C603" s="58">
        <v>46065.268587962957</v>
      </c>
      <c r="D603" s="55" t="s">
        <v>1291</v>
      </c>
      <c r="E603" s="58">
        <v>46065.28943287037</v>
      </c>
      <c r="F603" s="46" t="s">
        <v>1352</v>
      </c>
      <c r="G603" s="46" t="s">
        <v>1353</v>
      </c>
      <c r="H603" s="49">
        <v>5</v>
      </c>
    </row>
    <row r="604" spans="1:8" x14ac:dyDescent="0.3">
      <c r="A604" s="34">
        <v>603</v>
      </c>
      <c r="B604" s="46" t="s">
        <v>1284</v>
      </c>
      <c r="C604" s="58">
        <v>46065.35359953704</v>
      </c>
      <c r="D604" s="55" t="s">
        <v>1291</v>
      </c>
      <c r="E604" s="58">
        <v>46065.374467592592</v>
      </c>
      <c r="F604" s="46" t="s">
        <v>1354</v>
      </c>
      <c r="G604" s="46" t="s">
        <v>1355</v>
      </c>
      <c r="H604" s="49">
        <v>4</v>
      </c>
    </row>
    <row r="605" spans="1:8" x14ac:dyDescent="0.3">
      <c r="A605" s="34">
        <v>604</v>
      </c>
      <c r="B605" s="46" t="s">
        <v>275</v>
      </c>
      <c r="C605" s="58">
        <v>46065.513032407413</v>
      </c>
      <c r="D605" s="55" t="s">
        <v>1291</v>
      </c>
      <c r="E605" s="58">
        <v>46065.533912037034</v>
      </c>
      <c r="F605" s="46" t="s">
        <v>1356</v>
      </c>
      <c r="G605" s="46" t="s">
        <v>1357</v>
      </c>
      <c r="H605" s="49">
        <v>3</v>
      </c>
    </row>
    <row r="606" spans="1:8" x14ac:dyDescent="0.3">
      <c r="A606" s="34">
        <v>605</v>
      </c>
      <c r="B606" s="46" t="s">
        <v>891</v>
      </c>
      <c r="C606" s="58">
        <v>46065.395497685182</v>
      </c>
      <c r="D606" s="55" t="s">
        <v>1291</v>
      </c>
      <c r="E606" s="58">
        <v>46065.416377314818</v>
      </c>
      <c r="F606" s="46" t="s">
        <v>1358</v>
      </c>
      <c r="G606" s="46" t="s">
        <v>266</v>
      </c>
      <c r="H606" s="49">
        <v>3</v>
      </c>
    </row>
    <row r="607" spans="1:8" x14ac:dyDescent="0.3">
      <c r="A607" s="34">
        <v>606</v>
      </c>
      <c r="B607" s="46" t="s">
        <v>1359</v>
      </c>
      <c r="C607" s="58">
        <v>46066.421840277777</v>
      </c>
      <c r="D607" s="55" t="s">
        <v>1360</v>
      </c>
      <c r="E607" s="58">
        <v>46066.442696759259</v>
      </c>
      <c r="F607" s="46" t="s">
        <v>1361</v>
      </c>
      <c r="G607" s="46" t="s">
        <v>1362</v>
      </c>
      <c r="H607" s="49">
        <v>3</v>
      </c>
    </row>
    <row r="608" spans="1:8" x14ac:dyDescent="0.3">
      <c r="A608" s="34">
        <v>607</v>
      </c>
      <c r="B608" s="46" t="s">
        <v>1240</v>
      </c>
      <c r="C608" s="58">
        <v>46066.700358796297</v>
      </c>
      <c r="D608" s="55" t="s">
        <v>1360</v>
      </c>
      <c r="E608" s="58">
        <v>46066.721192129633</v>
      </c>
      <c r="F608" s="46" t="s">
        <v>1363</v>
      </c>
      <c r="G608" s="46" t="s">
        <v>1364</v>
      </c>
      <c r="H608" s="49">
        <v>3</v>
      </c>
    </row>
    <row r="609" spans="1:8" x14ac:dyDescent="0.3">
      <c r="A609" s="34">
        <v>608</v>
      </c>
      <c r="B609" s="46" t="s">
        <v>760</v>
      </c>
      <c r="C609" s="58">
        <v>46066.305034722223</v>
      </c>
      <c r="D609" s="55" t="s">
        <v>1360</v>
      </c>
      <c r="E609" s="58">
        <v>46066.325891203713</v>
      </c>
      <c r="F609" s="46" t="s">
        <v>1365</v>
      </c>
      <c r="G609" s="46" t="s">
        <v>973</v>
      </c>
      <c r="H609" s="49">
        <v>3</v>
      </c>
    </row>
    <row r="610" spans="1:8" x14ac:dyDescent="0.3">
      <c r="A610" s="34">
        <v>609</v>
      </c>
      <c r="B610" s="46" t="s">
        <v>1301</v>
      </c>
      <c r="C610" s="58">
        <v>46066.415046296293</v>
      </c>
      <c r="D610" s="55" t="s">
        <v>1360</v>
      </c>
      <c r="E610" s="58">
        <v>46066.435879629629</v>
      </c>
      <c r="F610" s="46" t="s">
        <v>1366</v>
      </c>
      <c r="G610" s="46" t="s">
        <v>1367</v>
      </c>
      <c r="H610" s="49">
        <v>3</v>
      </c>
    </row>
    <row r="611" spans="1:8" x14ac:dyDescent="0.3">
      <c r="A611" s="34">
        <v>610</v>
      </c>
      <c r="B611" s="46" t="s">
        <v>1305</v>
      </c>
      <c r="C611" s="58">
        <v>46066.570254629631</v>
      </c>
      <c r="D611" s="55" t="s">
        <v>1360</v>
      </c>
      <c r="E611" s="58">
        <v>46066.591087962966</v>
      </c>
      <c r="F611" s="46" t="s">
        <v>1368</v>
      </c>
      <c r="G611" s="46" t="s">
        <v>1369</v>
      </c>
      <c r="H611" s="49">
        <v>3</v>
      </c>
    </row>
    <row r="612" spans="1:8" x14ac:dyDescent="0.3">
      <c r="A612" s="34">
        <v>611</v>
      </c>
      <c r="B612" s="46" t="s">
        <v>512</v>
      </c>
      <c r="C612" s="58">
        <v>46066.345914351848</v>
      </c>
      <c r="D612" s="55" t="s">
        <v>1360</v>
      </c>
      <c r="E612" s="58">
        <v>46066.366759259261</v>
      </c>
      <c r="F612" s="46" t="s">
        <v>1370</v>
      </c>
      <c r="G612" s="46" t="s">
        <v>1371</v>
      </c>
      <c r="H612" s="49">
        <v>3</v>
      </c>
    </row>
    <row r="613" spans="1:8" x14ac:dyDescent="0.3">
      <c r="A613" s="34">
        <v>612</v>
      </c>
      <c r="B613" s="46" t="s">
        <v>1372</v>
      </c>
      <c r="C613" s="58">
        <v>46066.507164351853</v>
      </c>
      <c r="D613" s="55" t="s">
        <v>1360</v>
      </c>
      <c r="E613" s="58">
        <v>46066.528009259258</v>
      </c>
      <c r="F613" s="46" t="s">
        <v>1373</v>
      </c>
      <c r="G613" s="46" t="s">
        <v>1374</v>
      </c>
      <c r="H613" s="49">
        <v>3</v>
      </c>
    </row>
    <row r="614" spans="1:8" x14ac:dyDescent="0.3">
      <c r="A614" s="34">
        <v>613</v>
      </c>
      <c r="B614" s="46" t="s">
        <v>130</v>
      </c>
      <c r="C614" s="58">
        <v>46066.373703703714</v>
      </c>
      <c r="D614" s="55" t="s">
        <v>1360</v>
      </c>
      <c r="E614" s="58">
        <v>46066.394571759258</v>
      </c>
      <c r="F614" s="46" t="s">
        <v>1375</v>
      </c>
      <c r="G614" s="46" t="s">
        <v>1376</v>
      </c>
      <c r="H614" s="49">
        <v>3</v>
      </c>
    </row>
    <row r="615" spans="1:8" x14ac:dyDescent="0.3">
      <c r="A615" s="34">
        <v>614</v>
      </c>
      <c r="B615" s="46" t="s">
        <v>794</v>
      </c>
      <c r="C615" s="58">
        <v>46066.689120370371</v>
      </c>
      <c r="D615" s="55" t="s">
        <v>1360</v>
      </c>
      <c r="E615" s="58">
        <v>46066.71</v>
      </c>
      <c r="F615" s="46" t="s">
        <v>1377</v>
      </c>
      <c r="G615" s="46" t="s">
        <v>1378</v>
      </c>
      <c r="H615" s="49">
        <v>4</v>
      </c>
    </row>
    <row r="616" spans="1:8" x14ac:dyDescent="0.3">
      <c r="A616" s="34">
        <v>615</v>
      </c>
      <c r="B616" s="46" t="s">
        <v>1379</v>
      </c>
      <c r="C616" s="58">
        <v>46066.338171296287</v>
      </c>
      <c r="D616" s="55" t="s">
        <v>1360</v>
      </c>
      <c r="E616" s="58">
        <v>46066.359016203707</v>
      </c>
      <c r="F616" s="46" t="s">
        <v>1380</v>
      </c>
      <c r="G616" s="46" t="s">
        <v>1121</v>
      </c>
      <c r="H616" s="49">
        <v>3</v>
      </c>
    </row>
    <row r="617" spans="1:8" x14ac:dyDescent="0.3">
      <c r="A617" s="34">
        <v>616</v>
      </c>
      <c r="B617" s="46" t="s">
        <v>152</v>
      </c>
      <c r="C617" s="58">
        <v>46066.501770833333</v>
      </c>
      <c r="D617" s="55" t="s">
        <v>1360</v>
      </c>
      <c r="E617" s="58">
        <v>46066.522615740738</v>
      </c>
      <c r="F617" s="46" t="s">
        <v>1381</v>
      </c>
      <c r="G617" s="46" t="s">
        <v>1382</v>
      </c>
      <c r="H617" s="49">
        <v>3</v>
      </c>
    </row>
    <row r="618" spans="1:8" x14ac:dyDescent="0.3">
      <c r="A618" s="34">
        <v>617</v>
      </c>
      <c r="B618" s="46" t="s">
        <v>35</v>
      </c>
      <c r="C618" s="58">
        <v>46066.080208333333</v>
      </c>
      <c r="D618" s="55" t="s">
        <v>1360</v>
      </c>
      <c r="E618" s="58">
        <v>46066.101087962961</v>
      </c>
      <c r="F618" s="46" t="s">
        <v>1383</v>
      </c>
      <c r="G618" s="46" t="s">
        <v>1014</v>
      </c>
      <c r="H618" s="49">
        <v>8</v>
      </c>
    </row>
    <row r="619" spans="1:8" x14ac:dyDescent="0.3">
      <c r="A619" s="34">
        <v>618</v>
      </c>
      <c r="B619" s="46" t="s">
        <v>1384</v>
      </c>
      <c r="C619" s="58">
        <v>46066.427789351852</v>
      </c>
      <c r="D619" s="55" t="s">
        <v>1360</v>
      </c>
      <c r="E619" s="58">
        <v>46066.448645833327</v>
      </c>
      <c r="F619" s="46" t="s">
        <v>1385</v>
      </c>
      <c r="G619" s="46" t="s">
        <v>1386</v>
      </c>
      <c r="H619" s="49">
        <v>4</v>
      </c>
    </row>
    <row r="620" spans="1:8" x14ac:dyDescent="0.3">
      <c r="A620" s="34">
        <v>619</v>
      </c>
      <c r="B620" s="46" t="s">
        <v>344</v>
      </c>
      <c r="C620" s="58">
        <v>46066.312442129631</v>
      </c>
      <c r="D620" s="55" t="s">
        <v>1360</v>
      </c>
      <c r="E620" s="58">
        <v>46066.333321759259</v>
      </c>
      <c r="F620" s="46" t="s">
        <v>1387</v>
      </c>
      <c r="G620" s="46" t="s">
        <v>1388</v>
      </c>
      <c r="H620" s="49">
        <v>3</v>
      </c>
    </row>
    <row r="621" spans="1:8" x14ac:dyDescent="0.3">
      <c r="A621" s="34">
        <v>620</v>
      </c>
      <c r="B621" s="46" t="s">
        <v>1389</v>
      </c>
      <c r="C621" s="58">
        <v>46066.420069444437</v>
      </c>
      <c r="D621" s="55" t="s">
        <v>1360</v>
      </c>
      <c r="E621" s="58">
        <v>46066.440949074073</v>
      </c>
      <c r="F621" s="46" t="s">
        <v>1390</v>
      </c>
      <c r="G621" s="46" t="s">
        <v>1391</v>
      </c>
      <c r="H621" s="49">
        <v>3</v>
      </c>
    </row>
    <row r="622" spans="1:8" x14ac:dyDescent="0.3">
      <c r="A622" s="34">
        <v>621</v>
      </c>
      <c r="B622" s="46" t="s">
        <v>838</v>
      </c>
      <c r="C622" s="58">
        <v>46066.690729166658</v>
      </c>
      <c r="D622" s="55" t="s">
        <v>1360</v>
      </c>
      <c r="E622" s="58">
        <v>46066.711562500001</v>
      </c>
      <c r="F622" s="46" t="s">
        <v>1392</v>
      </c>
      <c r="G622" s="46" t="s">
        <v>1393</v>
      </c>
      <c r="H622" s="49">
        <v>3</v>
      </c>
    </row>
    <row r="623" spans="1:8" x14ac:dyDescent="0.3">
      <c r="A623" s="34">
        <v>622</v>
      </c>
      <c r="B623" s="46" t="s">
        <v>1394</v>
      </c>
      <c r="C623" s="58">
        <v>46066.325416666667</v>
      </c>
      <c r="D623" s="55" t="s">
        <v>1360</v>
      </c>
      <c r="E623" s="58">
        <v>46066.346273148149</v>
      </c>
      <c r="F623" s="46" t="s">
        <v>1395</v>
      </c>
      <c r="G623" s="46" t="s">
        <v>558</v>
      </c>
      <c r="H623" s="49">
        <v>3</v>
      </c>
    </row>
    <row r="624" spans="1:8" x14ac:dyDescent="0.3">
      <c r="A624" s="34">
        <v>623</v>
      </c>
      <c r="B624" s="46" t="s">
        <v>1396</v>
      </c>
      <c r="C624" s="58">
        <v>46066.576643518521</v>
      </c>
      <c r="D624" s="55" t="s">
        <v>1360</v>
      </c>
      <c r="E624" s="58">
        <v>46066.597557870373</v>
      </c>
      <c r="F624" s="46" t="s">
        <v>1397</v>
      </c>
      <c r="G624" s="46" t="s">
        <v>1398</v>
      </c>
      <c r="H624" s="49">
        <v>3</v>
      </c>
    </row>
    <row r="625" spans="1:8" x14ac:dyDescent="0.3">
      <c r="A625" s="34">
        <v>624</v>
      </c>
      <c r="B625" s="46" t="s">
        <v>1399</v>
      </c>
      <c r="C625" s="58">
        <v>46066.447025462963</v>
      </c>
      <c r="D625" s="55" t="s">
        <v>1360</v>
      </c>
      <c r="E625" s="58">
        <v>46066.467905092592</v>
      </c>
      <c r="F625" s="46" t="s">
        <v>1400</v>
      </c>
      <c r="G625" s="46" t="s">
        <v>113</v>
      </c>
      <c r="H625" s="49">
        <v>3</v>
      </c>
    </row>
    <row r="626" spans="1:8" x14ac:dyDescent="0.3">
      <c r="A626" s="34">
        <v>625</v>
      </c>
      <c r="B626" s="46" t="s">
        <v>1401</v>
      </c>
      <c r="C626" s="58">
        <v>46066.531608796293</v>
      </c>
      <c r="D626" s="55" t="s">
        <v>1360</v>
      </c>
      <c r="E626" s="58">
        <v>46066.552465277768</v>
      </c>
      <c r="F626" s="46" t="s">
        <v>1402</v>
      </c>
      <c r="G626" s="46" t="s">
        <v>1403</v>
      </c>
      <c r="H626" s="49">
        <v>4</v>
      </c>
    </row>
    <row r="627" spans="1:8" x14ac:dyDescent="0.3">
      <c r="A627" s="34">
        <v>626</v>
      </c>
      <c r="B627" s="46" t="s">
        <v>1404</v>
      </c>
      <c r="C627" s="58">
        <v>46066.480185185188</v>
      </c>
      <c r="D627" s="55" t="s">
        <v>1360</v>
      </c>
      <c r="E627" s="58">
        <v>46066.50104166667</v>
      </c>
      <c r="F627" s="46" t="s">
        <v>1405</v>
      </c>
      <c r="G627" s="46" t="s">
        <v>113</v>
      </c>
      <c r="H627" s="49">
        <v>3</v>
      </c>
    </row>
    <row r="628" spans="1:8" x14ac:dyDescent="0.3">
      <c r="A628" s="34">
        <v>627</v>
      </c>
      <c r="B628" s="46" t="s">
        <v>1406</v>
      </c>
      <c r="C628" s="58">
        <v>46066.509166666663</v>
      </c>
      <c r="D628" s="55" t="s">
        <v>1360</v>
      </c>
      <c r="E628" s="58">
        <v>46066.530011574083</v>
      </c>
      <c r="F628" s="46" t="s">
        <v>1407</v>
      </c>
      <c r="G628" s="46" t="s">
        <v>1408</v>
      </c>
      <c r="H628" s="49">
        <v>3</v>
      </c>
    </row>
    <row r="629" spans="1:8" x14ac:dyDescent="0.3">
      <c r="A629" s="34">
        <v>628</v>
      </c>
      <c r="B629" s="46" t="s">
        <v>873</v>
      </c>
      <c r="C629" s="58">
        <v>46066.668946759259</v>
      </c>
      <c r="D629" s="55" t="s">
        <v>1360</v>
      </c>
      <c r="E629" s="58">
        <v>46066.689780092587</v>
      </c>
      <c r="F629" s="46" t="s">
        <v>1409</v>
      </c>
      <c r="G629" s="46" t="s">
        <v>1410</v>
      </c>
      <c r="H629" s="49">
        <v>3</v>
      </c>
    </row>
    <row r="630" spans="1:8" x14ac:dyDescent="0.3">
      <c r="A630" s="34">
        <v>629</v>
      </c>
      <c r="B630" s="46" t="s">
        <v>41</v>
      </c>
      <c r="C630" s="58">
        <v>46066.698599537027</v>
      </c>
      <c r="D630" s="55" t="s">
        <v>1360</v>
      </c>
      <c r="E630" s="58">
        <v>46066.719456018523</v>
      </c>
      <c r="F630" s="46" t="s">
        <v>1411</v>
      </c>
      <c r="G630" s="46" t="s">
        <v>104</v>
      </c>
      <c r="H630" s="49">
        <v>3</v>
      </c>
    </row>
    <row r="631" spans="1:8" x14ac:dyDescent="0.3">
      <c r="A631" s="34">
        <v>630</v>
      </c>
      <c r="B631" s="46" t="s">
        <v>876</v>
      </c>
      <c r="C631" s="58">
        <v>46066.691064814811</v>
      </c>
      <c r="D631" s="55" t="s">
        <v>1360</v>
      </c>
      <c r="E631" s="58">
        <v>46066.711909722217</v>
      </c>
      <c r="F631" s="46" t="s">
        <v>1412</v>
      </c>
      <c r="G631" s="46" t="s">
        <v>1413</v>
      </c>
      <c r="H631" s="49">
        <v>3</v>
      </c>
    </row>
    <row r="632" spans="1:8" x14ac:dyDescent="0.3">
      <c r="A632" s="34">
        <v>631</v>
      </c>
      <c r="B632" s="46" t="s">
        <v>1290</v>
      </c>
      <c r="C632" s="58">
        <v>46067.362534722219</v>
      </c>
      <c r="D632" s="55" t="s">
        <v>1414</v>
      </c>
      <c r="E632" s="58">
        <v>46067.383368055547</v>
      </c>
      <c r="F632" s="46" t="s">
        <v>1415</v>
      </c>
      <c r="G632" s="46" t="s">
        <v>1257</v>
      </c>
      <c r="H632" s="49">
        <v>4</v>
      </c>
    </row>
    <row r="633" spans="1:8" x14ac:dyDescent="0.3">
      <c r="A633" s="34">
        <v>632</v>
      </c>
      <c r="B633" s="46" t="s">
        <v>1416</v>
      </c>
      <c r="C633" s="58">
        <v>46067.36241898148</v>
      </c>
      <c r="D633" s="55" t="s">
        <v>1414</v>
      </c>
      <c r="E633" s="58">
        <v>46067.383298611108</v>
      </c>
      <c r="F633" s="46" t="s">
        <v>1417</v>
      </c>
      <c r="G633" s="46" t="s">
        <v>514</v>
      </c>
      <c r="H633" s="49">
        <v>4</v>
      </c>
    </row>
    <row r="634" spans="1:8" x14ac:dyDescent="0.3">
      <c r="A634" s="34">
        <v>633</v>
      </c>
      <c r="B634" s="46" t="s">
        <v>1418</v>
      </c>
      <c r="C634" s="58">
        <v>46067.466192129628</v>
      </c>
      <c r="D634" s="55" t="s">
        <v>1414</v>
      </c>
      <c r="E634" s="58">
        <v>46067.487060185187</v>
      </c>
      <c r="F634" s="46" t="s">
        <v>1419</v>
      </c>
      <c r="G634" s="46" t="s">
        <v>1420</v>
      </c>
      <c r="H634" s="49">
        <v>3</v>
      </c>
    </row>
    <row r="635" spans="1:8" x14ac:dyDescent="0.3">
      <c r="A635" s="34">
        <v>634</v>
      </c>
      <c r="B635" s="46" t="s">
        <v>102</v>
      </c>
      <c r="C635" s="58">
        <v>46067.366898148153</v>
      </c>
      <c r="D635" s="55" t="s">
        <v>1414</v>
      </c>
      <c r="E635" s="58">
        <v>46067.387766203698</v>
      </c>
      <c r="F635" s="46" t="s">
        <v>1421</v>
      </c>
      <c r="G635" s="46" t="s">
        <v>1422</v>
      </c>
      <c r="H635" s="49">
        <v>4</v>
      </c>
    </row>
    <row r="636" spans="1:8" x14ac:dyDescent="0.3">
      <c r="A636" s="34">
        <v>635</v>
      </c>
      <c r="B636" s="46" t="s">
        <v>1301</v>
      </c>
      <c r="C636" s="58">
        <v>46067.431157407409</v>
      </c>
      <c r="D636" s="55" t="s">
        <v>1414</v>
      </c>
      <c r="E636" s="58">
        <v>46067.452025462961</v>
      </c>
      <c r="F636" s="46" t="s">
        <v>1423</v>
      </c>
      <c r="G636" s="46" t="s">
        <v>788</v>
      </c>
      <c r="H636" s="49">
        <v>3</v>
      </c>
    </row>
    <row r="637" spans="1:8" x14ac:dyDescent="0.3">
      <c r="A637" s="34">
        <v>636</v>
      </c>
      <c r="B637" s="46" t="s">
        <v>1424</v>
      </c>
      <c r="C637" s="58">
        <v>46067.537708333337</v>
      </c>
      <c r="D637" s="55" t="s">
        <v>1414</v>
      </c>
      <c r="E637" s="58">
        <v>46067.558541666673</v>
      </c>
      <c r="F637" s="46" t="s">
        <v>1425</v>
      </c>
      <c r="G637" s="46" t="s">
        <v>1426</v>
      </c>
      <c r="H637" s="49">
        <v>3</v>
      </c>
    </row>
    <row r="638" spans="1:8" x14ac:dyDescent="0.3">
      <c r="A638" s="34">
        <v>637</v>
      </c>
      <c r="B638" s="46" t="s">
        <v>997</v>
      </c>
      <c r="C638" s="58">
        <v>46067.537395833337</v>
      </c>
      <c r="D638" s="55" t="s">
        <v>1414</v>
      </c>
      <c r="E638" s="58">
        <v>46067.558252314811</v>
      </c>
      <c r="F638" s="46" t="s">
        <v>1427</v>
      </c>
      <c r="G638" s="46" t="s">
        <v>266</v>
      </c>
      <c r="H638" s="49">
        <v>4</v>
      </c>
    </row>
    <row r="639" spans="1:8" x14ac:dyDescent="0.3">
      <c r="A639" s="34">
        <v>638</v>
      </c>
      <c r="B639" s="46" t="s">
        <v>64</v>
      </c>
      <c r="C639" s="58">
        <v>46067.378622685188</v>
      </c>
      <c r="D639" s="55" t="s">
        <v>1414</v>
      </c>
      <c r="E639" s="58">
        <v>46067.39947916667</v>
      </c>
      <c r="F639" s="46" t="s">
        <v>1428</v>
      </c>
      <c r="G639" s="46" t="s">
        <v>1429</v>
      </c>
      <c r="H639" s="49">
        <v>3</v>
      </c>
    </row>
    <row r="640" spans="1:8" x14ac:dyDescent="0.3">
      <c r="A640" s="34">
        <v>639</v>
      </c>
      <c r="B640" s="46" t="s">
        <v>1430</v>
      </c>
      <c r="C640" s="58">
        <v>46067.751203703701</v>
      </c>
      <c r="D640" s="55" t="s">
        <v>1414</v>
      </c>
      <c r="E640" s="58">
        <v>46067.772060185183</v>
      </c>
      <c r="F640" s="46" t="s">
        <v>1431</v>
      </c>
      <c r="G640" s="46" t="s">
        <v>1432</v>
      </c>
      <c r="H640" s="49">
        <v>3</v>
      </c>
    </row>
    <row r="641" spans="1:8" x14ac:dyDescent="0.3">
      <c r="A641" s="34">
        <v>640</v>
      </c>
      <c r="B641" s="46" t="s">
        <v>1312</v>
      </c>
      <c r="C641" s="58">
        <v>46067.398321759261</v>
      </c>
      <c r="D641" s="55" t="s">
        <v>1414</v>
      </c>
      <c r="E641" s="58">
        <v>46067.41915509259</v>
      </c>
      <c r="F641" s="46" t="s">
        <v>1433</v>
      </c>
      <c r="G641" s="46" t="s">
        <v>90</v>
      </c>
      <c r="H641" s="49">
        <v>3</v>
      </c>
    </row>
    <row r="642" spans="1:8" x14ac:dyDescent="0.3">
      <c r="A642" s="34">
        <v>641</v>
      </c>
      <c r="B642" s="46" t="s">
        <v>794</v>
      </c>
      <c r="C642" s="58">
        <v>46067.391412037039</v>
      </c>
      <c r="D642" s="55" t="s">
        <v>1414</v>
      </c>
      <c r="E642" s="58">
        <v>46067.412256944437</v>
      </c>
      <c r="F642" s="46" t="s">
        <v>1434</v>
      </c>
      <c r="G642" s="46" t="s">
        <v>1435</v>
      </c>
      <c r="H642" s="49">
        <v>3</v>
      </c>
    </row>
    <row r="643" spans="1:8" x14ac:dyDescent="0.3">
      <c r="A643" s="34">
        <v>642</v>
      </c>
      <c r="B643" s="46" t="s">
        <v>1316</v>
      </c>
      <c r="C643" s="58">
        <v>46067.404293981483</v>
      </c>
      <c r="D643" s="55" t="s">
        <v>1414</v>
      </c>
      <c r="E643" s="58">
        <v>46067.425127314818</v>
      </c>
      <c r="F643" s="46" t="s">
        <v>1436</v>
      </c>
      <c r="G643" s="46" t="s">
        <v>1437</v>
      </c>
      <c r="H643" s="49">
        <v>3</v>
      </c>
    </row>
    <row r="644" spans="1:8" x14ac:dyDescent="0.3">
      <c r="A644" s="34">
        <v>643</v>
      </c>
      <c r="B644" s="46" t="s">
        <v>307</v>
      </c>
      <c r="C644" s="58">
        <v>46067.74795138889</v>
      </c>
      <c r="D644" s="55" t="s">
        <v>1414</v>
      </c>
      <c r="E644" s="58">
        <v>46067.768807870372</v>
      </c>
      <c r="F644" s="46" t="s">
        <v>1438</v>
      </c>
      <c r="G644" s="46" t="s">
        <v>1439</v>
      </c>
      <c r="H644" s="49">
        <v>3</v>
      </c>
    </row>
    <row r="645" spans="1:8" x14ac:dyDescent="0.3">
      <c r="A645" s="34">
        <v>644</v>
      </c>
      <c r="B645" s="46" t="s">
        <v>42</v>
      </c>
      <c r="C645" s="58">
        <v>46067.361134259263</v>
      </c>
      <c r="D645" s="55" t="s">
        <v>1414</v>
      </c>
      <c r="E645" s="58">
        <v>46067.381967592592</v>
      </c>
      <c r="F645" s="46" t="s">
        <v>1440</v>
      </c>
      <c r="G645" s="46" t="s">
        <v>514</v>
      </c>
      <c r="H645" s="49">
        <v>3</v>
      </c>
    </row>
    <row r="646" spans="1:8" x14ac:dyDescent="0.3">
      <c r="A646" s="34">
        <v>645</v>
      </c>
      <c r="B646" s="46" t="s">
        <v>155</v>
      </c>
      <c r="C646" s="58">
        <v>46067.511111111111</v>
      </c>
      <c r="D646" s="55" t="s">
        <v>1414</v>
      </c>
      <c r="E646" s="58">
        <v>46067.531990740739</v>
      </c>
      <c r="F646" s="46" t="s">
        <v>1441</v>
      </c>
      <c r="G646" s="46" t="s">
        <v>1442</v>
      </c>
      <c r="H646" s="49">
        <v>3</v>
      </c>
    </row>
    <row r="647" spans="1:8" x14ac:dyDescent="0.3">
      <c r="A647" s="34">
        <v>646</v>
      </c>
      <c r="B647" s="46" t="s">
        <v>1097</v>
      </c>
      <c r="C647" s="58">
        <v>46067.398020833331</v>
      </c>
      <c r="D647" s="55" t="s">
        <v>1414</v>
      </c>
      <c r="E647" s="58">
        <v>46067.418854166674</v>
      </c>
      <c r="F647" s="46" t="s">
        <v>1443</v>
      </c>
      <c r="G647" s="46" t="s">
        <v>1444</v>
      </c>
      <c r="H647" s="49">
        <v>3</v>
      </c>
    </row>
    <row r="648" spans="1:8" x14ac:dyDescent="0.3">
      <c r="A648" s="34">
        <v>647</v>
      </c>
      <c r="B648" s="46" t="s">
        <v>158</v>
      </c>
      <c r="C648" s="58">
        <v>46067.317662037043</v>
      </c>
      <c r="D648" s="55" t="s">
        <v>1414</v>
      </c>
      <c r="E648" s="58">
        <v>46067.338530092587</v>
      </c>
      <c r="F648" s="46" t="s">
        <v>1445</v>
      </c>
      <c r="G648" s="46" t="s">
        <v>514</v>
      </c>
      <c r="H648" s="49">
        <v>3</v>
      </c>
    </row>
    <row r="649" spans="1:8" x14ac:dyDescent="0.3">
      <c r="A649" s="34">
        <v>648</v>
      </c>
      <c r="B649" s="46" t="s">
        <v>807</v>
      </c>
      <c r="C649" s="58">
        <v>46067.390208333331</v>
      </c>
      <c r="D649" s="55" t="s">
        <v>1414</v>
      </c>
      <c r="E649" s="58">
        <v>46067.411041666674</v>
      </c>
      <c r="F649" s="46" t="s">
        <v>1446</v>
      </c>
      <c r="G649" s="46" t="s">
        <v>1126</v>
      </c>
      <c r="H649" s="49">
        <v>3</v>
      </c>
    </row>
    <row r="650" spans="1:8" x14ac:dyDescent="0.3">
      <c r="A650" s="34">
        <v>649</v>
      </c>
      <c r="B650" s="46" t="s">
        <v>161</v>
      </c>
      <c r="C650" s="58">
        <v>46067.503900462973</v>
      </c>
      <c r="D650" s="55" t="s">
        <v>1414</v>
      </c>
      <c r="E650" s="58">
        <v>46067.524745370371</v>
      </c>
      <c r="F650" s="46" t="s">
        <v>1447</v>
      </c>
      <c r="G650" s="46" t="s">
        <v>1448</v>
      </c>
      <c r="H650" s="49">
        <v>3</v>
      </c>
    </row>
    <row r="651" spans="1:8" x14ac:dyDescent="0.3">
      <c r="A651" s="34">
        <v>650</v>
      </c>
      <c r="B651" s="46" t="s">
        <v>1449</v>
      </c>
      <c r="C651" s="58">
        <v>46067.360995370371</v>
      </c>
      <c r="D651" s="55" t="s">
        <v>1414</v>
      </c>
      <c r="E651" s="58">
        <v>46067.381851851853</v>
      </c>
      <c r="F651" s="46" t="s">
        <v>1450</v>
      </c>
      <c r="G651" s="46" t="s">
        <v>514</v>
      </c>
      <c r="H651" s="49">
        <v>3</v>
      </c>
    </row>
    <row r="652" spans="1:8" x14ac:dyDescent="0.3">
      <c r="A652" s="34">
        <v>651</v>
      </c>
      <c r="B652" s="46" t="s">
        <v>176</v>
      </c>
      <c r="C652" s="58">
        <v>46067.305023148147</v>
      </c>
      <c r="D652" s="55" t="s">
        <v>1414</v>
      </c>
      <c r="E652" s="58">
        <v>46067.325891203713</v>
      </c>
      <c r="F652" s="46" t="s">
        <v>1451</v>
      </c>
      <c r="G652" s="46" t="s">
        <v>1452</v>
      </c>
      <c r="H652" s="49">
        <v>4</v>
      </c>
    </row>
    <row r="653" spans="1:8" x14ac:dyDescent="0.3">
      <c r="A653" s="34">
        <v>652</v>
      </c>
      <c r="B653" s="46" t="s">
        <v>812</v>
      </c>
      <c r="C653" s="58">
        <v>46067.595358796287</v>
      </c>
      <c r="D653" s="55" t="s">
        <v>1414</v>
      </c>
      <c r="E653" s="58">
        <v>46067.616203703707</v>
      </c>
      <c r="F653" s="46" t="s">
        <v>1453</v>
      </c>
      <c r="G653" s="46" t="s">
        <v>1454</v>
      </c>
      <c r="H653" s="49">
        <v>3</v>
      </c>
    </row>
    <row r="654" spans="1:8" x14ac:dyDescent="0.3">
      <c r="A654" s="34">
        <v>653</v>
      </c>
      <c r="B654" s="46" t="s">
        <v>186</v>
      </c>
      <c r="C654" s="58">
        <v>46067.342222222222</v>
      </c>
      <c r="D654" s="55" t="s">
        <v>1414</v>
      </c>
      <c r="E654" s="58">
        <v>46067.363067129627</v>
      </c>
      <c r="F654" s="46" t="s">
        <v>1455</v>
      </c>
      <c r="G654" s="46" t="s">
        <v>1456</v>
      </c>
      <c r="H654" s="49">
        <v>3</v>
      </c>
    </row>
    <row r="655" spans="1:8" x14ac:dyDescent="0.3">
      <c r="A655" s="34">
        <v>654</v>
      </c>
      <c r="B655" s="46" t="s">
        <v>1457</v>
      </c>
      <c r="C655" s="58">
        <v>46067.482129629629</v>
      </c>
      <c r="D655" s="55" t="s">
        <v>1414</v>
      </c>
      <c r="E655" s="58">
        <v>46067.503009259257</v>
      </c>
      <c r="F655" s="46" t="s">
        <v>1458</v>
      </c>
      <c r="G655" s="46" t="s">
        <v>1260</v>
      </c>
      <c r="H655" s="49">
        <v>4</v>
      </c>
    </row>
    <row r="656" spans="1:8" x14ac:dyDescent="0.3">
      <c r="A656" s="34">
        <v>655</v>
      </c>
      <c r="B656" s="46" t="s">
        <v>1459</v>
      </c>
      <c r="C656" s="58">
        <v>46067.376423611109</v>
      </c>
      <c r="D656" s="55" t="s">
        <v>1414</v>
      </c>
      <c r="E656" s="58">
        <v>46067.397268518522</v>
      </c>
      <c r="F656" s="46" t="s">
        <v>1460</v>
      </c>
      <c r="G656" s="46" t="s">
        <v>861</v>
      </c>
      <c r="H656" s="49">
        <v>6</v>
      </c>
    </row>
    <row r="657" spans="1:8" x14ac:dyDescent="0.3">
      <c r="A657" s="34">
        <v>656</v>
      </c>
      <c r="B657" s="46" t="s">
        <v>929</v>
      </c>
      <c r="C657" s="58">
        <v>46067.361747685187</v>
      </c>
      <c r="D657" s="55" t="s">
        <v>1414</v>
      </c>
      <c r="E657" s="58">
        <v>46067.382604166669</v>
      </c>
      <c r="F657" s="46" t="s">
        <v>1461</v>
      </c>
      <c r="G657" s="46" t="s">
        <v>514</v>
      </c>
      <c r="H657" s="49">
        <v>5</v>
      </c>
    </row>
    <row r="658" spans="1:8" x14ac:dyDescent="0.3">
      <c r="A658" s="34">
        <v>657</v>
      </c>
      <c r="B658" s="46" t="s">
        <v>1462</v>
      </c>
      <c r="C658" s="58">
        <v>46067.376944444448</v>
      </c>
      <c r="D658" s="55" t="s">
        <v>1414</v>
      </c>
      <c r="E658" s="58">
        <v>46067.397789351853</v>
      </c>
      <c r="F658" s="46" t="s">
        <v>1463</v>
      </c>
      <c r="G658" s="46" t="s">
        <v>1260</v>
      </c>
      <c r="H658" s="49">
        <v>4</v>
      </c>
    </row>
    <row r="659" spans="1:8" x14ac:dyDescent="0.3">
      <c r="A659" s="34">
        <v>658</v>
      </c>
      <c r="B659" s="46" t="s">
        <v>1266</v>
      </c>
      <c r="C659" s="58">
        <v>46067.39980324074</v>
      </c>
      <c r="D659" s="55" t="s">
        <v>1414</v>
      </c>
      <c r="E659" s="58">
        <v>46067.420671296299</v>
      </c>
      <c r="F659" s="46" t="s">
        <v>1464</v>
      </c>
      <c r="G659" s="46" t="s">
        <v>1465</v>
      </c>
      <c r="H659" s="49">
        <v>4</v>
      </c>
    </row>
    <row r="660" spans="1:8" x14ac:dyDescent="0.3">
      <c r="A660" s="34">
        <v>659</v>
      </c>
      <c r="B660" s="46" t="s">
        <v>341</v>
      </c>
      <c r="C660" s="58">
        <v>46067.413344907407</v>
      </c>
      <c r="D660" s="55" t="s">
        <v>1414</v>
      </c>
      <c r="E660" s="58">
        <v>46067.434178240743</v>
      </c>
      <c r="F660" s="46" t="s">
        <v>1466</v>
      </c>
      <c r="G660" s="46" t="s">
        <v>1065</v>
      </c>
      <c r="H660" s="49">
        <v>4</v>
      </c>
    </row>
    <row r="661" spans="1:8" x14ac:dyDescent="0.3">
      <c r="A661" s="34">
        <v>660</v>
      </c>
      <c r="B661" s="46" t="s">
        <v>1467</v>
      </c>
      <c r="C661" s="58">
        <v>46067.477129629631</v>
      </c>
      <c r="D661" s="55" t="s">
        <v>1414</v>
      </c>
      <c r="E661" s="58">
        <v>46067.49796296296</v>
      </c>
      <c r="F661" s="46" t="s">
        <v>1468</v>
      </c>
      <c r="G661" s="46" t="s">
        <v>1469</v>
      </c>
      <c r="H661" s="49">
        <v>3</v>
      </c>
    </row>
    <row r="662" spans="1:8" x14ac:dyDescent="0.3">
      <c r="A662" s="34">
        <v>661</v>
      </c>
      <c r="B662" s="46" t="s">
        <v>1470</v>
      </c>
      <c r="C662" s="58">
        <v>46067.491712962961</v>
      </c>
      <c r="D662" s="55" t="s">
        <v>1414</v>
      </c>
      <c r="E662" s="58">
        <v>46067.512592592589</v>
      </c>
      <c r="F662" s="46" t="s">
        <v>1471</v>
      </c>
      <c r="G662" s="46" t="s">
        <v>1472</v>
      </c>
      <c r="H662" s="49">
        <v>3</v>
      </c>
    </row>
    <row r="663" spans="1:8" x14ac:dyDescent="0.3">
      <c r="A663" s="34">
        <v>662</v>
      </c>
      <c r="B663" s="46" t="s">
        <v>838</v>
      </c>
      <c r="C663" s="58">
        <v>46067.390740740739</v>
      </c>
      <c r="D663" s="55" t="s">
        <v>1414</v>
      </c>
      <c r="E663" s="58">
        <v>46067.411620370367</v>
      </c>
      <c r="F663" s="46" t="s">
        <v>1473</v>
      </c>
      <c r="G663" s="46" t="s">
        <v>1126</v>
      </c>
      <c r="H663" s="49">
        <v>4</v>
      </c>
    </row>
    <row r="664" spans="1:8" x14ac:dyDescent="0.3">
      <c r="A664" s="34">
        <v>663</v>
      </c>
      <c r="B664" s="46" t="s">
        <v>1474</v>
      </c>
      <c r="C664" s="58">
        <v>46067.343206018522</v>
      </c>
      <c r="D664" s="55" t="s">
        <v>1414</v>
      </c>
      <c r="E664" s="58">
        <v>46067.364050925928</v>
      </c>
      <c r="F664" s="46" t="s">
        <v>1475</v>
      </c>
      <c r="G664" s="46" t="s">
        <v>887</v>
      </c>
      <c r="H664" s="49">
        <v>3</v>
      </c>
    </row>
    <row r="665" spans="1:8" x14ac:dyDescent="0.3">
      <c r="A665" s="34">
        <v>664</v>
      </c>
      <c r="B665" s="46" t="s">
        <v>56</v>
      </c>
      <c r="C665" s="58">
        <v>46067.485648148147</v>
      </c>
      <c r="D665" s="55" t="s">
        <v>1414</v>
      </c>
      <c r="E665" s="58">
        <v>46067.506504629629</v>
      </c>
      <c r="F665" s="46" t="s">
        <v>1476</v>
      </c>
      <c r="G665" s="46" t="s">
        <v>1477</v>
      </c>
      <c r="H665" s="49">
        <v>3</v>
      </c>
    </row>
    <row r="666" spans="1:8" x14ac:dyDescent="0.3">
      <c r="A666" s="34">
        <v>665</v>
      </c>
      <c r="B666" s="46" t="s">
        <v>219</v>
      </c>
      <c r="C666" s="58">
        <v>46067.450798611113</v>
      </c>
      <c r="D666" s="55" t="s">
        <v>1414</v>
      </c>
      <c r="E666" s="58">
        <v>46067.471643518518</v>
      </c>
      <c r="F666" s="46" t="s">
        <v>1478</v>
      </c>
      <c r="G666" s="46" t="s">
        <v>1479</v>
      </c>
      <c r="H666" s="49">
        <v>6</v>
      </c>
    </row>
    <row r="667" spans="1:8" x14ac:dyDescent="0.3">
      <c r="A667" s="34">
        <v>666</v>
      </c>
      <c r="B667" s="46" t="s">
        <v>1480</v>
      </c>
      <c r="C667" s="58">
        <v>46067.341944444437</v>
      </c>
      <c r="D667" s="55" t="s">
        <v>1414</v>
      </c>
      <c r="E667" s="58">
        <v>46067.36277777778</v>
      </c>
      <c r="F667" s="46" t="s">
        <v>1481</v>
      </c>
      <c r="G667" s="46" t="s">
        <v>1456</v>
      </c>
      <c r="H667" s="49">
        <v>3</v>
      </c>
    </row>
    <row r="668" spans="1:8" x14ac:dyDescent="0.3">
      <c r="A668" s="34">
        <v>667</v>
      </c>
      <c r="B668" s="46" t="s">
        <v>459</v>
      </c>
      <c r="C668" s="58">
        <v>46067.719039351847</v>
      </c>
      <c r="D668" s="55" t="s">
        <v>1414</v>
      </c>
      <c r="E668" s="58">
        <v>46067.739895833343</v>
      </c>
      <c r="F668" s="46" t="s">
        <v>1482</v>
      </c>
      <c r="G668" s="46" t="s">
        <v>1483</v>
      </c>
      <c r="H668" s="49">
        <v>3</v>
      </c>
    </row>
    <row r="669" spans="1:8" x14ac:dyDescent="0.3">
      <c r="A669" s="34">
        <v>668</v>
      </c>
      <c r="B669" s="46" t="s">
        <v>588</v>
      </c>
      <c r="C669" s="58">
        <v>46067.621041666673</v>
      </c>
      <c r="D669" s="55" t="s">
        <v>1414</v>
      </c>
      <c r="E669" s="58">
        <v>46067.641909722217</v>
      </c>
      <c r="F669" s="46" t="s">
        <v>1484</v>
      </c>
      <c r="G669" s="46" t="s">
        <v>207</v>
      </c>
      <c r="H669" s="49">
        <v>3</v>
      </c>
    </row>
    <row r="670" spans="1:8" x14ac:dyDescent="0.3">
      <c r="A670" s="34">
        <v>669</v>
      </c>
      <c r="B670" s="46" t="s">
        <v>1485</v>
      </c>
      <c r="C670" s="58">
        <v>46067.474976851852</v>
      </c>
      <c r="D670" s="55" t="s">
        <v>1414</v>
      </c>
      <c r="E670" s="58">
        <v>46067.495810185188</v>
      </c>
      <c r="F670" s="46" t="s">
        <v>1486</v>
      </c>
      <c r="G670" s="46" t="s">
        <v>323</v>
      </c>
      <c r="H670" s="49">
        <v>3</v>
      </c>
    </row>
    <row r="671" spans="1:8" x14ac:dyDescent="0.3">
      <c r="A671" s="34">
        <v>670</v>
      </c>
      <c r="B671" s="46" t="s">
        <v>55</v>
      </c>
      <c r="C671" s="58">
        <v>46067.480729166673</v>
      </c>
      <c r="D671" s="55" t="s">
        <v>1414</v>
      </c>
      <c r="E671" s="58">
        <v>46067.501608796287</v>
      </c>
      <c r="F671" s="46" t="s">
        <v>1487</v>
      </c>
      <c r="G671" s="46" t="s">
        <v>1488</v>
      </c>
      <c r="H671" s="49">
        <v>3</v>
      </c>
    </row>
    <row r="672" spans="1:8" x14ac:dyDescent="0.3">
      <c r="A672" s="34">
        <v>671</v>
      </c>
      <c r="B672" s="46" t="s">
        <v>1406</v>
      </c>
      <c r="C672" s="58">
        <v>46067.48778935185</v>
      </c>
      <c r="D672" s="55" t="s">
        <v>1414</v>
      </c>
      <c r="E672" s="58">
        <v>46067.508657407408</v>
      </c>
      <c r="F672" s="46" t="s">
        <v>1489</v>
      </c>
      <c r="G672" s="46" t="s">
        <v>1490</v>
      </c>
      <c r="H672" s="49">
        <v>3</v>
      </c>
    </row>
    <row r="673" spans="1:8" x14ac:dyDescent="0.3">
      <c r="A673" s="34">
        <v>672</v>
      </c>
      <c r="B673" s="46" t="s">
        <v>873</v>
      </c>
      <c r="C673" s="58">
        <v>46067.387129629627</v>
      </c>
      <c r="D673" s="55" t="s">
        <v>1414</v>
      </c>
      <c r="E673" s="58">
        <v>46067.407962962963</v>
      </c>
      <c r="F673" s="46" t="s">
        <v>1491</v>
      </c>
      <c r="G673" s="46" t="s">
        <v>1492</v>
      </c>
      <c r="H673" s="49">
        <v>3</v>
      </c>
    </row>
    <row r="674" spans="1:8" x14ac:dyDescent="0.3">
      <c r="A674" s="34">
        <v>673</v>
      </c>
      <c r="B674" s="46" t="s">
        <v>41</v>
      </c>
      <c r="C674" s="58">
        <v>46067.480081018519</v>
      </c>
      <c r="D674" s="55" t="s">
        <v>1414</v>
      </c>
      <c r="E674" s="58">
        <v>46067.506678240738</v>
      </c>
      <c r="F674" s="46" t="s">
        <v>1493</v>
      </c>
      <c r="G674" s="46" t="s">
        <v>973</v>
      </c>
      <c r="H674" s="49">
        <v>3</v>
      </c>
    </row>
    <row r="675" spans="1:8" x14ac:dyDescent="0.3">
      <c r="A675" s="34">
        <v>674</v>
      </c>
      <c r="B675" s="46" t="s">
        <v>270</v>
      </c>
      <c r="C675" s="58">
        <v>46067.058368055557</v>
      </c>
      <c r="D675" s="55" t="s">
        <v>1414</v>
      </c>
      <c r="E675" s="58">
        <v>46067.079201388893</v>
      </c>
      <c r="F675" s="46" t="s">
        <v>1494</v>
      </c>
      <c r="G675" s="46" t="s">
        <v>1495</v>
      </c>
      <c r="H675" s="49">
        <v>3</v>
      </c>
    </row>
    <row r="676" spans="1:8" x14ac:dyDescent="0.3">
      <c r="A676" s="34">
        <v>675</v>
      </c>
      <c r="B676" s="46" t="s">
        <v>1496</v>
      </c>
      <c r="C676" s="58">
        <v>46067.512025462973</v>
      </c>
      <c r="D676" s="55" t="s">
        <v>1414</v>
      </c>
      <c r="E676" s="58">
        <v>46067.532858796287</v>
      </c>
      <c r="F676" s="46" t="s">
        <v>1497</v>
      </c>
      <c r="G676" s="46" t="s">
        <v>1498</v>
      </c>
      <c r="H676" s="49">
        <v>3</v>
      </c>
    </row>
    <row r="677" spans="1:8" x14ac:dyDescent="0.3">
      <c r="A677" s="34">
        <v>676</v>
      </c>
      <c r="B677" s="46" t="s">
        <v>876</v>
      </c>
      <c r="C677" s="58">
        <v>46067.391134259262</v>
      </c>
      <c r="D677" s="55" t="s">
        <v>1414</v>
      </c>
      <c r="E677" s="58">
        <v>46067.41196759259</v>
      </c>
      <c r="F677" s="46" t="s">
        <v>1499</v>
      </c>
      <c r="G677" s="46" t="s">
        <v>1500</v>
      </c>
      <c r="H677" s="49">
        <v>3</v>
      </c>
    </row>
    <row r="678" spans="1:8" x14ac:dyDescent="0.3">
      <c r="A678" s="34">
        <v>677</v>
      </c>
      <c r="B678" s="46" t="s">
        <v>739</v>
      </c>
      <c r="C678" s="58">
        <v>46067.315960648149</v>
      </c>
      <c r="D678" s="55" t="s">
        <v>1414</v>
      </c>
      <c r="E678" s="58">
        <v>46067.336793981478</v>
      </c>
      <c r="F678" s="46" t="s">
        <v>1501</v>
      </c>
      <c r="G678" s="46" t="s">
        <v>514</v>
      </c>
      <c r="H678" s="49">
        <v>3</v>
      </c>
    </row>
    <row r="679" spans="1:8" x14ac:dyDescent="0.3">
      <c r="A679" s="34">
        <v>678</v>
      </c>
      <c r="B679" s="46" t="s">
        <v>290</v>
      </c>
      <c r="C679" s="58">
        <v>46068.346122685187</v>
      </c>
      <c r="D679" s="55" t="s">
        <v>1502</v>
      </c>
      <c r="E679" s="58">
        <v>46068.367002314822</v>
      </c>
      <c r="F679" s="46" t="s">
        <v>1503</v>
      </c>
      <c r="G679" s="46" t="s">
        <v>296</v>
      </c>
      <c r="H679" s="49">
        <v>3</v>
      </c>
    </row>
    <row r="680" spans="1:8" x14ac:dyDescent="0.3">
      <c r="A680" s="34">
        <v>679</v>
      </c>
      <c r="B680" s="46" t="s">
        <v>1504</v>
      </c>
      <c r="C680" s="58">
        <v>46068.448518518519</v>
      </c>
      <c r="D680" s="55" t="s">
        <v>1502</v>
      </c>
      <c r="E680" s="58">
        <v>46068.469398148147</v>
      </c>
      <c r="F680" s="46" t="s">
        <v>1505</v>
      </c>
      <c r="G680" s="46" t="s">
        <v>304</v>
      </c>
      <c r="H680" s="49">
        <v>3</v>
      </c>
    </row>
    <row r="681" spans="1:8" x14ac:dyDescent="0.3">
      <c r="A681" s="34">
        <v>680</v>
      </c>
      <c r="B681" s="46" t="s">
        <v>1416</v>
      </c>
      <c r="C681" s="58">
        <v>46068.099374999998</v>
      </c>
      <c r="D681" s="55" t="s">
        <v>1502</v>
      </c>
      <c r="E681" s="58">
        <v>46068.120243055557</v>
      </c>
      <c r="F681" s="46" t="s">
        <v>1506</v>
      </c>
      <c r="G681" s="46" t="s">
        <v>1507</v>
      </c>
      <c r="H681" s="49">
        <v>5</v>
      </c>
    </row>
    <row r="682" spans="1:8" x14ac:dyDescent="0.3">
      <c r="A682" s="34">
        <v>681</v>
      </c>
      <c r="B682" s="46" t="s">
        <v>1082</v>
      </c>
      <c r="C682" s="58">
        <v>46068.641226851847</v>
      </c>
      <c r="D682" s="55" t="s">
        <v>1502</v>
      </c>
      <c r="E682" s="58">
        <v>46068.662094907413</v>
      </c>
      <c r="F682" s="46" t="s">
        <v>1508</v>
      </c>
      <c r="G682" s="46" t="s">
        <v>183</v>
      </c>
      <c r="H682" s="49">
        <v>3</v>
      </c>
    </row>
    <row r="683" spans="1:8" x14ac:dyDescent="0.3">
      <c r="A683" s="34">
        <v>682</v>
      </c>
      <c r="B683" s="46" t="s">
        <v>66</v>
      </c>
      <c r="C683" s="58">
        <v>46068.689895833333</v>
      </c>
      <c r="D683" s="55" t="s">
        <v>1502</v>
      </c>
      <c r="E683" s="58">
        <v>46068.710740740738</v>
      </c>
      <c r="F683" s="46" t="s">
        <v>1509</v>
      </c>
      <c r="G683" s="46" t="s">
        <v>90</v>
      </c>
      <c r="H683" s="49">
        <v>3</v>
      </c>
    </row>
    <row r="684" spans="1:8" x14ac:dyDescent="0.3">
      <c r="A684" s="34">
        <v>683</v>
      </c>
      <c r="B684" s="46" t="s">
        <v>1510</v>
      </c>
      <c r="C684" s="58">
        <v>46068.394780092603</v>
      </c>
      <c r="D684" s="55" t="s">
        <v>1502</v>
      </c>
      <c r="E684" s="58">
        <v>46068.415659722217</v>
      </c>
      <c r="F684" s="46" t="s">
        <v>1511</v>
      </c>
      <c r="G684" s="46" t="s">
        <v>1512</v>
      </c>
      <c r="H684" s="49">
        <v>3</v>
      </c>
    </row>
    <row r="685" spans="1:8" x14ac:dyDescent="0.3">
      <c r="A685" s="34">
        <v>684</v>
      </c>
      <c r="B685" s="46" t="s">
        <v>763</v>
      </c>
      <c r="C685" s="58">
        <v>46068.361076388886</v>
      </c>
      <c r="D685" s="55" t="s">
        <v>1502</v>
      </c>
      <c r="E685" s="58">
        <v>46068.381921296299</v>
      </c>
      <c r="F685" s="46" t="s">
        <v>1513</v>
      </c>
      <c r="G685" s="46" t="s">
        <v>1514</v>
      </c>
      <c r="H685" s="49">
        <v>6</v>
      </c>
    </row>
    <row r="686" spans="1:8" x14ac:dyDescent="0.3">
      <c r="A686" s="34">
        <v>685</v>
      </c>
      <c r="B686" s="46" t="s">
        <v>997</v>
      </c>
      <c r="C686" s="58">
        <v>46068.427453703713</v>
      </c>
      <c r="D686" s="55" t="s">
        <v>1502</v>
      </c>
      <c r="E686" s="58">
        <v>46068.448287037027</v>
      </c>
      <c r="F686" s="46" t="s">
        <v>1515</v>
      </c>
      <c r="G686" s="46" t="s">
        <v>1516</v>
      </c>
      <c r="H686" s="49">
        <v>4</v>
      </c>
    </row>
    <row r="687" spans="1:8" x14ac:dyDescent="0.3">
      <c r="A687" s="34">
        <v>686</v>
      </c>
      <c r="B687" s="46" t="s">
        <v>64</v>
      </c>
      <c r="C687" s="58">
        <v>46068.334502314807</v>
      </c>
      <c r="D687" s="55" t="s">
        <v>1502</v>
      </c>
      <c r="E687" s="58">
        <v>46068.35533564815</v>
      </c>
      <c r="F687" s="46" t="s">
        <v>1517</v>
      </c>
      <c r="G687" s="46" t="s">
        <v>213</v>
      </c>
      <c r="H687" s="49">
        <v>3</v>
      </c>
    </row>
    <row r="688" spans="1:8" x14ac:dyDescent="0.3">
      <c r="A688" s="34">
        <v>687</v>
      </c>
      <c r="B688" s="46" t="s">
        <v>1308</v>
      </c>
      <c r="C688" s="58">
        <v>46068.501597222217</v>
      </c>
      <c r="D688" s="55" t="s">
        <v>1502</v>
      </c>
      <c r="E688" s="58">
        <v>46068.522430555553</v>
      </c>
      <c r="F688" s="46" t="s">
        <v>1518</v>
      </c>
      <c r="G688" s="46" t="s">
        <v>643</v>
      </c>
      <c r="H688" s="49">
        <v>4</v>
      </c>
    </row>
    <row r="689" spans="1:8" x14ac:dyDescent="0.3">
      <c r="A689" s="34">
        <v>688</v>
      </c>
      <c r="B689" s="46" t="s">
        <v>772</v>
      </c>
      <c r="C689" s="58">
        <v>46068.753298611111</v>
      </c>
      <c r="D689" s="55" t="s">
        <v>1502</v>
      </c>
      <c r="E689" s="58">
        <v>46068.774143518523</v>
      </c>
      <c r="F689" s="46" t="s">
        <v>1519</v>
      </c>
      <c r="G689" s="46" t="s">
        <v>1288</v>
      </c>
      <c r="H689" s="49">
        <v>3</v>
      </c>
    </row>
    <row r="690" spans="1:8" x14ac:dyDescent="0.3">
      <c r="A690" s="34">
        <v>689</v>
      </c>
      <c r="B690" s="46" t="s">
        <v>1157</v>
      </c>
      <c r="C690" s="58">
        <v>46068.516828703701</v>
      </c>
      <c r="D690" s="55" t="s">
        <v>1502</v>
      </c>
      <c r="E690" s="58">
        <v>46068.537662037037</v>
      </c>
      <c r="F690" s="46" t="s">
        <v>1520</v>
      </c>
      <c r="G690" s="46" t="s">
        <v>296</v>
      </c>
      <c r="H690" s="49">
        <v>4</v>
      </c>
    </row>
    <row r="691" spans="1:8" x14ac:dyDescent="0.3">
      <c r="A691" s="34">
        <v>690</v>
      </c>
      <c r="B691" s="46" t="s">
        <v>1430</v>
      </c>
      <c r="C691" s="58">
        <v>46068.565405092602</v>
      </c>
      <c r="D691" s="55" t="s">
        <v>1502</v>
      </c>
      <c r="E691" s="58">
        <v>46068.586261574077</v>
      </c>
      <c r="F691" s="46" t="s">
        <v>1521</v>
      </c>
      <c r="G691" s="46" t="s">
        <v>107</v>
      </c>
      <c r="H691" s="49">
        <v>3</v>
      </c>
    </row>
    <row r="692" spans="1:8" x14ac:dyDescent="0.3">
      <c r="A692" s="34">
        <v>691</v>
      </c>
      <c r="B692" s="46" t="s">
        <v>1522</v>
      </c>
      <c r="C692" s="58">
        <v>46068.460601851853</v>
      </c>
      <c r="D692" s="55" t="s">
        <v>1502</v>
      </c>
      <c r="E692" s="58">
        <v>46068.481446759259</v>
      </c>
      <c r="F692" s="46" t="s">
        <v>1523</v>
      </c>
      <c r="G692" s="46" t="s">
        <v>1524</v>
      </c>
      <c r="H692" s="49">
        <v>5</v>
      </c>
    </row>
    <row r="693" spans="1:8" x14ac:dyDescent="0.3">
      <c r="A693" s="34">
        <v>692</v>
      </c>
      <c r="B693" s="46" t="s">
        <v>1525</v>
      </c>
      <c r="C693" s="58">
        <v>46068.456979166673</v>
      </c>
      <c r="D693" s="55" t="s">
        <v>1502</v>
      </c>
      <c r="E693" s="58">
        <v>46068.477858796286</v>
      </c>
      <c r="F693" s="46" t="s">
        <v>1526</v>
      </c>
      <c r="G693" s="46" t="s">
        <v>887</v>
      </c>
      <c r="H693" s="49">
        <v>4</v>
      </c>
    </row>
    <row r="694" spans="1:8" x14ac:dyDescent="0.3">
      <c r="A694" s="34">
        <v>693</v>
      </c>
      <c r="B694" s="46" t="s">
        <v>53</v>
      </c>
      <c r="C694" s="58">
        <v>46068.582442129627</v>
      </c>
      <c r="D694" s="55" t="s">
        <v>1502</v>
      </c>
      <c r="E694" s="58">
        <v>46068.60328703704</v>
      </c>
      <c r="F694" s="46" t="s">
        <v>1527</v>
      </c>
      <c r="G694" s="46" t="s">
        <v>1437</v>
      </c>
      <c r="H694" s="49">
        <v>3</v>
      </c>
    </row>
    <row r="695" spans="1:8" x14ac:dyDescent="0.3">
      <c r="A695" s="34">
        <v>694</v>
      </c>
      <c r="B695" s="46" t="s">
        <v>69</v>
      </c>
      <c r="C695" s="58">
        <v>46068.472083333327</v>
      </c>
      <c r="D695" s="55" t="s">
        <v>1502</v>
      </c>
      <c r="E695" s="58">
        <v>46068.492962962962</v>
      </c>
      <c r="F695" s="46" t="s">
        <v>1528</v>
      </c>
      <c r="G695" s="46" t="s">
        <v>1529</v>
      </c>
      <c r="H695" s="49">
        <v>3</v>
      </c>
    </row>
    <row r="696" spans="1:8" x14ac:dyDescent="0.3">
      <c r="A696" s="34">
        <v>695</v>
      </c>
      <c r="B696" s="46" t="s">
        <v>42</v>
      </c>
      <c r="C696" s="58">
        <v>46068.101076388892</v>
      </c>
      <c r="D696" s="55" t="s">
        <v>1502</v>
      </c>
      <c r="E696" s="58">
        <v>46068.121921296297</v>
      </c>
      <c r="F696" s="46" t="s">
        <v>1530</v>
      </c>
      <c r="G696" s="46" t="s">
        <v>660</v>
      </c>
      <c r="H696" s="49">
        <v>3</v>
      </c>
    </row>
    <row r="697" spans="1:8" x14ac:dyDescent="0.3">
      <c r="A697" s="34">
        <v>696</v>
      </c>
      <c r="B697" s="46" t="s">
        <v>1531</v>
      </c>
      <c r="C697" s="58">
        <v>46068.498344907413</v>
      </c>
      <c r="D697" s="55" t="s">
        <v>1502</v>
      </c>
      <c r="E697" s="58">
        <v>46068.519189814811</v>
      </c>
      <c r="F697" s="46" t="s">
        <v>1532</v>
      </c>
      <c r="G697" s="46" t="s">
        <v>1488</v>
      </c>
      <c r="H697" s="49">
        <v>4</v>
      </c>
    </row>
    <row r="698" spans="1:8" x14ac:dyDescent="0.3">
      <c r="A698" s="34">
        <v>697</v>
      </c>
      <c r="B698" s="46" t="s">
        <v>1011</v>
      </c>
      <c r="C698" s="58">
        <v>46068.655462962961</v>
      </c>
      <c r="D698" s="55" t="s">
        <v>1502</v>
      </c>
      <c r="E698" s="58">
        <v>46068.676296296297</v>
      </c>
      <c r="F698" s="46" t="s">
        <v>1533</v>
      </c>
      <c r="G698" s="46" t="s">
        <v>1534</v>
      </c>
      <c r="H698" s="49">
        <v>3</v>
      </c>
    </row>
    <row r="699" spans="1:8" x14ac:dyDescent="0.3">
      <c r="A699" s="34">
        <v>698</v>
      </c>
      <c r="B699" s="46" t="s">
        <v>1449</v>
      </c>
      <c r="C699" s="58">
        <v>46068.096782407411</v>
      </c>
      <c r="D699" s="55" t="s">
        <v>1502</v>
      </c>
      <c r="E699" s="58">
        <v>46068.117638888893</v>
      </c>
      <c r="F699" s="46" t="s">
        <v>1535</v>
      </c>
      <c r="G699" s="46" t="s">
        <v>1536</v>
      </c>
      <c r="H699" s="49">
        <v>4</v>
      </c>
    </row>
    <row r="700" spans="1:8" x14ac:dyDescent="0.3">
      <c r="A700" s="34">
        <v>699</v>
      </c>
      <c r="B700" s="46" t="s">
        <v>36</v>
      </c>
      <c r="C700" s="58">
        <v>46068.020509259259</v>
      </c>
      <c r="D700" s="55" t="s">
        <v>1502</v>
      </c>
      <c r="E700" s="58">
        <v>46068.041377314818</v>
      </c>
      <c r="F700" s="46" t="s">
        <v>1537</v>
      </c>
      <c r="G700" s="46" t="s">
        <v>1538</v>
      </c>
      <c r="H700" s="49">
        <v>4</v>
      </c>
    </row>
    <row r="701" spans="1:8" x14ac:dyDescent="0.3">
      <c r="A701" s="34">
        <v>700</v>
      </c>
      <c r="B701" s="46" t="s">
        <v>812</v>
      </c>
      <c r="C701" s="58">
        <v>46068.753391203703</v>
      </c>
      <c r="D701" s="55" t="s">
        <v>1502</v>
      </c>
      <c r="E701" s="58">
        <v>46068.774259259262</v>
      </c>
      <c r="F701" s="46" t="s">
        <v>1539</v>
      </c>
      <c r="G701" s="46" t="s">
        <v>175</v>
      </c>
      <c r="H701" s="49">
        <v>3</v>
      </c>
    </row>
    <row r="702" spans="1:8" x14ac:dyDescent="0.3">
      <c r="A702" s="34">
        <v>701</v>
      </c>
      <c r="B702" s="46" t="s">
        <v>186</v>
      </c>
      <c r="C702" s="58">
        <v>46068.386365740742</v>
      </c>
      <c r="D702" s="55" t="s">
        <v>1502</v>
      </c>
      <c r="E702" s="58">
        <v>46068.407210648147</v>
      </c>
      <c r="F702" s="46" t="s">
        <v>1540</v>
      </c>
      <c r="G702" s="46" t="s">
        <v>1541</v>
      </c>
      <c r="H702" s="49">
        <v>4</v>
      </c>
    </row>
    <row r="703" spans="1:8" x14ac:dyDescent="0.3">
      <c r="A703" s="34">
        <v>702</v>
      </c>
      <c r="B703" s="46" t="s">
        <v>1542</v>
      </c>
      <c r="C703" s="58">
        <v>46068.456979166673</v>
      </c>
      <c r="D703" s="55" t="s">
        <v>1502</v>
      </c>
      <c r="E703" s="58">
        <v>46068.487141203703</v>
      </c>
      <c r="F703" s="46" t="s">
        <v>1543</v>
      </c>
      <c r="G703" s="46" t="s">
        <v>1524</v>
      </c>
      <c r="H703" s="49">
        <v>4</v>
      </c>
    </row>
    <row r="704" spans="1:8" x14ac:dyDescent="0.3">
      <c r="A704" s="34">
        <v>703</v>
      </c>
      <c r="B704" s="46" t="s">
        <v>423</v>
      </c>
      <c r="C704" s="58">
        <v>46068.432986111111</v>
      </c>
      <c r="D704" s="55" t="s">
        <v>1502</v>
      </c>
      <c r="E704" s="58">
        <v>46068.453819444447</v>
      </c>
      <c r="F704" s="46" t="s">
        <v>1544</v>
      </c>
      <c r="G704" s="46" t="s">
        <v>1288</v>
      </c>
      <c r="H704" s="49">
        <v>3</v>
      </c>
    </row>
    <row r="705" spans="1:8" x14ac:dyDescent="0.3">
      <c r="A705" s="34">
        <v>704</v>
      </c>
      <c r="B705" s="46" t="s">
        <v>37</v>
      </c>
      <c r="C705" s="58">
        <v>46068.3593287037</v>
      </c>
      <c r="D705" s="55" t="s">
        <v>1502</v>
      </c>
      <c r="E705" s="58">
        <v>46068.380162037043</v>
      </c>
      <c r="F705" s="46" t="s">
        <v>1545</v>
      </c>
      <c r="G705" s="46" t="s">
        <v>442</v>
      </c>
      <c r="H705" s="49">
        <v>4</v>
      </c>
    </row>
    <row r="706" spans="1:8" x14ac:dyDescent="0.3">
      <c r="A706" s="34">
        <v>705</v>
      </c>
      <c r="B706" s="46" t="s">
        <v>929</v>
      </c>
      <c r="C706" s="58">
        <v>46068.099988425929</v>
      </c>
      <c r="D706" s="55" t="s">
        <v>1502</v>
      </c>
      <c r="E706" s="58">
        <v>46068.120821759258</v>
      </c>
      <c r="F706" s="46" t="s">
        <v>1546</v>
      </c>
      <c r="G706" s="46" t="s">
        <v>660</v>
      </c>
      <c r="H706" s="49">
        <v>5</v>
      </c>
    </row>
    <row r="707" spans="1:8" x14ac:dyDescent="0.3">
      <c r="A707" s="34">
        <v>706</v>
      </c>
      <c r="B707" s="46" t="s">
        <v>48</v>
      </c>
      <c r="C707" s="58">
        <v>46068.473124999997</v>
      </c>
      <c r="D707" s="55" t="s">
        <v>1502</v>
      </c>
      <c r="E707" s="58">
        <v>46068.493958333333</v>
      </c>
      <c r="F707" s="46" t="s">
        <v>1547</v>
      </c>
      <c r="G707" s="46" t="s">
        <v>233</v>
      </c>
      <c r="H707" s="49">
        <v>4</v>
      </c>
    </row>
    <row r="708" spans="1:8" x14ac:dyDescent="0.3">
      <c r="A708" s="34">
        <v>707</v>
      </c>
      <c r="B708" s="46" t="s">
        <v>341</v>
      </c>
      <c r="C708" s="58">
        <v>46068.597291666672</v>
      </c>
      <c r="D708" s="55" t="s">
        <v>1502</v>
      </c>
      <c r="E708" s="58">
        <v>46068.618171296293</v>
      </c>
      <c r="F708" s="46" t="s">
        <v>1548</v>
      </c>
      <c r="G708" s="46" t="s">
        <v>1549</v>
      </c>
      <c r="H708" s="49">
        <v>3</v>
      </c>
    </row>
    <row r="709" spans="1:8" x14ac:dyDescent="0.3">
      <c r="A709" s="34">
        <v>708</v>
      </c>
      <c r="B709" s="46" t="s">
        <v>1336</v>
      </c>
      <c r="C709" s="58">
        <v>46068.427743055552</v>
      </c>
      <c r="D709" s="55" t="s">
        <v>1502</v>
      </c>
      <c r="E709" s="58">
        <v>46068.448576388888</v>
      </c>
      <c r="F709" s="46" t="s">
        <v>1550</v>
      </c>
      <c r="G709" s="46" t="s">
        <v>1551</v>
      </c>
      <c r="H709" s="49">
        <v>5</v>
      </c>
    </row>
    <row r="710" spans="1:8" x14ac:dyDescent="0.3">
      <c r="A710" s="34">
        <v>709</v>
      </c>
      <c r="B710" s="46" t="s">
        <v>1552</v>
      </c>
      <c r="C710" s="58">
        <v>46068.368148148147</v>
      </c>
      <c r="D710" s="55" t="s">
        <v>1502</v>
      </c>
      <c r="E710" s="58">
        <v>46068.389004629629</v>
      </c>
      <c r="F710" s="46" t="s">
        <v>1553</v>
      </c>
      <c r="G710" s="46" t="s">
        <v>90</v>
      </c>
      <c r="H710" s="49">
        <v>5</v>
      </c>
    </row>
    <row r="711" spans="1:8" x14ac:dyDescent="0.3">
      <c r="A711" s="34">
        <v>710</v>
      </c>
      <c r="B711" s="46" t="s">
        <v>347</v>
      </c>
      <c r="C711" s="58">
        <v>46068.286527777767</v>
      </c>
      <c r="D711" s="55" t="s">
        <v>1502</v>
      </c>
      <c r="E711" s="58">
        <v>46068.30736111111</v>
      </c>
      <c r="F711" s="46" t="s">
        <v>1554</v>
      </c>
      <c r="G711" s="46" t="s">
        <v>1555</v>
      </c>
      <c r="H711" s="49">
        <v>3</v>
      </c>
    </row>
    <row r="712" spans="1:8" x14ac:dyDescent="0.3">
      <c r="A712" s="34">
        <v>711</v>
      </c>
      <c r="B712" s="46" t="s">
        <v>1556</v>
      </c>
      <c r="C712" s="58">
        <v>46068.399918981479</v>
      </c>
      <c r="D712" s="55" t="s">
        <v>1502</v>
      </c>
      <c r="E712" s="58">
        <v>46068.420775462961</v>
      </c>
      <c r="F712" s="46" t="s">
        <v>1557</v>
      </c>
      <c r="G712" s="46" t="s">
        <v>1288</v>
      </c>
      <c r="H712" s="49">
        <v>3</v>
      </c>
    </row>
    <row r="713" spans="1:8" x14ac:dyDescent="0.3">
      <c r="A713" s="34">
        <v>712</v>
      </c>
      <c r="B713" s="46" t="s">
        <v>58</v>
      </c>
      <c r="C713" s="58">
        <v>46068.355081018519</v>
      </c>
      <c r="D713" s="55" t="s">
        <v>1502</v>
      </c>
      <c r="E713" s="58">
        <v>46068.375960648147</v>
      </c>
      <c r="F713" s="46" t="s">
        <v>1558</v>
      </c>
      <c r="G713" s="46" t="s">
        <v>104</v>
      </c>
      <c r="H713" s="49">
        <v>3</v>
      </c>
    </row>
    <row r="714" spans="1:8" x14ac:dyDescent="0.3">
      <c r="A714" s="34">
        <v>713</v>
      </c>
      <c r="B714" s="46" t="s">
        <v>1119</v>
      </c>
      <c r="C714" s="58">
        <v>46068.465833333343</v>
      </c>
      <c r="D714" s="55" t="s">
        <v>1502</v>
      </c>
      <c r="E714" s="58">
        <v>46068.486678240741</v>
      </c>
      <c r="F714" s="46" t="s">
        <v>1559</v>
      </c>
      <c r="G714" s="46" t="s">
        <v>884</v>
      </c>
      <c r="H714" s="49">
        <v>3</v>
      </c>
    </row>
    <row r="715" spans="1:8" x14ac:dyDescent="0.3">
      <c r="A715" s="34">
        <v>714</v>
      </c>
      <c r="B715" s="46" t="s">
        <v>1560</v>
      </c>
      <c r="C715" s="58">
        <v>46068.419756944437</v>
      </c>
      <c r="D715" s="55" t="s">
        <v>1502</v>
      </c>
      <c r="E715" s="58">
        <v>46068.440613425933</v>
      </c>
      <c r="F715" s="46" t="s">
        <v>1561</v>
      </c>
      <c r="G715" s="46" t="s">
        <v>1364</v>
      </c>
      <c r="H715" s="49">
        <v>3</v>
      </c>
    </row>
    <row r="716" spans="1:8" x14ac:dyDescent="0.3">
      <c r="A716" s="34">
        <v>715</v>
      </c>
      <c r="B716" s="46" t="s">
        <v>246</v>
      </c>
      <c r="C716" s="58">
        <v>46068.461967592593</v>
      </c>
      <c r="D716" s="55" t="s">
        <v>1502</v>
      </c>
      <c r="E716" s="58">
        <v>46068.482835648138</v>
      </c>
      <c r="F716" s="46" t="s">
        <v>1562</v>
      </c>
      <c r="G716" s="46" t="s">
        <v>388</v>
      </c>
      <c r="H716" s="49">
        <v>4</v>
      </c>
    </row>
    <row r="717" spans="1:8" x14ac:dyDescent="0.3">
      <c r="A717" s="34">
        <v>716</v>
      </c>
      <c r="B717" s="46" t="s">
        <v>1563</v>
      </c>
      <c r="C717" s="58">
        <v>46068.794050925928</v>
      </c>
      <c r="D717" s="55" t="s">
        <v>1502</v>
      </c>
      <c r="E717" s="58">
        <v>46068.814895833333</v>
      </c>
      <c r="F717" s="46" t="s">
        <v>1564</v>
      </c>
      <c r="G717" s="46" t="s">
        <v>1565</v>
      </c>
      <c r="H717" s="49">
        <v>3</v>
      </c>
    </row>
    <row r="718" spans="1:8" x14ac:dyDescent="0.3">
      <c r="A718" s="34">
        <v>717</v>
      </c>
      <c r="B718" s="46" t="s">
        <v>608</v>
      </c>
      <c r="C718" s="58">
        <v>46068.528993055559</v>
      </c>
      <c r="D718" s="55" t="s">
        <v>1502</v>
      </c>
      <c r="E718" s="58">
        <v>46068.549861111111</v>
      </c>
      <c r="F718" s="46" t="s">
        <v>1566</v>
      </c>
      <c r="G718" s="46" t="s">
        <v>213</v>
      </c>
      <c r="H718" s="49">
        <v>4</v>
      </c>
    </row>
    <row r="719" spans="1:8" x14ac:dyDescent="0.3">
      <c r="A719" s="34">
        <v>718</v>
      </c>
      <c r="B719" s="46" t="s">
        <v>1046</v>
      </c>
      <c r="C719" s="58">
        <v>46068.473587962973</v>
      </c>
      <c r="D719" s="55" t="s">
        <v>1502</v>
      </c>
      <c r="E719" s="58">
        <v>46068.494421296287</v>
      </c>
      <c r="F719" s="46" t="s">
        <v>1567</v>
      </c>
      <c r="G719" s="46" t="s">
        <v>1568</v>
      </c>
      <c r="H719" s="49">
        <v>3</v>
      </c>
    </row>
    <row r="720" spans="1:8" x14ac:dyDescent="0.3">
      <c r="A720" s="34">
        <v>719</v>
      </c>
      <c r="B720" s="46" t="s">
        <v>1213</v>
      </c>
      <c r="C720" s="58">
        <v>46068.643078703702</v>
      </c>
      <c r="D720" s="55" t="s">
        <v>1502</v>
      </c>
      <c r="E720" s="58">
        <v>46068.663946759261</v>
      </c>
      <c r="F720" s="46" t="s">
        <v>1569</v>
      </c>
      <c r="G720" s="46" t="s">
        <v>1570</v>
      </c>
      <c r="H720" s="49">
        <v>3</v>
      </c>
    </row>
    <row r="721" spans="1:8" x14ac:dyDescent="0.3">
      <c r="A721" s="34">
        <v>720</v>
      </c>
      <c r="B721" s="46" t="s">
        <v>871</v>
      </c>
      <c r="C721" s="58">
        <v>46068.475497685176</v>
      </c>
      <c r="D721" s="55" t="s">
        <v>1502</v>
      </c>
      <c r="E721" s="58">
        <v>46068.496342592603</v>
      </c>
      <c r="F721" s="46" t="s">
        <v>1571</v>
      </c>
      <c r="G721" s="46" t="s">
        <v>1572</v>
      </c>
      <c r="H721" s="49">
        <v>3</v>
      </c>
    </row>
    <row r="722" spans="1:8" x14ac:dyDescent="0.3">
      <c r="A722" s="34">
        <v>721</v>
      </c>
      <c r="B722" s="46" t="s">
        <v>1573</v>
      </c>
      <c r="C722" s="58">
        <v>46068.350462962961</v>
      </c>
      <c r="D722" s="55" t="s">
        <v>1502</v>
      </c>
      <c r="E722" s="58">
        <v>46068.371331018519</v>
      </c>
      <c r="F722" s="46" t="s">
        <v>1574</v>
      </c>
      <c r="G722" s="46" t="s">
        <v>266</v>
      </c>
      <c r="H722" s="49">
        <v>4</v>
      </c>
    </row>
    <row r="723" spans="1:8" x14ac:dyDescent="0.3">
      <c r="A723" s="34">
        <v>722</v>
      </c>
      <c r="B723" s="46" t="s">
        <v>272</v>
      </c>
      <c r="C723" s="58">
        <v>46068.486875000002</v>
      </c>
      <c r="D723" s="55" t="s">
        <v>1502</v>
      </c>
      <c r="E723" s="58">
        <v>46068.507743055547</v>
      </c>
      <c r="F723" s="46" t="s">
        <v>1575</v>
      </c>
      <c r="G723" s="46" t="s">
        <v>442</v>
      </c>
      <c r="H723" s="49">
        <v>4</v>
      </c>
    </row>
    <row r="724" spans="1:8" x14ac:dyDescent="0.3">
      <c r="A724" s="34">
        <v>723</v>
      </c>
      <c r="B724" s="46" t="s">
        <v>1228</v>
      </c>
      <c r="C724" s="58">
        <v>46068.588923611111</v>
      </c>
      <c r="D724" s="55" t="s">
        <v>1502</v>
      </c>
      <c r="E724" s="58">
        <v>46068.609780092593</v>
      </c>
      <c r="F724" s="46" t="s">
        <v>1576</v>
      </c>
      <c r="G724" s="46" t="s">
        <v>1577</v>
      </c>
      <c r="H724" s="49">
        <v>4</v>
      </c>
    </row>
    <row r="725" spans="1:8" x14ac:dyDescent="0.3">
      <c r="A725" s="34">
        <v>724</v>
      </c>
      <c r="B725" s="46" t="s">
        <v>1578</v>
      </c>
      <c r="C725" s="58">
        <v>46069.334594907406</v>
      </c>
      <c r="D725" s="55" t="s">
        <v>1579</v>
      </c>
      <c r="E725" s="58">
        <v>46069.355428240742</v>
      </c>
      <c r="F725" s="46" t="s">
        <v>1580</v>
      </c>
      <c r="G725" s="46" t="s">
        <v>1581</v>
      </c>
      <c r="H725" s="49">
        <v>4</v>
      </c>
    </row>
    <row r="726" spans="1:8" x14ac:dyDescent="0.3">
      <c r="A726" s="34">
        <v>725</v>
      </c>
      <c r="B726" s="46" t="s">
        <v>1582</v>
      </c>
      <c r="C726" s="58">
        <v>46069.336319444446</v>
      </c>
      <c r="D726" s="55" t="s">
        <v>1579</v>
      </c>
      <c r="E726" s="58">
        <v>46069.357164351852</v>
      </c>
      <c r="F726" s="46" t="s">
        <v>1583</v>
      </c>
      <c r="G726" s="46" t="s">
        <v>1584</v>
      </c>
      <c r="H726" s="49">
        <v>4</v>
      </c>
    </row>
    <row r="727" spans="1:8" x14ac:dyDescent="0.3">
      <c r="A727" s="34">
        <v>726</v>
      </c>
      <c r="B727" s="46" t="s">
        <v>1416</v>
      </c>
      <c r="C727" s="58">
        <v>46069.366469907407</v>
      </c>
      <c r="D727" s="55" t="s">
        <v>1579</v>
      </c>
      <c r="E727" s="58">
        <v>46069.387314814812</v>
      </c>
      <c r="F727" s="46" t="s">
        <v>1585</v>
      </c>
      <c r="G727" s="46" t="s">
        <v>1586</v>
      </c>
      <c r="H727" s="49">
        <v>3</v>
      </c>
    </row>
    <row r="728" spans="1:8" x14ac:dyDescent="0.3">
      <c r="A728" s="34">
        <v>727</v>
      </c>
      <c r="B728" s="46" t="s">
        <v>105</v>
      </c>
      <c r="C728" s="58">
        <v>46069.44195601852</v>
      </c>
      <c r="D728" s="55" t="s">
        <v>1579</v>
      </c>
      <c r="E728" s="58">
        <v>46069.462824074071</v>
      </c>
      <c r="F728" s="46" t="s">
        <v>1587</v>
      </c>
      <c r="G728" s="46" t="s">
        <v>1588</v>
      </c>
      <c r="H728" s="49">
        <v>3</v>
      </c>
    </row>
    <row r="729" spans="1:8" x14ac:dyDescent="0.3">
      <c r="A729" s="34">
        <v>728</v>
      </c>
      <c r="B729" s="46" t="s">
        <v>1589</v>
      </c>
      <c r="C729" s="58">
        <v>46069.336099537039</v>
      </c>
      <c r="D729" s="55" t="s">
        <v>1579</v>
      </c>
      <c r="E729" s="58">
        <v>46069.356932870367</v>
      </c>
      <c r="F729" s="46" t="s">
        <v>1590</v>
      </c>
      <c r="G729" s="46" t="s">
        <v>1591</v>
      </c>
      <c r="H729" s="49">
        <v>4</v>
      </c>
    </row>
    <row r="730" spans="1:8" x14ac:dyDescent="0.3">
      <c r="A730" s="34">
        <v>729</v>
      </c>
      <c r="B730" s="46" t="s">
        <v>1592</v>
      </c>
      <c r="C730" s="58">
        <v>46069.485567129632</v>
      </c>
      <c r="D730" s="55" t="s">
        <v>1579</v>
      </c>
      <c r="E730" s="58">
        <v>46069.506435185183</v>
      </c>
      <c r="F730" s="46" t="s">
        <v>1593</v>
      </c>
      <c r="G730" s="46" t="s">
        <v>1594</v>
      </c>
      <c r="H730" s="49">
        <v>3</v>
      </c>
    </row>
    <row r="731" spans="1:8" x14ac:dyDescent="0.3">
      <c r="A731" s="34">
        <v>730</v>
      </c>
      <c r="B731" s="46" t="s">
        <v>1595</v>
      </c>
      <c r="C731" s="58">
        <v>46069.457997685182</v>
      </c>
      <c r="D731" s="55" t="s">
        <v>1579</v>
      </c>
      <c r="E731" s="58">
        <v>46069.478831018518</v>
      </c>
      <c r="F731" s="46" t="s">
        <v>1596</v>
      </c>
      <c r="G731" s="46" t="s">
        <v>1541</v>
      </c>
      <c r="H731" s="49">
        <v>3</v>
      </c>
    </row>
    <row r="732" spans="1:8" x14ac:dyDescent="0.3">
      <c r="A732" s="34">
        <v>731</v>
      </c>
      <c r="B732" s="46" t="s">
        <v>1597</v>
      </c>
      <c r="C732" s="58">
        <v>46069.601446759261</v>
      </c>
      <c r="D732" s="55" t="s">
        <v>1579</v>
      </c>
      <c r="E732" s="58">
        <v>46069.622303240743</v>
      </c>
      <c r="F732" s="46" t="s">
        <v>1598</v>
      </c>
      <c r="G732" s="46" t="s">
        <v>553</v>
      </c>
      <c r="H732" s="49">
        <v>3</v>
      </c>
    </row>
    <row r="733" spans="1:8" x14ac:dyDescent="0.3">
      <c r="A733" s="34">
        <v>732</v>
      </c>
      <c r="B733" s="46" t="s">
        <v>1305</v>
      </c>
      <c r="C733" s="58">
        <v>46069.427141203712</v>
      </c>
      <c r="D733" s="55" t="s">
        <v>1579</v>
      </c>
      <c r="E733" s="58">
        <v>46069.448009259257</v>
      </c>
      <c r="F733" s="46" t="s">
        <v>1599</v>
      </c>
      <c r="G733" s="46" t="s">
        <v>1600</v>
      </c>
      <c r="H733" s="49">
        <v>3</v>
      </c>
    </row>
    <row r="734" spans="1:8" x14ac:dyDescent="0.3">
      <c r="A734" s="34">
        <v>733</v>
      </c>
      <c r="B734" s="46" t="s">
        <v>1601</v>
      </c>
      <c r="C734" s="58">
        <v>46069.475162037037</v>
      </c>
      <c r="D734" s="55" t="s">
        <v>1579</v>
      </c>
      <c r="E734" s="58">
        <v>46069.495995370373</v>
      </c>
      <c r="F734" s="46" t="s">
        <v>1602</v>
      </c>
      <c r="G734" s="46" t="s">
        <v>1603</v>
      </c>
      <c r="H734" s="49">
        <v>6</v>
      </c>
    </row>
    <row r="735" spans="1:8" x14ac:dyDescent="0.3">
      <c r="A735" s="34">
        <v>734</v>
      </c>
      <c r="B735" s="46" t="s">
        <v>1604</v>
      </c>
      <c r="C735" s="58">
        <v>46069.33556712963</v>
      </c>
      <c r="D735" s="55" t="s">
        <v>1579</v>
      </c>
      <c r="E735" s="58">
        <v>46069.356412037043</v>
      </c>
      <c r="F735" s="46" t="s">
        <v>1605</v>
      </c>
      <c r="G735" s="46" t="s">
        <v>1606</v>
      </c>
      <c r="H735" s="49">
        <v>4</v>
      </c>
    </row>
    <row r="736" spans="1:8" x14ac:dyDescent="0.3">
      <c r="A736" s="34">
        <v>735</v>
      </c>
      <c r="B736" s="46" t="s">
        <v>53</v>
      </c>
      <c r="C736" s="58">
        <v>46069.44740740741</v>
      </c>
      <c r="D736" s="55" t="s">
        <v>1579</v>
      </c>
      <c r="E736" s="58">
        <v>46069.484386574077</v>
      </c>
      <c r="F736" s="46" t="s">
        <v>1607</v>
      </c>
      <c r="G736" s="46" t="s">
        <v>1608</v>
      </c>
      <c r="H736" s="49">
        <v>5</v>
      </c>
    </row>
    <row r="737" spans="1:8" x14ac:dyDescent="0.3">
      <c r="A737" s="34">
        <v>736</v>
      </c>
      <c r="B737" s="46" t="s">
        <v>1609</v>
      </c>
      <c r="C737" s="58">
        <v>46069.471678240741</v>
      </c>
      <c r="D737" s="55" t="s">
        <v>1579</v>
      </c>
      <c r="E737" s="58">
        <v>46069.492511574077</v>
      </c>
      <c r="F737" s="46" t="s">
        <v>1610</v>
      </c>
      <c r="G737" s="46" t="s">
        <v>1611</v>
      </c>
      <c r="H737" s="49">
        <v>3</v>
      </c>
    </row>
    <row r="738" spans="1:8" x14ac:dyDescent="0.3">
      <c r="A738" s="34">
        <v>737</v>
      </c>
      <c r="B738" s="46" t="s">
        <v>1612</v>
      </c>
      <c r="C738" s="58">
        <v>46069.523078703707</v>
      </c>
      <c r="D738" s="55" t="s">
        <v>1579</v>
      </c>
      <c r="E738" s="58">
        <v>46069.543935185182</v>
      </c>
      <c r="F738" s="46" t="s">
        <v>1613</v>
      </c>
      <c r="G738" s="46" t="s">
        <v>977</v>
      </c>
      <c r="H738" s="49">
        <v>3</v>
      </c>
    </row>
    <row r="739" spans="1:8" x14ac:dyDescent="0.3">
      <c r="A739" s="34">
        <v>738</v>
      </c>
      <c r="B739" s="46" t="s">
        <v>1316</v>
      </c>
      <c r="C739" s="58">
        <v>46069.426516203697</v>
      </c>
      <c r="D739" s="55" t="s">
        <v>1579</v>
      </c>
      <c r="E739" s="58">
        <v>46069.447372685187</v>
      </c>
      <c r="F739" s="46" t="s">
        <v>1614</v>
      </c>
      <c r="G739" s="46" t="s">
        <v>1615</v>
      </c>
      <c r="H739" s="49">
        <v>3</v>
      </c>
    </row>
    <row r="740" spans="1:8" x14ac:dyDescent="0.3">
      <c r="A740" s="34">
        <v>739</v>
      </c>
      <c r="B740" s="46" t="s">
        <v>149</v>
      </c>
      <c r="C740" s="58">
        <v>46069.752800925933</v>
      </c>
      <c r="D740" s="55" t="s">
        <v>1579</v>
      </c>
      <c r="E740" s="58">
        <v>46069.773668981477</v>
      </c>
      <c r="F740" s="46" t="s">
        <v>1616</v>
      </c>
      <c r="G740" s="46" t="s">
        <v>1617</v>
      </c>
      <c r="H740" s="49">
        <v>3</v>
      </c>
    </row>
    <row r="741" spans="1:8" x14ac:dyDescent="0.3">
      <c r="A741" s="34">
        <v>740</v>
      </c>
      <c r="B741" s="46" t="s">
        <v>155</v>
      </c>
      <c r="C741" s="58">
        <v>46069.571944444448</v>
      </c>
      <c r="D741" s="55" t="s">
        <v>1579</v>
      </c>
      <c r="E741" s="58">
        <v>46069.611655092587</v>
      </c>
      <c r="F741" s="46" t="s">
        <v>1618</v>
      </c>
      <c r="G741" s="46" t="s">
        <v>183</v>
      </c>
      <c r="H741" s="49">
        <v>3</v>
      </c>
    </row>
    <row r="742" spans="1:8" x14ac:dyDescent="0.3">
      <c r="A742" s="34">
        <v>741</v>
      </c>
      <c r="B742" s="46" t="s">
        <v>807</v>
      </c>
      <c r="C742" s="58">
        <v>46069.031909722216</v>
      </c>
      <c r="D742" s="55" t="s">
        <v>1579</v>
      </c>
      <c r="E742" s="58">
        <v>46069.052743055552</v>
      </c>
      <c r="F742" s="46" t="s">
        <v>1619</v>
      </c>
      <c r="G742" s="46" t="s">
        <v>1288</v>
      </c>
      <c r="H742" s="49">
        <v>3</v>
      </c>
    </row>
    <row r="743" spans="1:8" x14ac:dyDescent="0.3">
      <c r="A743" s="34">
        <v>742</v>
      </c>
      <c r="B743" s="46" t="s">
        <v>161</v>
      </c>
      <c r="C743" s="58">
        <v>46069.571909722217</v>
      </c>
      <c r="D743" s="55" t="s">
        <v>1579</v>
      </c>
      <c r="E743" s="58">
        <v>46069.592777777783</v>
      </c>
      <c r="F743" s="46" t="s">
        <v>1620</v>
      </c>
      <c r="G743" s="46" t="s">
        <v>183</v>
      </c>
      <c r="H743" s="49">
        <v>6</v>
      </c>
    </row>
    <row r="744" spans="1:8" x14ac:dyDescent="0.3">
      <c r="A744" s="34">
        <v>743</v>
      </c>
      <c r="B744" s="46" t="s">
        <v>164</v>
      </c>
      <c r="C744" s="58">
        <v>46069.427743055552</v>
      </c>
      <c r="D744" s="55" t="s">
        <v>1579</v>
      </c>
      <c r="E744" s="58">
        <v>46069.448587962957</v>
      </c>
      <c r="F744" s="46" t="s">
        <v>1621</v>
      </c>
      <c r="G744" s="46" t="s">
        <v>1622</v>
      </c>
      <c r="H744" s="49">
        <v>3</v>
      </c>
    </row>
    <row r="745" spans="1:8" x14ac:dyDescent="0.3">
      <c r="A745" s="34">
        <v>744</v>
      </c>
      <c r="B745" s="46" t="s">
        <v>1623</v>
      </c>
      <c r="C745" s="58">
        <v>46069.346585648149</v>
      </c>
      <c r="D745" s="55" t="s">
        <v>1579</v>
      </c>
      <c r="E745" s="58">
        <v>46069.367430555547</v>
      </c>
      <c r="F745" s="46" t="s">
        <v>1624</v>
      </c>
      <c r="G745" s="46" t="s">
        <v>1625</v>
      </c>
      <c r="H745" s="49">
        <v>3</v>
      </c>
    </row>
    <row r="746" spans="1:8" x14ac:dyDescent="0.3">
      <c r="A746" s="34">
        <v>745</v>
      </c>
      <c r="B746" s="46" t="s">
        <v>1626</v>
      </c>
      <c r="C746" s="58">
        <v>46069.478761574072</v>
      </c>
      <c r="D746" s="55" t="s">
        <v>1579</v>
      </c>
      <c r="E746" s="58">
        <v>46069.499641203707</v>
      </c>
      <c r="F746" s="46" t="s">
        <v>1627</v>
      </c>
      <c r="G746" s="46" t="s">
        <v>113</v>
      </c>
      <c r="H746" s="49">
        <v>3</v>
      </c>
    </row>
    <row r="747" spans="1:8" x14ac:dyDescent="0.3">
      <c r="A747" s="34">
        <v>746</v>
      </c>
      <c r="B747" s="46" t="s">
        <v>324</v>
      </c>
      <c r="C747" s="58">
        <v>46069.624444444453</v>
      </c>
      <c r="D747" s="55" t="s">
        <v>1579</v>
      </c>
      <c r="E747" s="58">
        <v>46069.645312499997</v>
      </c>
      <c r="F747" s="46" t="s">
        <v>1628</v>
      </c>
      <c r="G747" s="46" t="s">
        <v>442</v>
      </c>
      <c r="H747" s="49">
        <v>3</v>
      </c>
    </row>
    <row r="748" spans="1:8" x14ac:dyDescent="0.3">
      <c r="A748" s="34">
        <v>747</v>
      </c>
      <c r="B748" s="46" t="s">
        <v>37</v>
      </c>
      <c r="C748" s="58">
        <v>46069.444293981483</v>
      </c>
      <c r="D748" s="55" t="s">
        <v>1579</v>
      </c>
      <c r="E748" s="58">
        <v>46069.465138888889</v>
      </c>
      <c r="F748" s="46" t="s">
        <v>1629</v>
      </c>
      <c r="G748" s="46" t="s">
        <v>1630</v>
      </c>
      <c r="H748" s="49">
        <v>3</v>
      </c>
    </row>
    <row r="749" spans="1:8" x14ac:dyDescent="0.3">
      <c r="A749" s="34">
        <v>748</v>
      </c>
      <c r="B749" s="46" t="s">
        <v>1631</v>
      </c>
      <c r="C749" s="58">
        <v>46069.693703703713</v>
      </c>
      <c r="D749" s="55" t="s">
        <v>1579</v>
      </c>
      <c r="E749" s="58">
        <v>46069.714560185188</v>
      </c>
      <c r="F749" s="46" t="s">
        <v>1632</v>
      </c>
      <c r="G749" s="46" t="s">
        <v>333</v>
      </c>
      <c r="H749" s="49">
        <v>3</v>
      </c>
    </row>
    <row r="750" spans="1:8" x14ac:dyDescent="0.3">
      <c r="A750" s="34">
        <v>749</v>
      </c>
      <c r="B750" s="46" t="s">
        <v>429</v>
      </c>
      <c r="C750" s="58">
        <v>46069.373344907413</v>
      </c>
      <c r="D750" s="55" t="s">
        <v>1579</v>
      </c>
      <c r="E750" s="58">
        <v>46069.394212962958</v>
      </c>
      <c r="F750" s="46" t="s">
        <v>1633</v>
      </c>
      <c r="G750" s="46" t="s">
        <v>1634</v>
      </c>
      <c r="H750" s="49">
        <v>3</v>
      </c>
    </row>
    <row r="751" spans="1:8" x14ac:dyDescent="0.3">
      <c r="A751" s="34">
        <v>750</v>
      </c>
      <c r="B751" s="46" t="s">
        <v>432</v>
      </c>
      <c r="C751" s="58">
        <v>46069.425335648149</v>
      </c>
      <c r="D751" s="55" t="s">
        <v>1579</v>
      </c>
      <c r="E751" s="58">
        <v>46069.446215277778</v>
      </c>
      <c r="F751" s="46" t="s">
        <v>1635</v>
      </c>
      <c r="G751" s="46" t="s">
        <v>1074</v>
      </c>
      <c r="H751" s="49">
        <v>3</v>
      </c>
    </row>
    <row r="752" spans="1:8" x14ac:dyDescent="0.3">
      <c r="A752" s="34">
        <v>751</v>
      </c>
      <c r="B752" s="46" t="s">
        <v>202</v>
      </c>
      <c r="C752" s="58">
        <v>46069.426759259259</v>
      </c>
      <c r="D752" s="55" t="s">
        <v>1579</v>
      </c>
      <c r="E752" s="58">
        <v>46069.447604166657</v>
      </c>
      <c r="F752" s="46" t="s">
        <v>1636</v>
      </c>
      <c r="G752" s="46" t="s">
        <v>1637</v>
      </c>
      <c r="H752" s="49">
        <v>3</v>
      </c>
    </row>
    <row r="753" spans="1:8" x14ac:dyDescent="0.3">
      <c r="A753" s="34">
        <v>752</v>
      </c>
      <c r="B753" s="46" t="s">
        <v>205</v>
      </c>
      <c r="C753" s="58">
        <v>46069.442754629628</v>
      </c>
      <c r="D753" s="55" t="s">
        <v>1579</v>
      </c>
      <c r="E753" s="58">
        <v>46069.463645833333</v>
      </c>
      <c r="F753" s="46" t="s">
        <v>1638</v>
      </c>
      <c r="G753" s="46" t="s">
        <v>1639</v>
      </c>
      <c r="H753" s="49">
        <v>3</v>
      </c>
    </row>
    <row r="754" spans="1:8" x14ac:dyDescent="0.3">
      <c r="A754" s="34">
        <v>753</v>
      </c>
      <c r="B754" s="46" t="s">
        <v>339</v>
      </c>
      <c r="C754" s="58">
        <v>46069.749432870369</v>
      </c>
      <c r="D754" s="55" t="s">
        <v>1579</v>
      </c>
      <c r="E754" s="58">
        <v>46069.770277777781</v>
      </c>
      <c r="F754" s="46" t="s">
        <v>1640</v>
      </c>
      <c r="G754" s="46" t="s">
        <v>1641</v>
      </c>
      <c r="H754" s="49">
        <v>4</v>
      </c>
    </row>
    <row r="755" spans="1:8" x14ac:dyDescent="0.3">
      <c r="A755" s="34">
        <v>754</v>
      </c>
      <c r="B755" s="46" t="s">
        <v>57</v>
      </c>
      <c r="C755" s="58">
        <v>46069.758935185193</v>
      </c>
      <c r="D755" s="55" t="s">
        <v>1579</v>
      </c>
      <c r="E755" s="58">
        <v>46069.779780092591</v>
      </c>
      <c r="F755" s="46" t="s">
        <v>1642</v>
      </c>
      <c r="G755" s="46" t="s">
        <v>1643</v>
      </c>
      <c r="H755" s="49">
        <v>5</v>
      </c>
    </row>
    <row r="756" spans="1:8" x14ac:dyDescent="0.3">
      <c r="A756" s="34">
        <v>755</v>
      </c>
      <c r="B756" s="46" t="s">
        <v>1644</v>
      </c>
      <c r="C756" s="58">
        <v>46069.335856481477</v>
      </c>
      <c r="D756" s="55" t="s">
        <v>1579</v>
      </c>
      <c r="E756" s="58">
        <v>46069.35670138889</v>
      </c>
      <c r="F756" s="46" t="s">
        <v>1645</v>
      </c>
      <c r="G756" s="46" t="s">
        <v>1584</v>
      </c>
      <c r="H756" s="49">
        <v>4</v>
      </c>
    </row>
    <row r="757" spans="1:8" x14ac:dyDescent="0.3">
      <c r="A757" s="34">
        <v>756</v>
      </c>
      <c r="B757" s="46" t="s">
        <v>704</v>
      </c>
      <c r="C757" s="58">
        <v>46069.681967592587</v>
      </c>
      <c r="D757" s="55" t="s">
        <v>1579</v>
      </c>
      <c r="E757" s="58">
        <v>46069.702800925923</v>
      </c>
      <c r="F757" s="46" t="s">
        <v>1646</v>
      </c>
      <c r="G757" s="46" t="s">
        <v>779</v>
      </c>
      <c r="H757" s="49">
        <v>4</v>
      </c>
    </row>
    <row r="758" spans="1:8" x14ac:dyDescent="0.3">
      <c r="A758" s="34">
        <v>757</v>
      </c>
      <c r="B758" s="46" t="s">
        <v>40</v>
      </c>
      <c r="C758" s="58">
        <v>46069.427175925928</v>
      </c>
      <c r="D758" s="55" t="s">
        <v>1579</v>
      </c>
      <c r="E758" s="58">
        <v>46069.448009259257</v>
      </c>
      <c r="F758" s="46" t="s">
        <v>1647</v>
      </c>
      <c r="G758" s="46" t="s">
        <v>1648</v>
      </c>
      <c r="H758" s="49">
        <v>3</v>
      </c>
    </row>
    <row r="759" spans="1:8" x14ac:dyDescent="0.3">
      <c r="A759" s="34">
        <v>758</v>
      </c>
      <c r="B759" s="46" t="s">
        <v>1649</v>
      </c>
      <c r="C759" s="58">
        <v>46069.336574074077</v>
      </c>
      <c r="D759" s="55" t="s">
        <v>1579</v>
      </c>
      <c r="E759" s="58">
        <v>46069.357453703713</v>
      </c>
      <c r="F759" s="46" t="s">
        <v>1650</v>
      </c>
      <c r="G759" s="46" t="s">
        <v>1651</v>
      </c>
      <c r="H759" s="49">
        <v>4</v>
      </c>
    </row>
    <row r="760" spans="1:8" x14ac:dyDescent="0.3">
      <c r="A760" s="34">
        <v>759</v>
      </c>
      <c r="B760" s="46" t="s">
        <v>237</v>
      </c>
      <c r="C760" s="58">
        <v>46069.742164351846</v>
      </c>
      <c r="D760" s="55" t="s">
        <v>1579</v>
      </c>
      <c r="E760" s="58">
        <v>46069.763032407413</v>
      </c>
      <c r="F760" s="46" t="s">
        <v>1652</v>
      </c>
      <c r="G760" s="46" t="s">
        <v>1653</v>
      </c>
      <c r="H760" s="49">
        <v>4</v>
      </c>
    </row>
    <row r="761" spans="1:8" x14ac:dyDescent="0.3">
      <c r="A761" s="34">
        <v>760</v>
      </c>
      <c r="B761" s="46" t="s">
        <v>1480</v>
      </c>
      <c r="C761" s="58">
        <v>46069.349791666667</v>
      </c>
      <c r="D761" s="55" t="s">
        <v>1579</v>
      </c>
      <c r="E761" s="58">
        <v>46069.370694444442</v>
      </c>
      <c r="F761" s="46" t="s">
        <v>1654</v>
      </c>
      <c r="G761" s="46" t="s">
        <v>1655</v>
      </c>
      <c r="H761" s="49">
        <v>4</v>
      </c>
    </row>
    <row r="762" spans="1:8" x14ac:dyDescent="0.3">
      <c r="A762" s="34">
        <v>761</v>
      </c>
      <c r="B762" s="46" t="s">
        <v>1656</v>
      </c>
      <c r="C762" s="58">
        <v>46069.348946759259</v>
      </c>
      <c r="D762" s="55" t="s">
        <v>1579</v>
      </c>
      <c r="E762" s="58">
        <v>46069.369814814818</v>
      </c>
      <c r="F762" s="46" t="s">
        <v>1657</v>
      </c>
      <c r="G762" s="46" t="s">
        <v>333</v>
      </c>
      <c r="H762" s="49">
        <v>3</v>
      </c>
    </row>
    <row r="763" spans="1:8" x14ac:dyDescent="0.3">
      <c r="A763" s="34">
        <v>762</v>
      </c>
      <c r="B763" s="46" t="s">
        <v>1658</v>
      </c>
      <c r="C763" s="58">
        <v>46069.535763888889</v>
      </c>
      <c r="D763" s="55" t="s">
        <v>1579</v>
      </c>
      <c r="E763" s="58">
        <v>46069.556631944448</v>
      </c>
      <c r="F763" s="46" t="s">
        <v>1659</v>
      </c>
      <c r="G763" s="46" t="s">
        <v>1660</v>
      </c>
      <c r="H763" s="49">
        <v>3</v>
      </c>
    </row>
    <row r="764" spans="1:8" x14ac:dyDescent="0.3">
      <c r="A764" s="34">
        <v>763</v>
      </c>
      <c r="B764" s="46" t="s">
        <v>603</v>
      </c>
      <c r="C764" s="58">
        <v>46069.38690972222</v>
      </c>
      <c r="D764" s="55" t="s">
        <v>1579</v>
      </c>
      <c r="E764" s="58">
        <v>46069.407766203702</v>
      </c>
      <c r="F764" s="46" t="s">
        <v>1661</v>
      </c>
      <c r="G764" s="46" t="s">
        <v>1662</v>
      </c>
      <c r="H764" s="49">
        <v>3</v>
      </c>
    </row>
    <row r="765" spans="1:8" x14ac:dyDescent="0.3">
      <c r="A765" s="34">
        <v>764</v>
      </c>
      <c r="B765" s="46" t="s">
        <v>1663</v>
      </c>
      <c r="C765" s="58">
        <v>46069.337731481479</v>
      </c>
      <c r="D765" s="55" t="s">
        <v>1579</v>
      </c>
      <c r="E765" s="58">
        <v>46069.358611111107</v>
      </c>
      <c r="F765" s="46" t="s">
        <v>1664</v>
      </c>
      <c r="G765" s="46" t="s">
        <v>1665</v>
      </c>
      <c r="H765" s="49">
        <v>4</v>
      </c>
    </row>
    <row r="766" spans="1:8" x14ac:dyDescent="0.3">
      <c r="A766" s="34">
        <v>765</v>
      </c>
      <c r="B766" s="46" t="s">
        <v>1666</v>
      </c>
      <c r="C766" s="58">
        <v>46069.349351851852</v>
      </c>
      <c r="D766" s="55" t="s">
        <v>1579</v>
      </c>
      <c r="E766" s="58">
        <v>46069.370219907411</v>
      </c>
      <c r="F766" s="46" t="s">
        <v>1667</v>
      </c>
      <c r="G766" s="46" t="s">
        <v>107</v>
      </c>
      <c r="H766" s="49">
        <v>3</v>
      </c>
    </row>
    <row r="767" spans="1:8" x14ac:dyDescent="0.3">
      <c r="A767" s="34">
        <v>766</v>
      </c>
      <c r="B767" s="46" t="s">
        <v>1668</v>
      </c>
      <c r="C767" s="58">
        <v>46069.385462962957</v>
      </c>
      <c r="D767" s="55" t="s">
        <v>1579</v>
      </c>
      <c r="E767" s="58">
        <v>46069.406365740739</v>
      </c>
      <c r="F767" s="46" t="s">
        <v>1669</v>
      </c>
      <c r="G767" s="46" t="s">
        <v>1670</v>
      </c>
      <c r="H767" s="49">
        <v>4</v>
      </c>
    </row>
    <row r="768" spans="1:8" ht="16.2" customHeight="1" x14ac:dyDescent="0.3">
      <c r="A768" s="34">
        <v>767</v>
      </c>
      <c r="B768" s="46" t="s">
        <v>1671</v>
      </c>
      <c r="C768" s="58">
        <v>46069.451249999998</v>
      </c>
      <c r="D768" s="55" t="s">
        <v>1579</v>
      </c>
      <c r="E768" s="58">
        <v>46069.472094907411</v>
      </c>
      <c r="F768" s="46" t="s">
        <v>1672</v>
      </c>
      <c r="G768" s="46" t="s">
        <v>1673</v>
      </c>
      <c r="H768" s="49">
        <v>3</v>
      </c>
    </row>
    <row r="769" spans="1:8" x14ac:dyDescent="0.3">
      <c r="A769" s="34">
        <v>768</v>
      </c>
      <c r="B769" s="46" t="s">
        <v>497</v>
      </c>
      <c r="C769" s="58">
        <v>46070.282951388886</v>
      </c>
      <c r="D769" s="55" t="s">
        <v>1674</v>
      </c>
      <c r="E769" s="58">
        <v>46070.303784722222</v>
      </c>
      <c r="F769" s="46" t="s">
        <v>1675</v>
      </c>
      <c r="G769" s="46" t="s">
        <v>213</v>
      </c>
      <c r="H769" s="49">
        <v>4</v>
      </c>
    </row>
    <row r="770" spans="1:8" x14ac:dyDescent="0.3">
      <c r="A770" s="34">
        <v>769</v>
      </c>
      <c r="B770" s="46" t="s">
        <v>102</v>
      </c>
      <c r="C770" s="58">
        <v>46070.797372685192</v>
      </c>
      <c r="D770" s="55" t="s">
        <v>1674</v>
      </c>
      <c r="E770" s="58">
        <v>46070.818206018521</v>
      </c>
      <c r="F770" s="46" t="s">
        <v>1676</v>
      </c>
      <c r="G770" s="46" t="s">
        <v>660</v>
      </c>
      <c r="H770" s="49">
        <v>3</v>
      </c>
    </row>
    <row r="771" spans="1:8" x14ac:dyDescent="0.3">
      <c r="A771" s="34">
        <v>770</v>
      </c>
      <c r="B771" s="46" t="s">
        <v>1677</v>
      </c>
      <c r="C771" s="58">
        <v>46070.294803240737</v>
      </c>
      <c r="D771" s="55" t="s">
        <v>1674</v>
      </c>
      <c r="E771" s="58">
        <v>46070.334675925929</v>
      </c>
      <c r="F771" s="46" t="s">
        <v>1678</v>
      </c>
      <c r="G771" s="46" t="s">
        <v>1679</v>
      </c>
      <c r="H771" s="49">
        <v>3</v>
      </c>
    </row>
    <row r="772" spans="1:8" x14ac:dyDescent="0.3">
      <c r="A772" s="34">
        <v>771</v>
      </c>
      <c r="B772" s="46" t="s">
        <v>120</v>
      </c>
      <c r="C772" s="58">
        <v>46070.318692129629</v>
      </c>
      <c r="D772" s="55" t="s">
        <v>1674</v>
      </c>
      <c r="E772" s="58">
        <v>46070.339548611111</v>
      </c>
      <c r="F772" s="46" t="s">
        <v>1680</v>
      </c>
      <c r="G772" s="46" t="s">
        <v>113</v>
      </c>
      <c r="H772" s="49">
        <v>3</v>
      </c>
    </row>
    <row r="773" spans="1:8" x14ac:dyDescent="0.3">
      <c r="A773" s="34">
        <v>772</v>
      </c>
      <c r="B773" s="46" t="s">
        <v>1681</v>
      </c>
      <c r="C773" s="58">
        <v>46070.356192129628</v>
      </c>
      <c r="D773" s="55" t="s">
        <v>1674</v>
      </c>
      <c r="E773" s="58">
        <v>46070.377025462964</v>
      </c>
      <c r="F773" s="46" t="s">
        <v>1682</v>
      </c>
      <c r="G773" s="46" t="s">
        <v>333</v>
      </c>
      <c r="H773" s="49">
        <v>5</v>
      </c>
    </row>
    <row r="774" spans="1:8" x14ac:dyDescent="0.3">
      <c r="A774" s="34">
        <v>773</v>
      </c>
      <c r="B774" s="46" t="s">
        <v>1683</v>
      </c>
      <c r="C774" s="58">
        <v>46070.435798611114</v>
      </c>
      <c r="D774" s="55" t="s">
        <v>1674</v>
      </c>
      <c r="E774" s="58">
        <v>46070.456666666672</v>
      </c>
      <c r="F774" s="46" t="s">
        <v>1684</v>
      </c>
      <c r="G774" s="46" t="s">
        <v>104</v>
      </c>
      <c r="H774" s="49">
        <v>3</v>
      </c>
    </row>
    <row r="775" spans="1:8" x14ac:dyDescent="0.3">
      <c r="A775" s="34">
        <v>774</v>
      </c>
      <c r="B775" s="46" t="s">
        <v>1685</v>
      </c>
      <c r="C775" s="58">
        <v>46070.409872685188</v>
      </c>
      <c r="D775" s="55" t="s">
        <v>1674</v>
      </c>
      <c r="E775" s="58">
        <v>46070.446770833332</v>
      </c>
      <c r="F775" s="46" t="s">
        <v>1686</v>
      </c>
      <c r="G775" s="46" t="s">
        <v>1687</v>
      </c>
      <c r="H775" s="49">
        <v>4</v>
      </c>
    </row>
    <row r="776" spans="1:8" x14ac:dyDescent="0.3">
      <c r="A776" s="34">
        <v>775</v>
      </c>
      <c r="B776" s="46" t="s">
        <v>1688</v>
      </c>
      <c r="C776" s="58">
        <v>46070.442511574067</v>
      </c>
      <c r="D776" s="55" t="s">
        <v>1674</v>
      </c>
      <c r="E776" s="58">
        <v>46070.463368055563</v>
      </c>
      <c r="F776" s="46" t="s">
        <v>1689</v>
      </c>
      <c r="G776" s="46" t="s">
        <v>514</v>
      </c>
      <c r="H776" s="49">
        <v>3</v>
      </c>
    </row>
    <row r="777" spans="1:8" x14ac:dyDescent="0.3">
      <c r="A777" s="34">
        <v>776</v>
      </c>
      <c r="B777" s="46" t="s">
        <v>653</v>
      </c>
      <c r="C777" s="58">
        <v>46070.435173611113</v>
      </c>
      <c r="D777" s="55" t="s">
        <v>1674</v>
      </c>
      <c r="E777" s="58">
        <v>46070.456030092602</v>
      </c>
      <c r="F777" s="46" t="s">
        <v>1690</v>
      </c>
      <c r="G777" s="46" t="s">
        <v>1691</v>
      </c>
      <c r="H777" s="49">
        <v>3</v>
      </c>
    </row>
    <row r="778" spans="1:8" x14ac:dyDescent="0.3">
      <c r="A778" s="34">
        <v>777</v>
      </c>
      <c r="B778" s="46" t="s">
        <v>1692</v>
      </c>
      <c r="C778" s="58">
        <v>46070.405266203707</v>
      </c>
      <c r="D778" s="55" t="s">
        <v>1674</v>
      </c>
      <c r="E778" s="58">
        <v>46070.426122685189</v>
      </c>
      <c r="F778" s="46" t="s">
        <v>1693</v>
      </c>
      <c r="G778" s="46" t="s">
        <v>1694</v>
      </c>
      <c r="H778" s="49">
        <v>3</v>
      </c>
    </row>
    <row r="779" spans="1:8" x14ac:dyDescent="0.3">
      <c r="A779" s="34">
        <v>778</v>
      </c>
      <c r="B779" s="46" t="s">
        <v>135</v>
      </c>
      <c r="C779" s="58">
        <v>46070.417442129627</v>
      </c>
      <c r="D779" s="55" t="s">
        <v>1674</v>
      </c>
      <c r="E779" s="58">
        <v>46070.438321759262</v>
      </c>
      <c r="F779" s="46" t="s">
        <v>1695</v>
      </c>
      <c r="G779" s="46" t="s">
        <v>1696</v>
      </c>
      <c r="H779" s="49">
        <v>3</v>
      </c>
    </row>
    <row r="780" spans="1:8" x14ac:dyDescent="0.3">
      <c r="A780" s="34">
        <v>779</v>
      </c>
      <c r="B780" s="46" t="s">
        <v>307</v>
      </c>
      <c r="C780" s="58">
        <v>46070.324745370373</v>
      </c>
      <c r="D780" s="55" t="s">
        <v>1674</v>
      </c>
      <c r="E780" s="58">
        <v>46070.345590277779</v>
      </c>
      <c r="F780" s="46" t="s">
        <v>1697</v>
      </c>
      <c r="G780" s="46" t="s">
        <v>1698</v>
      </c>
      <c r="H780" s="49">
        <v>3</v>
      </c>
    </row>
    <row r="781" spans="1:8" x14ac:dyDescent="0.3">
      <c r="A781" s="34">
        <v>780</v>
      </c>
      <c r="B781" s="46" t="s">
        <v>802</v>
      </c>
      <c r="C781" s="58">
        <v>46070.405104166668</v>
      </c>
      <c r="D781" s="55" t="s">
        <v>1674</v>
      </c>
      <c r="E781" s="58">
        <v>46070.425937499997</v>
      </c>
      <c r="F781" s="46" t="s">
        <v>1699</v>
      </c>
      <c r="G781" s="46" t="s">
        <v>442</v>
      </c>
      <c r="H781" s="49">
        <v>5</v>
      </c>
    </row>
    <row r="782" spans="1:8" x14ac:dyDescent="0.3">
      <c r="A782" s="34">
        <v>781</v>
      </c>
      <c r="B782" s="46" t="s">
        <v>1700</v>
      </c>
      <c r="C782" s="58">
        <v>46070.461886574078</v>
      </c>
      <c r="D782" s="55" t="s">
        <v>1674</v>
      </c>
      <c r="E782" s="58">
        <v>46070.482754629629</v>
      </c>
      <c r="F782" s="46" t="s">
        <v>1701</v>
      </c>
      <c r="G782" s="46" t="s">
        <v>1702</v>
      </c>
      <c r="H782" s="49">
        <v>3</v>
      </c>
    </row>
    <row r="783" spans="1:8" x14ac:dyDescent="0.3">
      <c r="A783" s="34">
        <v>782</v>
      </c>
      <c r="B783" s="46" t="s">
        <v>1319</v>
      </c>
      <c r="C783" s="58">
        <v>46070.298344907409</v>
      </c>
      <c r="D783" s="55" t="s">
        <v>1674</v>
      </c>
      <c r="E783" s="58">
        <v>46070.319178240738</v>
      </c>
      <c r="F783" s="46" t="s">
        <v>1703</v>
      </c>
      <c r="G783" s="46" t="s">
        <v>1600</v>
      </c>
      <c r="H783" s="49">
        <v>5</v>
      </c>
    </row>
    <row r="784" spans="1:8" x14ac:dyDescent="0.3">
      <c r="A784" s="34">
        <v>783</v>
      </c>
      <c r="B784" s="46" t="s">
        <v>155</v>
      </c>
      <c r="C784" s="58">
        <v>46070.79650462963</v>
      </c>
      <c r="D784" s="55" t="s">
        <v>1674</v>
      </c>
      <c r="E784" s="58">
        <v>46070.817337962973</v>
      </c>
      <c r="F784" s="46" t="s">
        <v>1704</v>
      </c>
      <c r="G784" s="46" t="s">
        <v>660</v>
      </c>
      <c r="H784" s="49">
        <v>4</v>
      </c>
    </row>
    <row r="785" spans="1:8" x14ac:dyDescent="0.3">
      <c r="A785" s="34">
        <v>784</v>
      </c>
      <c r="B785" s="46" t="s">
        <v>161</v>
      </c>
      <c r="C785" s="58">
        <v>46070.412974537037</v>
      </c>
      <c r="D785" s="55" t="s">
        <v>1674</v>
      </c>
      <c r="E785" s="58">
        <v>46070.433831018519</v>
      </c>
      <c r="F785" s="46" t="s">
        <v>1705</v>
      </c>
      <c r="G785" s="46" t="s">
        <v>927</v>
      </c>
      <c r="H785" s="49">
        <v>6</v>
      </c>
    </row>
    <row r="786" spans="1:8" x14ac:dyDescent="0.3">
      <c r="A786" s="34">
        <v>785</v>
      </c>
      <c r="B786" s="46" t="s">
        <v>167</v>
      </c>
      <c r="C786" s="58">
        <v>46070.34547453704</v>
      </c>
      <c r="D786" s="55" t="s">
        <v>1674</v>
      </c>
      <c r="E786" s="58">
        <v>46070.366342592592</v>
      </c>
      <c r="F786" s="46" t="s">
        <v>1706</v>
      </c>
      <c r="G786" s="46" t="s">
        <v>1707</v>
      </c>
      <c r="H786" s="49">
        <v>4</v>
      </c>
    </row>
    <row r="787" spans="1:8" x14ac:dyDescent="0.3">
      <c r="A787" s="34">
        <v>786</v>
      </c>
      <c r="B787" s="46" t="s">
        <v>1708</v>
      </c>
      <c r="C787" s="58">
        <v>46070.363020833327</v>
      </c>
      <c r="D787" s="55" t="s">
        <v>1674</v>
      </c>
      <c r="E787" s="58">
        <v>46070.383877314824</v>
      </c>
      <c r="F787" s="46" t="s">
        <v>1709</v>
      </c>
      <c r="G787" s="46" t="s">
        <v>1710</v>
      </c>
      <c r="H787" s="49">
        <v>3</v>
      </c>
    </row>
    <row r="788" spans="1:8" x14ac:dyDescent="0.3">
      <c r="A788" s="34">
        <v>787</v>
      </c>
      <c r="B788" s="46" t="s">
        <v>36</v>
      </c>
      <c r="C788" s="58">
        <v>46070.424108796287</v>
      </c>
      <c r="D788" s="55" t="s">
        <v>1674</v>
      </c>
      <c r="E788" s="58">
        <v>46070.444953703707</v>
      </c>
      <c r="F788" s="46" t="s">
        <v>1711</v>
      </c>
      <c r="G788" s="46" t="s">
        <v>242</v>
      </c>
      <c r="H788" s="49">
        <v>3</v>
      </c>
    </row>
    <row r="789" spans="1:8" x14ac:dyDescent="0.3">
      <c r="A789" s="34">
        <v>788</v>
      </c>
      <c r="B789" s="46" t="s">
        <v>1631</v>
      </c>
      <c r="C789" s="58">
        <v>46070.292997685188</v>
      </c>
      <c r="D789" s="55" t="s">
        <v>1674</v>
      </c>
      <c r="E789" s="58">
        <v>46070.313854166663</v>
      </c>
      <c r="F789" s="46" t="s">
        <v>1712</v>
      </c>
      <c r="G789" s="46" t="s">
        <v>1713</v>
      </c>
      <c r="H789" s="49">
        <v>3</v>
      </c>
    </row>
    <row r="790" spans="1:8" x14ac:dyDescent="0.3">
      <c r="A790" s="34">
        <v>789</v>
      </c>
      <c r="B790" s="46" t="s">
        <v>196</v>
      </c>
      <c r="C790" s="58">
        <v>46070.462696759263</v>
      </c>
      <c r="D790" s="55" t="s">
        <v>1674</v>
      </c>
      <c r="E790" s="58">
        <v>46070.483564814807</v>
      </c>
      <c r="F790" s="46" t="s">
        <v>1714</v>
      </c>
      <c r="G790" s="46" t="s">
        <v>1702</v>
      </c>
      <c r="H790" s="49">
        <v>3</v>
      </c>
    </row>
    <row r="791" spans="1:8" x14ac:dyDescent="0.3">
      <c r="A791" s="34">
        <v>790</v>
      </c>
      <c r="B791" s="46" t="s">
        <v>334</v>
      </c>
      <c r="C791" s="58">
        <v>46070.406840277778</v>
      </c>
      <c r="D791" s="55" t="s">
        <v>1674</v>
      </c>
      <c r="E791" s="58">
        <v>46070.427673611113</v>
      </c>
      <c r="F791" s="46" t="s">
        <v>1715</v>
      </c>
      <c r="G791" s="46" t="s">
        <v>1260</v>
      </c>
      <c r="H791" s="49">
        <v>5</v>
      </c>
    </row>
    <row r="792" spans="1:8" x14ac:dyDescent="0.3">
      <c r="A792" s="34">
        <v>791</v>
      </c>
      <c r="B792" s="46" t="s">
        <v>339</v>
      </c>
      <c r="C792" s="58">
        <v>46070.081365740742</v>
      </c>
      <c r="D792" s="55" t="s">
        <v>1674</v>
      </c>
      <c r="E792" s="58">
        <v>46070.102210648147</v>
      </c>
      <c r="F792" s="46" t="s">
        <v>1716</v>
      </c>
      <c r="G792" s="46" t="s">
        <v>1717</v>
      </c>
      <c r="H792" s="49">
        <v>3</v>
      </c>
    </row>
    <row r="793" spans="1:8" x14ac:dyDescent="0.3">
      <c r="A793" s="34">
        <v>792</v>
      </c>
      <c r="B793" s="46" t="s">
        <v>1111</v>
      </c>
      <c r="C793" s="58">
        <v>46070.383680555547</v>
      </c>
      <c r="D793" s="55" t="s">
        <v>1674</v>
      </c>
      <c r="E793" s="58">
        <v>46070.404560185183</v>
      </c>
      <c r="F793" s="46" t="s">
        <v>1718</v>
      </c>
      <c r="G793" s="46" t="s">
        <v>395</v>
      </c>
      <c r="H793" s="49">
        <v>3</v>
      </c>
    </row>
    <row r="794" spans="1:8" x14ac:dyDescent="0.3">
      <c r="A794" s="34">
        <v>793</v>
      </c>
      <c r="B794" s="46" t="s">
        <v>1719</v>
      </c>
      <c r="C794" s="58">
        <v>46070.413773148153</v>
      </c>
      <c r="D794" s="55" t="s">
        <v>1674</v>
      </c>
      <c r="E794" s="58">
        <v>46070.434641203698</v>
      </c>
      <c r="F794" s="46" t="s">
        <v>1720</v>
      </c>
      <c r="G794" s="46" t="s">
        <v>1721</v>
      </c>
      <c r="H794" s="49">
        <v>3</v>
      </c>
    </row>
    <row r="795" spans="1:8" x14ac:dyDescent="0.3">
      <c r="A795" s="34">
        <v>794</v>
      </c>
      <c r="B795" s="46" t="s">
        <v>355</v>
      </c>
      <c r="C795" s="58">
        <v>46070.662569444437</v>
      </c>
      <c r="D795" s="55" t="s">
        <v>1674</v>
      </c>
      <c r="E795" s="58">
        <v>46070.683437500003</v>
      </c>
      <c r="F795" s="46" t="s">
        <v>1722</v>
      </c>
      <c r="G795" s="46" t="s">
        <v>207</v>
      </c>
      <c r="H795" s="49">
        <v>3</v>
      </c>
    </row>
    <row r="796" spans="1:8" x14ac:dyDescent="0.3">
      <c r="A796" s="34">
        <v>795</v>
      </c>
      <c r="B796" s="46" t="s">
        <v>842</v>
      </c>
      <c r="C796" s="58">
        <v>46070.357465277782</v>
      </c>
      <c r="D796" s="55" t="s">
        <v>1674</v>
      </c>
      <c r="E796" s="58">
        <v>46070.378321759257</v>
      </c>
      <c r="F796" s="46" t="s">
        <v>1723</v>
      </c>
      <c r="G796" s="46" t="s">
        <v>333</v>
      </c>
      <c r="H796" s="49">
        <v>5</v>
      </c>
    </row>
    <row r="797" spans="1:8" x14ac:dyDescent="0.3">
      <c r="A797" s="34">
        <v>796</v>
      </c>
      <c r="B797" s="46" t="s">
        <v>958</v>
      </c>
      <c r="C797" s="58">
        <v>46070.409432870372</v>
      </c>
      <c r="D797" s="55" t="s">
        <v>1674</v>
      </c>
      <c r="E797" s="58">
        <v>46070.430300925917</v>
      </c>
      <c r="F797" s="46" t="s">
        <v>1724</v>
      </c>
      <c r="G797" s="46" t="s">
        <v>1725</v>
      </c>
      <c r="H797" s="49">
        <v>3</v>
      </c>
    </row>
    <row r="798" spans="1:8" x14ac:dyDescent="0.3">
      <c r="A798" s="34">
        <v>797</v>
      </c>
      <c r="B798" s="46" t="s">
        <v>1038</v>
      </c>
      <c r="C798" s="58">
        <v>46070.416400462957</v>
      </c>
      <c r="D798" s="55" t="s">
        <v>1674</v>
      </c>
      <c r="E798" s="58">
        <v>46070.437268518523</v>
      </c>
      <c r="F798" s="46" t="s">
        <v>1726</v>
      </c>
      <c r="G798" s="46" t="s">
        <v>1727</v>
      </c>
      <c r="H798" s="49">
        <v>4</v>
      </c>
    </row>
    <row r="799" spans="1:8" x14ac:dyDescent="0.3">
      <c r="A799" s="34">
        <v>798</v>
      </c>
      <c r="B799" s="46" t="s">
        <v>1728</v>
      </c>
      <c r="C799" s="58">
        <v>46070.401828703703</v>
      </c>
      <c r="D799" s="55" t="s">
        <v>1674</v>
      </c>
      <c r="E799" s="58">
        <v>46070.422685185193</v>
      </c>
      <c r="F799" s="46" t="s">
        <v>1729</v>
      </c>
      <c r="G799" s="46" t="s">
        <v>1694</v>
      </c>
      <c r="H799" s="49">
        <v>3</v>
      </c>
    </row>
    <row r="800" spans="1:8" x14ac:dyDescent="0.3">
      <c r="A800" s="34">
        <v>799</v>
      </c>
      <c r="B800" s="46" t="s">
        <v>715</v>
      </c>
      <c r="C800" s="58">
        <v>46070.459016203713</v>
      </c>
      <c r="D800" s="55" t="s">
        <v>1674</v>
      </c>
      <c r="E800" s="58">
        <v>46070.479849537027</v>
      </c>
      <c r="F800" s="46" t="s">
        <v>1730</v>
      </c>
      <c r="G800" s="46" t="s">
        <v>1702</v>
      </c>
      <c r="H800" s="49">
        <v>3</v>
      </c>
    </row>
    <row r="801" spans="1:8" x14ac:dyDescent="0.3">
      <c r="A801" s="34">
        <v>800</v>
      </c>
      <c r="B801" s="46" t="s">
        <v>44</v>
      </c>
      <c r="C801" s="58">
        <v>46070.403969907413</v>
      </c>
      <c r="D801" s="55" t="s">
        <v>1674</v>
      </c>
      <c r="E801" s="58">
        <v>46070.424872685187</v>
      </c>
      <c r="F801" s="46" t="s">
        <v>1731</v>
      </c>
      <c r="G801" s="46" t="s">
        <v>1260</v>
      </c>
      <c r="H801" s="49">
        <v>4</v>
      </c>
    </row>
    <row r="802" spans="1:8" x14ac:dyDescent="0.3">
      <c r="A802" s="34">
        <v>801</v>
      </c>
      <c r="B802" s="46" t="s">
        <v>1732</v>
      </c>
      <c r="C802" s="58">
        <v>46070.40420138889</v>
      </c>
      <c r="D802" s="55" t="s">
        <v>1674</v>
      </c>
      <c r="E802" s="58">
        <v>46070.425069444442</v>
      </c>
      <c r="F802" s="46" t="s">
        <v>1733</v>
      </c>
      <c r="G802" s="46" t="s">
        <v>349</v>
      </c>
      <c r="H802" s="49">
        <v>3</v>
      </c>
    </row>
    <row r="803" spans="1:8" x14ac:dyDescent="0.3">
      <c r="A803" s="34">
        <v>802</v>
      </c>
      <c r="B803" s="46" t="s">
        <v>1734</v>
      </c>
      <c r="C803" s="58">
        <v>46070.404016203713</v>
      </c>
      <c r="D803" s="55" t="s">
        <v>1674</v>
      </c>
      <c r="E803" s="58">
        <v>46070.424872685187</v>
      </c>
      <c r="F803" s="46" t="s">
        <v>1735</v>
      </c>
      <c r="G803" s="46" t="s">
        <v>1736</v>
      </c>
      <c r="H803" s="49">
        <v>3</v>
      </c>
    </row>
    <row r="804" spans="1:8" x14ac:dyDescent="0.3">
      <c r="A804" s="34">
        <v>803</v>
      </c>
      <c r="B804" s="46" t="s">
        <v>611</v>
      </c>
      <c r="C804" s="58">
        <v>46070.305972222217</v>
      </c>
      <c r="D804" s="55" t="s">
        <v>1674</v>
      </c>
      <c r="E804" s="58">
        <v>46070.326840277783</v>
      </c>
      <c r="F804" s="46" t="s">
        <v>1737</v>
      </c>
      <c r="G804" s="46" t="s">
        <v>1738</v>
      </c>
      <c r="H804" s="49">
        <v>3</v>
      </c>
    </row>
    <row r="805" spans="1:8" x14ac:dyDescent="0.3">
      <c r="A805" s="34">
        <v>804</v>
      </c>
      <c r="B805" s="46" t="s">
        <v>1739</v>
      </c>
      <c r="C805" s="58">
        <v>46070.597071759257</v>
      </c>
      <c r="D805" s="55" t="s">
        <v>1674</v>
      </c>
      <c r="E805" s="58">
        <v>46070.617905092593</v>
      </c>
      <c r="F805" s="46" t="s">
        <v>1740</v>
      </c>
      <c r="G805" s="46" t="s">
        <v>309</v>
      </c>
      <c r="H805" s="49">
        <v>3</v>
      </c>
    </row>
    <row r="806" spans="1:8" x14ac:dyDescent="0.3">
      <c r="A806" s="34">
        <v>805</v>
      </c>
      <c r="B806" s="46" t="s">
        <v>729</v>
      </c>
      <c r="C806" s="58">
        <v>46070.550138888888</v>
      </c>
      <c r="D806" s="55" t="s">
        <v>1674</v>
      </c>
      <c r="E806" s="58">
        <v>46070.571018518523</v>
      </c>
      <c r="F806" s="46" t="s">
        <v>1741</v>
      </c>
      <c r="G806" s="46" t="s">
        <v>395</v>
      </c>
      <c r="H806" s="49">
        <v>4</v>
      </c>
    </row>
    <row r="807" spans="1:8" x14ac:dyDescent="0.3">
      <c r="A807" s="34">
        <v>806</v>
      </c>
      <c r="B807" s="46" t="s">
        <v>871</v>
      </c>
      <c r="C807" s="58">
        <v>46070.689918981479</v>
      </c>
      <c r="D807" s="55" t="s">
        <v>1674</v>
      </c>
      <c r="E807" s="58">
        <v>46070.710798611108</v>
      </c>
      <c r="F807" s="46" t="s">
        <v>1742</v>
      </c>
      <c r="G807" s="46" t="s">
        <v>263</v>
      </c>
      <c r="H807" s="49">
        <v>3</v>
      </c>
    </row>
    <row r="808" spans="1:8" x14ac:dyDescent="0.3">
      <c r="A808" s="34">
        <v>807</v>
      </c>
      <c r="B808" s="46" t="s">
        <v>1743</v>
      </c>
      <c r="C808" s="58">
        <v>46070.460763888892</v>
      </c>
      <c r="D808" s="55" t="s">
        <v>1674</v>
      </c>
      <c r="E808" s="58">
        <v>46070.48159722222</v>
      </c>
      <c r="F808" s="46" t="s">
        <v>1744</v>
      </c>
      <c r="G808" s="46" t="s">
        <v>90</v>
      </c>
      <c r="H808" s="49">
        <v>3</v>
      </c>
    </row>
    <row r="809" spans="1:8" x14ac:dyDescent="0.3">
      <c r="A809" s="34">
        <v>808</v>
      </c>
      <c r="B809" s="46" t="s">
        <v>1666</v>
      </c>
      <c r="C809" s="58">
        <v>46070.656793981478</v>
      </c>
      <c r="D809" s="55" t="s">
        <v>1674</v>
      </c>
      <c r="E809" s="58">
        <v>46070.67765046296</v>
      </c>
      <c r="F809" s="46" t="s">
        <v>1745</v>
      </c>
      <c r="G809" s="46" t="s">
        <v>643</v>
      </c>
      <c r="H809" s="49">
        <v>3</v>
      </c>
    </row>
    <row r="810" spans="1:8" x14ac:dyDescent="0.3">
      <c r="A810" s="34">
        <v>809</v>
      </c>
      <c r="B810" s="46" t="s">
        <v>26</v>
      </c>
      <c r="C810" s="58">
        <v>46070.306238425917</v>
      </c>
      <c r="D810" s="55" t="s">
        <v>1674</v>
      </c>
      <c r="E810" s="58">
        <v>46070.32708333333</v>
      </c>
      <c r="F810" s="46" t="s">
        <v>1746</v>
      </c>
      <c r="G810" s="46" t="s">
        <v>213</v>
      </c>
      <c r="H810" s="49">
        <v>4</v>
      </c>
    </row>
    <row r="811" spans="1:8" x14ac:dyDescent="0.3">
      <c r="A811" s="34">
        <v>810</v>
      </c>
      <c r="B811" s="46" t="s">
        <v>880</v>
      </c>
      <c r="C811" s="58">
        <v>46070.487986111111</v>
      </c>
      <c r="D811" s="55" t="s">
        <v>1674</v>
      </c>
      <c r="E811" s="58">
        <v>46070.508842592593</v>
      </c>
      <c r="F811" s="46" t="s">
        <v>1747</v>
      </c>
      <c r="G811" s="46" t="s">
        <v>289</v>
      </c>
      <c r="H811" s="49">
        <v>3</v>
      </c>
    </row>
    <row r="812" spans="1:8" x14ac:dyDescent="0.3">
      <c r="A812" s="34">
        <v>811</v>
      </c>
      <c r="B812" s="46" t="s">
        <v>486</v>
      </c>
      <c r="C812" s="58">
        <v>46070.457303240742</v>
      </c>
      <c r="D812" s="55" t="s">
        <v>1674</v>
      </c>
      <c r="E812" s="58">
        <v>46070.485069444447</v>
      </c>
      <c r="F812" s="46" t="s">
        <v>1748</v>
      </c>
      <c r="G812" s="46" t="s">
        <v>1702</v>
      </c>
      <c r="H812" s="49">
        <v>3</v>
      </c>
    </row>
    <row r="813" spans="1:8" x14ac:dyDescent="0.3">
      <c r="A813" s="34">
        <v>812</v>
      </c>
      <c r="B813" s="46" t="s">
        <v>272</v>
      </c>
      <c r="C813" s="58">
        <v>46070.418865740743</v>
      </c>
      <c r="D813" s="55" t="s">
        <v>1674</v>
      </c>
      <c r="E813" s="58">
        <v>46070.439722222232</v>
      </c>
      <c r="F813" s="46" t="s">
        <v>1749</v>
      </c>
      <c r="G813" s="46" t="s">
        <v>1750</v>
      </c>
      <c r="H813" s="49">
        <v>3</v>
      </c>
    </row>
    <row r="814" spans="1:8" x14ac:dyDescent="0.3">
      <c r="A814" s="34">
        <v>813</v>
      </c>
      <c r="B814" s="46" t="s">
        <v>1228</v>
      </c>
      <c r="C814" s="58">
        <v>46070.797256944446</v>
      </c>
      <c r="D814" s="55" t="s">
        <v>1674</v>
      </c>
      <c r="E814" s="58">
        <v>46070.818090277768</v>
      </c>
      <c r="F814" s="46" t="s">
        <v>1751</v>
      </c>
      <c r="G814" s="46" t="s">
        <v>1752</v>
      </c>
      <c r="H814" s="49">
        <v>4</v>
      </c>
    </row>
    <row r="815" spans="1:8" x14ac:dyDescent="0.3">
      <c r="A815" s="34">
        <v>814</v>
      </c>
      <c r="B815" s="46" t="s">
        <v>746</v>
      </c>
      <c r="C815" s="58">
        <v>46071.443784722222</v>
      </c>
      <c r="D815" s="55" t="s">
        <v>1753</v>
      </c>
      <c r="E815" s="58">
        <v>46071.464618055557</v>
      </c>
      <c r="F815" s="46" t="s">
        <v>1754</v>
      </c>
      <c r="G815" s="46" t="s">
        <v>1710</v>
      </c>
      <c r="H815" s="49">
        <v>3</v>
      </c>
    </row>
    <row r="816" spans="1:8" x14ac:dyDescent="0.3">
      <c r="A816" s="34">
        <v>815</v>
      </c>
      <c r="B816" s="46" t="s">
        <v>1141</v>
      </c>
      <c r="C816" s="58">
        <v>46071.495312500003</v>
      </c>
      <c r="D816" s="55" t="s">
        <v>1753</v>
      </c>
      <c r="E816" s="58">
        <v>46071.516157407408</v>
      </c>
      <c r="F816" s="46" t="s">
        <v>1755</v>
      </c>
      <c r="G816" s="46" t="s">
        <v>323</v>
      </c>
      <c r="H816" s="49">
        <v>3</v>
      </c>
    </row>
    <row r="817" spans="1:8" x14ac:dyDescent="0.3">
      <c r="A817" s="34">
        <v>816</v>
      </c>
      <c r="B817" s="46" t="s">
        <v>1359</v>
      </c>
      <c r="C817" s="58">
        <v>46071.367268518523</v>
      </c>
      <c r="D817" s="55" t="s">
        <v>1753</v>
      </c>
      <c r="E817" s="58">
        <v>46071.388124999998</v>
      </c>
      <c r="F817" s="46" t="s">
        <v>1756</v>
      </c>
      <c r="G817" s="46" t="s">
        <v>553</v>
      </c>
      <c r="H817" s="49">
        <v>3</v>
      </c>
    </row>
    <row r="818" spans="1:8" x14ac:dyDescent="0.3">
      <c r="A818" s="34">
        <v>817</v>
      </c>
      <c r="B818" s="46" t="s">
        <v>99</v>
      </c>
      <c r="C818" s="58">
        <v>46071.33320601852</v>
      </c>
      <c r="D818" s="55" t="s">
        <v>1753</v>
      </c>
      <c r="E818" s="58">
        <v>46071.354131944441</v>
      </c>
      <c r="F818" s="46" t="s">
        <v>1757</v>
      </c>
      <c r="G818" s="46" t="s">
        <v>1758</v>
      </c>
      <c r="H818" s="49">
        <v>3</v>
      </c>
    </row>
    <row r="819" spans="1:8" x14ac:dyDescent="0.3">
      <c r="A819" s="34">
        <v>818</v>
      </c>
      <c r="B819" s="46" t="s">
        <v>66</v>
      </c>
      <c r="C819" s="58">
        <v>46071.346898148149</v>
      </c>
      <c r="D819" s="55" t="s">
        <v>1753</v>
      </c>
      <c r="E819" s="58">
        <v>46071.367777777778</v>
      </c>
      <c r="F819" s="46" t="s">
        <v>1759</v>
      </c>
      <c r="G819" s="46" t="s">
        <v>104</v>
      </c>
      <c r="H819" s="49">
        <v>3</v>
      </c>
    </row>
    <row r="820" spans="1:8" x14ac:dyDescent="0.3">
      <c r="A820" s="34">
        <v>819</v>
      </c>
      <c r="B820" s="46" t="s">
        <v>768</v>
      </c>
      <c r="C820" s="58">
        <v>46071.389085648138</v>
      </c>
      <c r="D820" s="55" t="s">
        <v>1753</v>
      </c>
      <c r="E820" s="58">
        <v>46071.428298611107</v>
      </c>
      <c r="F820" s="46" t="s">
        <v>1760</v>
      </c>
      <c r="G820" s="46" t="s">
        <v>1761</v>
      </c>
      <c r="H820" s="49">
        <v>3</v>
      </c>
    </row>
    <row r="821" spans="1:8" x14ac:dyDescent="0.3">
      <c r="A821" s="34">
        <v>820</v>
      </c>
      <c r="B821" s="46" t="s">
        <v>1683</v>
      </c>
      <c r="C821" s="58">
        <v>46071.454363425917</v>
      </c>
      <c r="D821" s="55" t="s">
        <v>1753</v>
      </c>
      <c r="E821" s="58">
        <v>46071.475231481483</v>
      </c>
      <c r="F821" s="46" t="s">
        <v>1762</v>
      </c>
      <c r="G821" s="46" t="s">
        <v>1763</v>
      </c>
      <c r="H821" s="49">
        <v>4</v>
      </c>
    </row>
    <row r="822" spans="1:8" x14ac:dyDescent="0.3">
      <c r="A822" s="34">
        <v>821</v>
      </c>
      <c r="B822" s="46" t="s">
        <v>1685</v>
      </c>
      <c r="C822" s="58">
        <v>46071.38890046296</v>
      </c>
      <c r="D822" s="55" t="s">
        <v>1753</v>
      </c>
      <c r="E822" s="58">
        <v>46071.409733796303</v>
      </c>
      <c r="F822" s="46" t="s">
        <v>1764</v>
      </c>
      <c r="G822" s="46" t="s">
        <v>140</v>
      </c>
      <c r="H822" s="49">
        <v>3</v>
      </c>
    </row>
    <row r="823" spans="1:8" x14ac:dyDescent="0.3">
      <c r="A823" s="34">
        <v>822</v>
      </c>
      <c r="B823" s="46" t="s">
        <v>1765</v>
      </c>
      <c r="C823" s="58">
        <v>46071.422337962962</v>
      </c>
      <c r="D823" s="55" t="s">
        <v>1753</v>
      </c>
      <c r="E823" s="58">
        <v>46071.443206018521</v>
      </c>
      <c r="F823" s="46" t="s">
        <v>1766</v>
      </c>
      <c r="G823" s="46" t="s">
        <v>1121</v>
      </c>
      <c r="H823" s="49">
        <v>4</v>
      </c>
    </row>
    <row r="824" spans="1:8" x14ac:dyDescent="0.3">
      <c r="A824" s="34">
        <v>823</v>
      </c>
      <c r="B824" s="46" t="s">
        <v>1767</v>
      </c>
      <c r="C824" s="58">
        <v>46071.323680555557</v>
      </c>
      <c r="D824" s="55" t="s">
        <v>1753</v>
      </c>
      <c r="E824" s="58">
        <v>46071.344513888893</v>
      </c>
      <c r="F824" s="46" t="s">
        <v>1768</v>
      </c>
      <c r="G824" s="46" t="s">
        <v>1769</v>
      </c>
      <c r="H824" s="49">
        <v>3</v>
      </c>
    </row>
    <row r="825" spans="1:8" x14ac:dyDescent="0.3">
      <c r="A825" s="34">
        <v>824</v>
      </c>
      <c r="B825" s="46" t="s">
        <v>1770</v>
      </c>
      <c r="C825" s="58">
        <v>46071.361759259264</v>
      </c>
      <c r="D825" s="55" t="s">
        <v>1753</v>
      </c>
      <c r="E825" s="58">
        <v>46071.382627314822</v>
      </c>
      <c r="F825" s="46" t="s">
        <v>1771</v>
      </c>
      <c r="G825" s="46" t="s">
        <v>553</v>
      </c>
      <c r="H825" s="49">
        <v>3</v>
      </c>
    </row>
    <row r="826" spans="1:8" x14ac:dyDescent="0.3">
      <c r="A826" s="34">
        <v>825</v>
      </c>
      <c r="B826" s="46" t="s">
        <v>1772</v>
      </c>
      <c r="C826" s="58">
        <v>46071.400717592587</v>
      </c>
      <c r="D826" s="55" t="s">
        <v>1753</v>
      </c>
      <c r="E826" s="58">
        <v>46071.4215625</v>
      </c>
      <c r="F826" s="46" t="s">
        <v>1773</v>
      </c>
      <c r="G826" s="46" t="s">
        <v>296</v>
      </c>
      <c r="H826" s="49">
        <v>6</v>
      </c>
    </row>
    <row r="827" spans="1:8" x14ac:dyDescent="0.3">
      <c r="A827" s="34">
        <v>826</v>
      </c>
      <c r="B827" s="46" t="s">
        <v>786</v>
      </c>
      <c r="C827" s="58">
        <v>46071.382534722223</v>
      </c>
      <c r="D827" s="55" t="s">
        <v>1753</v>
      </c>
      <c r="E827" s="58">
        <v>46071.403425925928</v>
      </c>
      <c r="F827" s="46" t="s">
        <v>1774</v>
      </c>
      <c r="G827" s="46" t="s">
        <v>1775</v>
      </c>
      <c r="H827" s="49">
        <v>3</v>
      </c>
    </row>
    <row r="828" spans="1:8" x14ac:dyDescent="0.3">
      <c r="A828" s="34">
        <v>827</v>
      </c>
      <c r="B828" s="46" t="s">
        <v>1700</v>
      </c>
      <c r="C828" s="58">
        <v>46071.458831018521</v>
      </c>
      <c r="D828" s="55" t="s">
        <v>1753</v>
      </c>
      <c r="E828" s="58">
        <v>46071.479745370372</v>
      </c>
      <c r="F828" s="46" t="s">
        <v>1776</v>
      </c>
      <c r="G828" s="46" t="s">
        <v>1777</v>
      </c>
      <c r="H828" s="49">
        <v>3</v>
      </c>
    </row>
    <row r="829" spans="1:8" x14ac:dyDescent="0.3">
      <c r="A829" s="34">
        <v>828</v>
      </c>
      <c r="B829" s="46" t="s">
        <v>152</v>
      </c>
      <c r="C829" s="58">
        <v>46071.314212962963</v>
      </c>
      <c r="D829" s="55" t="s">
        <v>1753</v>
      </c>
      <c r="E829" s="58">
        <v>46071.335081018522</v>
      </c>
      <c r="F829" s="46" t="s">
        <v>1778</v>
      </c>
      <c r="G829" s="46" t="s">
        <v>242</v>
      </c>
      <c r="H829" s="49">
        <v>3</v>
      </c>
    </row>
    <row r="830" spans="1:8" x14ac:dyDescent="0.3">
      <c r="A830" s="34">
        <v>829</v>
      </c>
      <c r="B830" s="46" t="s">
        <v>155</v>
      </c>
      <c r="C830" s="58">
        <v>46071.509872685187</v>
      </c>
      <c r="D830" s="55" t="s">
        <v>1753</v>
      </c>
      <c r="E830" s="58">
        <v>46071.530729166669</v>
      </c>
      <c r="F830" s="46" t="s">
        <v>1779</v>
      </c>
      <c r="G830" s="46" t="s">
        <v>1780</v>
      </c>
      <c r="H830" s="49">
        <v>6</v>
      </c>
    </row>
    <row r="831" spans="1:8" x14ac:dyDescent="0.3">
      <c r="A831" s="34">
        <v>830</v>
      </c>
      <c r="B831" s="46" t="s">
        <v>1099</v>
      </c>
      <c r="C831" s="58">
        <v>46071.439733796287</v>
      </c>
      <c r="D831" s="55" t="s">
        <v>1753</v>
      </c>
      <c r="E831" s="58">
        <v>46071.460601851853</v>
      </c>
      <c r="F831" s="46" t="s">
        <v>1781</v>
      </c>
      <c r="G831" s="46" t="s">
        <v>1710</v>
      </c>
      <c r="H831" s="49">
        <v>3</v>
      </c>
    </row>
    <row r="832" spans="1:8" x14ac:dyDescent="0.3">
      <c r="A832" s="34">
        <v>831</v>
      </c>
      <c r="B832" s="46" t="s">
        <v>34</v>
      </c>
      <c r="C832" s="58">
        <v>46071.352638888893</v>
      </c>
      <c r="D832" s="55" t="s">
        <v>1753</v>
      </c>
      <c r="E832" s="58">
        <v>46071.373530092591</v>
      </c>
      <c r="F832" s="46" t="s">
        <v>1782</v>
      </c>
      <c r="G832" s="46" t="s">
        <v>442</v>
      </c>
      <c r="H832" s="49">
        <v>3</v>
      </c>
    </row>
    <row r="833" spans="1:8" x14ac:dyDescent="0.3">
      <c r="A833" s="34">
        <v>832</v>
      </c>
      <c r="B833" s="46" t="s">
        <v>161</v>
      </c>
      <c r="C833" s="58">
        <v>46071.300520833327</v>
      </c>
      <c r="D833" s="55" t="s">
        <v>1753</v>
      </c>
      <c r="E833" s="58">
        <v>46071.32135416667</v>
      </c>
      <c r="F833" s="46" t="s">
        <v>1783</v>
      </c>
      <c r="G833" s="46" t="s">
        <v>1784</v>
      </c>
      <c r="H833" s="49">
        <v>6</v>
      </c>
    </row>
    <row r="834" spans="1:8" x14ac:dyDescent="0.3">
      <c r="A834" s="34">
        <v>833</v>
      </c>
      <c r="B834" s="46" t="s">
        <v>196</v>
      </c>
      <c r="C834" s="58">
        <v>46071.411203703698</v>
      </c>
      <c r="D834" s="55" t="s">
        <v>1753</v>
      </c>
      <c r="E834" s="58">
        <v>46071.432037037041</v>
      </c>
      <c r="F834" s="46" t="s">
        <v>1785</v>
      </c>
      <c r="G834" s="46" t="s">
        <v>140</v>
      </c>
      <c r="H834" s="49">
        <v>4</v>
      </c>
    </row>
    <row r="835" spans="1:8" x14ac:dyDescent="0.3">
      <c r="A835" s="34">
        <v>834</v>
      </c>
      <c r="B835" s="46" t="s">
        <v>1786</v>
      </c>
      <c r="C835" s="58">
        <v>46071.501828703702</v>
      </c>
      <c r="D835" s="55" t="s">
        <v>1753</v>
      </c>
      <c r="E835" s="58">
        <v>46071.522673611107</v>
      </c>
      <c r="F835" s="46" t="s">
        <v>1787</v>
      </c>
      <c r="G835" s="46" t="s">
        <v>1529</v>
      </c>
      <c r="H835" s="49">
        <v>3</v>
      </c>
    </row>
    <row r="836" spans="1:8" x14ac:dyDescent="0.3">
      <c r="A836" s="34">
        <v>835</v>
      </c>
      <c r="B836" s="46" t="s">
        <v>429</v>
      </c>
      <c r="C836" s="58">
        <v>46071.32267361111</v>
      </c>
      <c r="D836" s="55" t="s">
        <v>1753</v>
      </c>
      <c r="E836" s="58">
        <v>46071.343530092592</v>
      </c>
      <c r="F836" s="46" t="s">
        <v>1788</v>
      </c>
      <c r="G836" s="46" t="s">
        <v>1789</v>
      </c>
      <c r="H836" s="49">
        <v>3</v>
      </c>
    </row>
    <row r="837" spans="1:8" x14ac:dyDescent="0.3">
      <c r="A837" s="34">
        <v>836</v>
      </c>
      <c r="B837" s="46" t="s">
        <v>1790</v>
      </c>
      <c r="C837" s="58">
        <v>46071.508368055547</v>
      </c>
      <c r="D837" s="55" t="s">
        <v>1753</v>
      </c>
      <c r="E837" s="58">
        <v>46071.52921296296</v>
      </c>
      <c r="F837" s="46" t="s">
        <v>1791</v>
      </c>
      <c r="G837" s="46" t="s">
        <v>1792</v>
      </c>
      <c r="H837" s="49">
        <v>4</v>
      </c>
    </row>
    <row r="838" spans="1:8" x14ac:dyDescent="0.3">
      <c r="A838" s="34">
        <v>837</v>
      </c>
      <c r="B838" s="46" t="s">
        <v>208</v>
      </c>
      <c r="C838" s="58">
        <v>46071.396365740737</v>
      </c>
      <c r="D838" s="55" t="s">
        <v>1753</v>
      </c>
      <c r="E838" s="58">
        <v>46071.417199074072</v>
      </c>
      <c r="F838" s="46" t="s">
        <v>1793</v>
      </c>
      <c r="G838" s="46" t="s">
        <v>140</v>
      </c>
      <c r="H838" s="49">
        <v>3</v>
      </c>
    </row>
    <row r="839" spans="1:8" x14ac:dyDescent="0.3">
      <c r="A839" s="34">
        <v>838</v>
      </c>
      <c r="B839" s="46" t="s">
        <v>1111</v>
      </c>
      <c r="C839" s="58">
        <v>46071.442731481482</v>
      </c>
      <c r="D839" s="55" t="s">
        <v>1753</v>
      </c>
      <c r="E839" s="58">
        <v>46071.463564814818</v>
      </c>
      <c r="F839" s="46" t="s">
        <v>1794</v>
      </c>
      <c r="G839" s="46" t="s">
        <v>1710</v>
      </c>
      <c r="H839" s="49">
        <v>3</v>
      </c>
    </row>
    <row r="840" spans="1:8" x14ac:dyDescent="0.3">
      <c r="A840" s="34">
        <v>839</v>
      </c>
      <c r="B840" s="46" t="s">
        <v>1116</v>
      </c>
      <c r="C840" s="58">
        <v>46071.478425925918</v>
      </c>
      <c r="D840" s="55" t="s">
        <v>1753</v>
      </c>
      <c r="E840" s="58">
        <v>46071.499259259261</v>
      </c>
      <c r="F840" s="46" t="s">
        <v>1795</v>
      </c>
      <c r="G840" s="46" t="s">
        <v>304</v>
      </c>
      <c r="H840" s="49">
        <v>3</v>
      </c>
    </row>
    <row r="841" spans="1:8" x14ac:dyDescent="0.3">
      <c r="A841" s="34">
        <v>840</v>
      </c>
      <c r="B841" s="46" t="s">
        <v>955</v>
      </c>
      <c r="C841" s="58">
        <v>46071.395243055558</v>
      </c>
      <c r="D841" s="55" t="s">
        <v>1753</v>
      </c>
      <c r="E841" s="58">
        <v>46071.41611111111</v>
      </c>
      <c r="F841" s="46" t="s">
        <v>1796</v>
      </c>
      <c r="G841" s="46" t="s">
        <v>140</v>
      </c>
      <c r="H841" s="49">
        <v>4</v>
      </c>
    </row>
    <row r="842" spans="1:8" x14ac:dyDescent="0.3">
      <c r="A842" s="34">
        <v>841</v>
      </c>
      <c r="B842" s="46" t="s">
        <v>842</v>
      </c>
      <c r="C842" s="58">
        <v>46071.307534722233</v>
      </c>
      <c r="D842" s="55" t="s">
        <v>1753</v>
      </c>
      <c r="E842" s="58">
        <v>46071.328379629631</v>
      </c>
      <c r="F842" s="46" t="s">
        <v>1797</v>
      </c>
      <c r="G842" s="46" t="s">
        <v>660</v>
      </c>
      <c r="H842" s="49">
        <v>6</v>
      </c>
    </row>
    <row r="843" spans="1:8" x14ac:dyDescent="0.3">
      <c r="A843" s="34">
        <v>842</v>
      </c>
      <c r="B843" s="46" t="s">
        <v>1798</v>
      </c>
      <c r="C843" s="58">
        <v>46071.586111111108</v>
      </c>
      <c r="D843" s="55" t="s">
        <v>1753</v>
      </c>
      <c r="E843" s="58">
        <v>46071.606944444437</v>
      </c>
      <c r="F843" s="46" t="s">
        <v>1799</v>
      </c>
      <c r="G843" s="46" t="s">
        <v>1490</v>
      </c>
      <c r="H843" s="49">
        <v>4</v>
      </c>
    </row>
    <row r="844" spans="1:8" x14ac:dyDescent="0.3">
      <c r="A844" s="34">
        <v>843</v>
      </c>
      <c r="B844" s="46" t="s">
        <v>1197</v>
      </c>
      <c r="C844" s="58">
        <v>46071.297893518517</v>
      </c>
      <c r="D844" s="55" t="s">
        <v>1753</v>
      </c>
      <c r="E844" s="58">
        <v>46071.318749999999</v>
      </c>
      <c r="F844" s="46" t="s">
        <v>1800</v>
      </c>
      <c r="G844" s="46" t="s">
        <v>1801</v>
      </c>
      <c r="H844" s="49">
        <v>3</v>
      </c>
    </row>
    <row r="845" spans="1:8" x14ac:dyDescent="0.3">
      <c r="A845" s="34">
        <v>844</v>
      </c>
      <c r="B845" s="46" t="s">
        <v>219</v>
      </c>
      <c r="C845" s="58">
        <v>46071.441840277781</v>
      </c>
      <c r="D845" s="55" t="s">
        <v>1753</v>
      </c>
      <c r="E845" s="58">
        <v>46071.462696759263</v>
      </c>
      <c r="F845" s="46" t="s">
        <v>1802</v>
      </c>
      <c r="G845" s="46" t="s">
        <v>660</v>
      </c>
      <c r="H845" s="49">
        <v>5</v>
      </c>
    </row>
    <row r="846" spans="1:8" x14ac:dyDescent="0.3">
      <c r="A846" s="34">
        <v>845</v>
      </c>
      <c r="B846" s="46" t="s">
        <v>1803</v>
      </c>
      <c r="C846" s="58">
        <v>46071.427812499998</v>
      </c>
      <c r="D846" s="55" t="s">
        <v>1753</v>
      </c>
      <c r="E846" s="58">
        <v>46071.448680555557</v>
      </c>
      <c r="F846" s="46" t="s">
        <v>1804</v>
      </c>
      <c r="G846" s="46" t="s">
        <v>1565</v>
      </c>
      <c r="H846" s="49">
        <v>3</v>
      </c>
    </row>
    <row r="847" spans="1:8" x14ac:dyDescent="0.3">
      <c r="A847" s="34">
        <v>846</v>
      </c>
      <c r="B847" s="46" t="s">
        <v>1124</v>
      </c>
      <c r="C847" s="58">
        <v>46071.493993055563</v>
      </c>
      <c r="D847" s="55" t="s">
        <v>1753</v>
      </c>
      <c r="E847" s="58">
        <v>46071.514872685177</v>
      </c>
      <c r="F847" s="46" t="s">
        <v>1805</v>
      </c>
      <c r="G847" s="46" t="s">
        <v>1806</v>
      </c>
      <c r="H847" s="49">
        <v>4</v>
      </c>
    </row>
    <row r="848" spans="1:8" x14ac:dyDescent="0.3">
      <c r="A848" s="34">
        <v>847</v>
      </c>
      <c r="B848" s="46" t="s">
        <v>1807</v>
      </c>
      <c r="C848" s="58">
        <v>46071.534745370373</v>
      </c>
      <c r="D848" s="55" t="s">
        <v>1753</v>
      </c>
      <c r="E848" s="58">
        <v>46071.555590277778</v>
      </c>
      <c r="F848" s="46" t="s">
        <v>1808</v>
      </c>
      <c r="G848" s="46" t="s">
        <v>140</v>
      </c>
      <c r="H848" s="49">
        <v>3</v>
      </c>
    </row>
    <row r="849" spans="1:8" x14ac:dyDescent="0.3">
      <c r="A849" s="34">
        <v>848</v>
      </c>
      <c r="B849" s="46" t="s">
        <v>256</v>
      </c>
      <c r="C849" s="58">
        <v>46071.329918981479</v>
      </c>
      <c r="D849" s="55" t="s">
        <v>1753</v>
      </c>
      <c r="E849" s="58">
        <v>46071.350775462961</v>
      </c>
      <c r="F849" s="46" t="s">
        <v>1809</v>
      </c>
      <c r="G849" s="46" t="s">
        <v>1810</v>
      </c>
      <c r="H849" s="49">
        <v>4</v>
      </c>
    </row>
    <row r="850" spans="1:8" x14ac:dyDescent="0.3">
      <c r="A850" s="34">
        <v>849</v>
      </c>
      <c r="B850" s="46" t="s">
        <v>1734</v>
      </c>
      <c r="C850" s="58">
        <v>46071.520104166673</v>
      </c>
      <c r="D850" s="55" t="s">
        <v>1753</v>
      </c>
      <c r="E850" s="58">
        <v>46071.540949074071</v>
      </c>
      <c r="F850" s="46" t="s">
        <v>1811</v>
      </c>
      <c r="G850" s="46" t="s">
        <v>213</v>
      </c>
      <c r="H850" s="49">
        <v>3</v>
      </c>
    </row>
    <row r="851" spans="1:8" x14ac:dyDescent="0.3">
      <c r="A851" s="34">
        <v>850</v>
      </c>
      <c r="B851" s="46" t="s">
        <v>1739</v>
      </c>
      <c r="C851" s="58">
        <v>46071.451412037037</v>
      </c>
      <c r="D851" s="55" t="s">
        <v>1753</v>
      </c>
      <c r="E851" s="58">
        <v>46071.472280092603</v>
      </c>
      <c r="F851" s="46" t="s">
        <v>1812</v>
      </c>
      <c r="G851" s="46" t="s">
        <v>1813</v>
      </c>
      <c r="H851" s="49">
        <v>3</v>
      </c>
    </row>
    <row r="852" spans="1:8" x14ac:dyDescent="0.3">
      <c r="A852" s="34">
        <v>851</v>
      </c>
      <c r="B852" s="46" t="s">
        <v>1814</v>
      </c>
      <c r="C852" s="58">
        <v>46071.723703703698</v>
      </c>
      <c r="D852" s="55" t="s">
        <v>1753</v>
      </c>
      <c r="E852" s="58">
        <v>46071.744537037041</v>
      </c>
      <c r="F852" s="46" t="s">
        <v>1815</v>
      </c>
      <c r="G852" s="46" t="s">
        <v>104</v>
      </c>
      <c r="H852" s="49">
        <v>4</v>
      </c>
    </row>
    <row r="853" spans="1:8" x14ac:dyDescent="0.3">
      <c r="A853" s="34">
        <v>852</v>
      </c>
      <c r="B853" s="46" t="s">
        <v>729</v>
      </c>
      <c r="C853" s="58">
        <v>46071.332291666673</v>
      </c>
      <c r="D853" s="55" t="s">
        <v>1753</v>
      </c>
      <c r="E853" s="58">
        <v>46071.353148148148</v>
      </c>
      <c r="F853" s="46" t="s">
        <v>1816</v>
      </c>
      <c r="G853" s="46" t="s">
        <v>1817</v>
      </c>
      <c r="H853" s="49">
        <v>3</v>
      </c>
    </row>
    <row r="854" spans="1:8" x14ac:dyDescent="0.3">
      <c r="A854" s="34">
        <v>853</v>
      </c>
      <c r="B854" s="46" t="s">
        <v>1818</v>
      </c>
      <c r="C854" s="58">
        <v>46071.42728009259</v>
      </c>
      <c r="D854" s="55" t="s">
        <v>1753</v>
      </c>
      <c r="E854" s="58">
        <v>46071.448113425933</v>
      </c>
      <c r="F854" s="46" t="s">
        <v>1819</v>
      </c>
      <c r="G854" s="46" t="s">
        <v>553</v>
      </c>
      <c r="H854" s="49">
        <v>4</v>
      </c>
    </row>
    <row r="855" spans="1:8" x14ac:dyDescent="0.3">
      <c r="A855" s="34">
        <v>854</v>
      </c>
      <c r="B855" s="46" t="s">
        <v>1057</v>
      </c>
      <c r="C855" s="58">
        <v>46071.500509259262</v>
      </c>
      <c r="D855" s="55" t="s">
        <v>1753</v>
      </c>
      <c r="E855" s="58">
        <v>46071.52134259259</v>
      </c>
      <c r="F855" s="46" t="s">
        <v>1820</v>
      </c>
      <c r="G855" s="46" t="s">
        <v>1821</v>
      </c>
      <c r="H855" s="49">
        <v>3</v>
      </c>
    </row>
    <row r="856" spans="1:8" x14ac:dyDescent="0.3">
      <c r="A856" s="34">
        <v>855</v>
      </c>
      <c r="B856" s="46" t="s">
        <v>377</v>
      </c>
      <c r="C856" s="58">
        <v>46071.580613425933</v>
      </c>
      <c r="D856" s="55" t="s">
        <v>1753</v>
      </c>
      <c r="E856" s="58">
        <v>46071.601446759261</v>
      </c>
      <c r="F856" s="46" t="s">
        <v>1822</v>
      </c>
      <c r="G856" s="46" t="s">
        <v>349</v>
      </c>
      <c r="H856" s="49">
        <v>3</v>
      </c>
    </row>
    <row r="857" spans="1:8" x14ac:dyDescent="0.3">
      <c r="A857" s="34">
        <v>856</v>
      </c>
      <c r="B857" s="46" t="s">
        <v>1823</v>
      </c>
      <c r="C857" s="58">
        <v>46071.284467592603</v>
      </c>
      <c r="D857" s="55" t="s">
        <v>1753</v>
      </c>
      <c r="E857" s="58">
        <v>46071.305300925917</v>
      </c>
      <c r="F857" s="46" t="s">
        <v>1824</v>
      </c>
      <c r="G857" s="46" t="s">
        <v>266</v>
      </c>
      <c r="H857" s="49">
        <v>4</v>
      </c>
    </row>
    <row r="858" spans="1:8" x14ac:dyDescent="0.3">
      <c r="A858" s="34">
        <v>857</v>
      </c>
      <c r="B858" s="46" t="s">
        <v>1825</v>
      </c>
      <c r="C858" s="58">
        <v>46071.447557870371</v>
      </c>
      <c r="D858" s="55" t="s">
        <v>1753</v>
      </c>
      <c r="E858" s="58">
        <v>46071.4684375</v>
      </c>
      <c r="F858" s="46" t="s">
        <v>1826</v>
      </c>
      <c r="G858" s="46" t="s">
        <v>887</v>
      </c>
      <c r="H858" s="49">
        <v>3</v>
      </c>
    </row>
    <row r="859" spans="1:8" x14ac:dyDescent="0.3">
      <c r="A859" s="34">
        <v>858</v>
      </c>
      <c r="B859" s="46" t="s">
        <v>1827</v>
      </c>
      <c r="C859" s="58">
        <v>46071.470393518517</v>
      </c>
      <c r="D859" s="55" t="s">
        <v>1753</v>
      </c>
      <c r="E859" s="58">
        <v>46071.491238425922</v>
      </c>
      <c r="F859" s="46" t="s">
        <v>1828</v>
      </c>
      <c r="G859" s="46" t="s">
        <v>1829</v>
      </c>
      <c r="H859" s="49">
        <v>3</v>
      </c>
    </row>
    <row r="860" spans="1:8" x14ac:dyDescent="0.3">
      <c r="A860" s="34">
        <v>859</v>
      </c>
      <c r="B860" s="46" t="s">
        <v>880</v>
      </c>
      <c r="C860" s="58">
        <v>46071.314155092587</v>
      </c>
      <c r="D860" s="55" t="s">
        <v>1753</v>
      </c>
      <c r="E860" s="58">
        <v>46071.335023148153</v>
      </c>
      <c r="F860" s="46" t="s">
        <v>1830</v>
      </c>
      <c r="G860" s="46" t="s">
        <v>667</v>
      </c>
      <c r="H860" s="49">
        <v>8</v>
      </c>
    </row>
    <row r="861" spans="1:8" x14ac:dyDescent="0.3">
      <c r="A861" s="34">
        <v>860</v>
      </c>
      <c r="B861" s="46" t="s">
        <v>486</v>
      </c>
      <c r="C861" s="58">
        <v>46071.496469907397</v>
      </c>
      <c r="D861" s="55" t="s">
        <v>1753</v>
      </c>
      <c r="E861" s="58">
        <v>46071.517314814817</v>
      </c>
      <c r="F861" s="46" t="s">
        <v>1831</v>
      </c>
      <c r="G861" s="46" t="s">
        <v>1832</v>
      </c>
      <c r="H861" s="49">
        <v>3</v>
      </c>
    </row>
    <row r="862" spans="1:8" x14ac:dyDescent="0.3">
      <c r="A862" s="34">
        <v>861</v>
      </c>
      <c r="B862" s="46" t="s">
        <v>272</v>
      </c>
      <c r="C862" s="58">
        <v>46071.418854166674</v>
      </c>
      <c r="D862" s="55" t="s">
        <v>1753</v>
      </c>
      <c r="E862" s="58">
        <v>46071.439733796287</v>
      </c>
      <c r="F862" s="46" t="s">
        <v>1833</v>
      </c>
      <c r="G862" s="46" t="s">
        <v>140</v>
      </c>
      <c r="H862" s="49">
        <v>4</v>
      </c>
    </row>
    <row r="863" spans="1:8" x14ac:dyDescent="0.3">
      <c r="A863" s="34">
        <v>862</v>
      </c>
      <c r="B863" s="46" t="s">
        <v>888</v>
      </c>
      <c r="C863" s="58">
        <v>46071.346724537027</v>
      </c>
      <c r="D863" s="55" t="s">
        <v>1753</v>
      </c>
      <c r="E863" s="58">
        <v>46071.367592592593</v>
      </c>
      <c r="F863" s="46" t="s">
        <v>1834</v>
      </c>
      <c r="G863" s="46" t="s">
        <v>104</v>
      </c>
      <c r="H863" s="49">
        <v>3</v>
      </c>
    </row>
    <row r="864" spans="1:8" x14ac:dyDescent="0.3">
      <c r="A864" s="34">
        <v>863</v>
      </c>
      <c r="B864" s="46" t="s">
        <v>1228</v>
      </c>
      <c r="C864" s="58">
        <v>46071.389120370368</v>
      </c>
      <c r="D864" s="55" t="s">
        <v>1753</v>
      </c>
      <c r="E864" s="58">
        <v>46071.40996527778</v>
      </c>
      <c r="F864" s="46" t="s">
        <v>1835</v>
      </c>
      <c r="G864" s="46" t="s">
        <v>1836</v>
      </c>
      <c r="H864" s="49">
        <v>7</v>
      </c>
    </row>
    <row r="865" spans="1:8" x14ac:dyDescent="0.3">
      <c r="A865" s="34">
        <v>864</v>
      </c>
      <c r="B865" s="46" t="s">
        <v>746</v>
      </c>
      <c r="C865" s="58">
        <v>46072.473090277781</v>
      </c>
      <c r="D865" s="55" t="s">
        <v>1837</v>
      </c>
      <c r="E865" s="58">
        <v>46072.493935185194</v>
      </c>
      <c r="F865" s="46" t="s">
        <v>1838</v>
      </c>
      <c r="G865" s="46" t="s">
        <v>1839</v>
      </c>
      <c r="H865" s="49">
        <v>3</v>
      </c>
    </row>
    <row r="866" spans="1:8" x14ac:dyDescent="0.3">
      <c r="A866" s="34">
        <v>865</v>
      </c>
      <c r="B866" s="46" t="s">
        <v>1290</v>
      </c>
      <c r="C866" s="58">
        <v>46072.812835648147</v>
      </c>
      <c r="D866" s="55" t="s">
        <v>1837</v>
      </c>
      <c r="E866" s="58">
        <v>46072.833703703713</v>
      </c>
      <c r="F866" s="46" t="s">
        <v>1840</v>
      </c>
      <c r="G866" s="46" t="s">
        <v>1094</v>
      </c>
      <c r="H866" s="49">
        <v>3</v>
      </c>
    </row>
    <row r="867" spans="1:8" x14ac:dyDescent="0.3">
      <c r="A867" s="34">
        <v>866</v>
      </c>
      <c r="B867" s="46" t="s">
        <v>1075</v>
      </c>
      <c r="C867" s="58">
        <v>46072.342627314807</v>
      </c>
      <c r="D867" s="55" t="s">
        <v>1837</v>
      </c>
      <c r="E867" s="58">
        <v>46072.363495370373</v>
      </c>
      <c r="F867" s="46" t="s">
        <v>1841</v>
      </c>
      <c r="G867" s="46" t="s">
        <v>90</v>
      </c>
      <c r="H867" s="49">
        <v>7</v>
      </c>
    </row>
    <row r="868" spans="1:8" x14ac:dyDescent="0.3">
      <c r="A868" s="34">
        <v>867</v>
      </c>
      <c r="B868" s="46" t="s">
        <v>290</v>
      </c>
      <c r="C868" s="58">
        <v>46072.471747685187</v>
      </c>
      <c r="D868" s="55" t="s">
        <v>1837</v>
      </c>
      <c r="E868" s="58">
        <v>46072.492604166669</v>
      </c>
      <c r="F868" s="46" t="s">
        <v>1842</v>
      </c>
      <c r="G868" s="46" t="s">
        <v>1752</v>
      </c>
      <c r="H868" s="49">
        <v>3</v>
      </c>
    </row>
    <row r="869" spans="1:8" x14ac:dyDescent="0.3">
      <c r="A869" s="34">
        <v>868</v>
      </c>
      <c r="B869" s="46" t="s">
        <v>1843</v>
      </c>
      <c r="C869" s="58">
        <v>46072.441516203697</v>
      </c>
      <c r="D869" s="55" t="s">
        <v>1837</v>
      </c>
      <c r="E869" s="58">
        <v>46072.462361111109</v>
      </c>
      <c r="F869" s="46" t="s">
        <v>1844</v>
      </c>
      <c r="G869" s="46" t="s">
        <v>90</v>
      </c>
      <c r="H869" s="49">
        <v>4</v>
      </c>
    </row>
    <row r="870" spans="1:8" x14ac:dyDescent="0.3">
      <c r="A870" s="34">
        <v>869</v>
      </c>
      <c r="B870" s="46" t="s">
        <v>1845</v>
      </c>
      <c r="C870" s="58">
        <v>46072.62290509259</v>
      </c>
      <c r="D870" s="55" t="s">
        <v>1837</v>
      </c>
      <c r="E870" s="58">
        <v>46072.643796296303</v>
      </c>
      <c r="F870" s="46" t="s">
        <v>1846</v>
      </c>
      <c r="G870" s="46" t="s">
        <v>1847</v>
      </c>
      <c r="H870" s="49">
        <v>4</v>
      </c>
    </row>
    <row r="871" spans="1:8" x14ac:dyDescent="0.3">
      <c r="A871" s="34">
        <v>870</v>
      </c>
      <c r="B871" s="46" t="s">
        <v>1240</v>
      </c>
      <c r="C871" s="58">
        <v>46072.631898148153</v>
      </c>
      <c r="D871" s="55" t="s">
        <v>1837</v>
      </c>
      <c r="E871" s="58">
        <v>46072.652743055558</v>
      </c>
      <c r="F871" s="46" t="s">
        <v>1848</v>
      </c>
      <c r="G871" s="46" t="s">
        <v>1849</v>
      </c>
      <c r="H871" s="49">
        <v>5</v>
      </c>
    </row>
    <row r="872" spans="1:8" x14ac:dyDescent="0.3">
      <c r="A872" s="34">
        <v>871</v>
      </c>
      <c r="B872" s="46" t="s">
        <v>1416</v>
      </c>
      <c r="C872" s="58">
        <v>46072.427245370367</v>
      </c>
      <c r="D872" s="55" t="s">
        <v>1837</v>
      </c>
      <c r="E872" s="58">
        <v>46072.448125000003</v>
      </c>
      <c r="F872" s="46" t="s">
        <v>1850</v>
      </c>
      <c r="G872" s="46" t="s">
        <v>1288</v>
      </c>
      <c r="H872" s="49">
        <v>3</v>
      </c>
    </row>
    <row r="873" spans="1:8" x14ac:dyDescent="0.3">
      <c r="A873" s="34">
        <v>872</v>
      </c>
      <c r="B873" s="46" t="s">
        <v>99</v>
      </c>
      <c r="C873" s="58">
        <v>46072.336261574077</v>
      </c>
      <c r="D873" s="55" t="s">
        <v>1837</v>
      </c>
      <c r="E873" s="58">
        <v>46072.357094907413</v>
      </c>
      <c r="F873" s="46" t="s">
        <v>1851</v>
      </c>
      <c r="G873" s="46" t="s">
        <v>90</v>
      </c>
      <c r="H873" s="49">
        <v>5</v>
      </c>
    </row>
    <row r="874" spans="1:8" x14ac:dyDescent="0.3">
      <c r="A874" s="34">
        <v>873</v>
      </c>
      <c r="B874" s="46" t="s">
        <v>1082</v>
      </c>
      <c r="C874" s="58">
        <v>46072.654814814807</v>
      </c>
      <c r="D874" s="55" t="s">
        <v>1837</v>
      </c>
      <c r="E874" s="58">
        <v>46072.675671296303</v>
      </c>
      <c r="F874" s="46" t="s">
        <v>1852</v>
      </c>
      <c r="G874" s="46" t="s">
        <v>1853</v>
      </c>
      <c r="H874" s="49">
        <v>6</v>
      </c>
    </row>
    <row r="875" spans="1:8" x14ac:dyDescent="0.3">
      <c r="A875" s="34">
        <v>874</v>
      </c>
      <c r="B875" s="46" t="s">
        <v>105</v>
      </c>
      <c r="C875" s="58">
        <v>46072.476307870369</v>
      </c>
      <c r="D875" s="55" t="s">
        <v>1837</v>
      </c>
      <c r="E875" s="58">
        <v>46072.497187499997</v>
      </c>
      <c r="F875" s="46" t="s">
        <v>1854</v>
      </c>
      <c r="G875" s="46" t="s">
        <v>1855</v>
      </c>
      <c r="H875" s="49">
        <v>3</v>
      </c>
    </row>
    <row r="876" spans="1:8" x14ac:dyDescent="0.3">
      <c r="A876" s="34">
        <v>875</v>
      </c>
      <c r="B876" s="46" t="s">
        <v>1856</v>
      </c>
      <c r="C876" s="58">
        <v>46072.560312499998</v>
      </c>
      <c r="D876" s="55" t="s">
        <v>1837</v>
      </c>
      <c r="E876" s="58">
        <v>46072.581145833326</v>
      </c>
      <c r="F876" s="46" t="s">
        <v>1857</v>
      </c>
      <c r="G876" s="46" t="s">
        <v>1490</v>
      </c>
      <c r="H876" s="49">
        <v>3</v>
      </c>
    </row>
    <row r="877" spans="1:8" x14ac:dyDescent="0.3">
      <c r="A877" s="34">
        <v>876</v>
      </c>
      <c r="B877" s="46" t="s">
        <v>117</v>
      </c>
      <c r="C877" s="58">
        <v>46072.683946759258</v>
      </c>
      <c r="D877" s="55" t="s">
        <v>1837</v>
      </c>
      <c r="E877" s="58">
        <v>46072.704780092587</v>
      </c>
      <c r="F877" s="46" t="s">
        <v>1858</v>
      </c>
      <c r="G877" s="46" t="s">
        <v>1859</v>
      </c>
      <c r="H877" s="49">
        <v>3</v>
      </c>
    </row>
    <row r="878" spans="1:8" x14ac:dyDescent="0.3">
      <c r="A878" s="34">
        <v>877</v>
      </c>
      <c r="B878" s="46" t="s">
        <v>1860</v>
      </c>
      <c r="C878" s="58">
        <v>46072.391574074078</v>
      </c>
      <c r="D878" s="55" t="s">
        <v>1837</v>
      </c>
      <c r="E878" s="58">
        <v>46072.412430555552</v>
      </c>
      <c r="F878" s="46" t="s">
        <v>1861</v>
      </c>
      <c r="G878" s="46" t="s">
        <v>1121</v>
      </c>
      <c r="H878" s="49">
        <v>5</v>
      </c>
    </row>
    <row r="879" spans="1:8" x14ac:dyDescent="0.3">
      <c r="A879" s="34">
        <v>878</v>
      </c>
      <c r="B879" s="46" t="s">
        <v>299</v>
      </c>
      <c r="C879" s="58">
        <v>46072.393206018518</v>
      </c>
      <c r="D879" s="55" t="s">
        <v>1837</v>
      </c>
      <c r="E879" s="58">
        <v>46072.422256944446</v>
      </c>
      <c r="F879" s="46" t="s">
        <v>1862</v>
      </c>
      <c r="G879" s="46" t="s">
        <v>1863</v>
      </c>
      <c r="H879" s="49">
        <v>3</v>
      </c>
    </row>
    <row r="880" spans="1:8" x14ac:dyDescent="0.3">
      <c r="A880" s="34">
        <v>879</v>
      </c>
      <c r="B880" s="46" t="s">
        <v>1086</v>
      </c>
      <c r="C880" s="58">
        <v>46072.411643518521</v>
      </c>
      <c r="D880" s="55" t="s">
        <v>1837</v>
      </c>
      <c r="E880" s="58">
        <v>46072.432523148149</v>
      </c>
      <c r="F880" s="46" t="s">
        <v>1864</v>
      </c>
      <c r="G880" s="46" t="s">
        <v>1865</v>
      </c>
      <c r="H880" s="49">
        <v>3</v>
      </c>
    </row>
    <row r="881" spans="1:8" x14ac:dyDescent="0.3">
      <c r="A881" s="34">
        <v>880</v>
      </c>
      <c r="B881" s="46" t="s">
        <v>1866</v>
      </c>
      <c r="C881" s="58">
        <v>46072.324097222219</v>
      </c>
      <c r="D881" s="55" t="s">
        <v>1837</v>
      </c>
      <c r="E881" s="58">
        <v>46072.344942129632</v>
      </c>
      <c r="F881" s="46" t="s">
        <v>1867</v>
      </c>
      <c r="G881" s="46" t="s">
        <v>1868</v>
      </c>
      <c r="H881" s="49">
        <v>3</v>
      </c>
    </row>
    <row r="882" spans="1:8" x14ac:dyDescent="0.3">
      <c r="A882" s="34">
        <v>881</v>
      </c>
      <c r="B882" s="46" t="s">
        <v>653</v>
      </c>
      <c r="C882" s="58">
        <v>46072.677175925928</v>
      </c>
      <c r="D882" s="55" t="s">
        <v>1837</v>
      </c>
      <c r="E882" s="58">
        <v>46072.69804398148</v>
      </c>
      <c r="F882" s="46" t="s">
        <v>1869</v>
      </c>
      <c r="G882" s="46" t="s">
        <v>175</v>
      </c>
      <c r="H882" s="49">
        <v>3</v>
      </c>
    </row>
    <row r="883" spans="1:8" x14ac:dyDescent="0.3">
      <c r="A883" s="34">
        <v>882</v>
      </c>
      <c r="B883" s="46" t="s">
        <v>512</v>
      </c>
      <c r="C883" s="58">
        <v>46072.463333333333</v>
      </c>
      <c r="D883" s="55" t="s">
        <v>1837</v>
      </c>
      <c r="E883" s="58">
        <v>46072.484212962961</v>
      </c>
      <c r="F883" s="46" t="s">
        <v>1870</v>
      </c>
      <c r="G883" s="46" t="s">
        <v>1183</v>
      </c>
      <c r="H883" s="49">
        <v>4</v>
      </c>
    </row>
    <row r="884" spans="1:8" x14ac:dyDescent="0.3">
      <c r="A884" s="34">
        <v>883</v>
      </c>
      <c r="B884" s="46" t="s">
        <v>1089</v>
      </c>
      <c r="C884" s="58">
        <v>46072.439629629633</v>
      </c>
      <c r="D884" s="55" t="s">
        <v>1837</v>
      </c>
      <c r="E884" s="58">
        <v>46072.460497685177</v>
      </c>
      <c r="F884" s="46" t="s">
        <v>1871</v>
      </c>
      <c r="G884" s="46" t="s">
        <v>90</v>
      </c>
      <c r="H884" s="49">
        <v>5</v>
      </c>
    </row>
    <row r="885" spans="1:8" x14ac:dyDescent="0.3">
      <c r="A885" s="34">
        <v>884</v>
      </c>
      <c r="B885" s="46" t="s">
        <v>144</v>
      </c>
      <c r="C885" s="58">
        <v>46072.392430555563</v>
      </c>
      <c r="D885" s="55" t="s">
        <v>1837</v>
      </c>
      <c r="E885" s="58">
        <v>46072.41333333333</v>
      </c>
      <c r="F885" s="46" t="s">
        <v>1872</v>
      </c>
      <c r="G885" s="46" t="s">
        <v>1873</v>
      </c>
      <c r="H885" s="49">
        <v>5</v>
      </c>
    </row>
    <row r="886" spans="1:8" x14ac:dyDescent="0.3">
      <c r="A886" s="34">
        <v>885</v>
      </c>
      <c r="B886" s="46" t="s">
        <v>1874</v>
      </c>
      <c r="C886" s="58">
        <v>46072.658229166656</v>
      </c>
      <c r="D886" s="55" t="s">
        <v>1837</v>
      </c>
      <c r="E886" s="58">
        <v>46072.679108796299</v>
      </c>
      <c r="F886" s="46" t="s">
        <v>1875</v>
      </c>
      <c r="G886" s="46" t="s">
        <v>660</v>
      </c>
      <c r="H886" s="49">
        <v>4</v>
      </c>
    </row>
    <row r="887" spans="1:8" x14ac:dyDescent="0.3">
      <c r="A887" s="34">
        <v>886</v>
      </c>
      <c r="B887" s="46" t="s">
        <v>158</v>
      </c>
      <c r="C887" s="58">
        <v>46072.47755787037</v>
      </c>
      <c r="D887" s="55" t="s">
        <v>1837</v>
      </c>
      <c r="E887" s="58">
        <v>46072.498425925929</v>
      </c>
      <c r="F887" s="46" t="s">
        <v>1876</v>
      </c>
      <c r="G887" s="46" t="s">
        <v>113</v>
      </c>
      <c r="H887" s="49">
        <v>3</v>
      </c>
    </row>
    <row r="888" spans="1:8" x14ac:dyDescent="0.3">
      <c r="A888" s="34">
        <v>887</v>
      </c>
      <c r="B888" s="46" t="s">
        <v>1099</v>
      </c>
      <c r="C888" s="58">
        <v>46072.356111111112</v>
      </c>
      <c r="D888" s="55" t="s">
        <v>1837</v>
      </c>
      <c r="E888" s="58">
        <v>46072.37699074074</v>
      </c>
      <c r="F888" s="46" t="s">
        <v>1877</v>
      </c>
      <c r="G888" s="46" t="s">
        <v>309</v>
      </c>
      <c r="H888" s="49">
        <v>4</v>
      </c>
    </row>
    <row r="889" spans="1:8" x14ac:dyDescent="0.3">
      <c r="A889" s="34">
        <v>888</v>
      </c>
      <c r="B889" s="46" t="s">
        <v>164</v>
      </c>
      <c r="C889" s="58">
        <v>46072.319872685177</v>
      </c>
      <c r="D889" s="55" t="s">
        <v>1837</v>
      </c>
      <c r="E889" s="58">
        <v>46072.340752314813</v>
      </c>
      <c r="F889" s="46" t="s">
        <v>1878</v>
      </c>
      <c r="G889" s="46" t="s">
        <v>309</v>
      </c>
      <c r="H889" s="49">
        <v>4</v>
      </c>
    </row>
    <row r="890" spans="1:8" x14ac:dyDescent="0.3">
      <c r="A890" s="34">
        <v>889</v>
      </c>
      <c r="B890" s="46" t="s">
        <v>62</v>
      </c>
      <c r="C890" s="58">
        <v>46072.392685185187</v>
      </c>
      <c r="D890" s="55" t="s">
        <v>1837</v>
      </c>
      <c r="E890" s="58">
        <v>46072.413553240738</v>
      </c>
      <c r="F890" s="46" t="s">
        <v>1879</v>
      </c>
      <c r="G890" s="46" t="s">
        <v>1880</v>
      </c>
      <c r="H890" s="49">
        <v>3</v>
      </c>
    </row>
    <row r="891" spans="1:8" x14ac:dyDescent="0.3">
      <c r="A891" s="34">
        <v>890</v>
      </c>
      <c r="B891" s="46" t="s">
        <v>196</v>
      </c>
      <c r="C891" s="58">
        <v>46072.522581018522</v>
      </c>
      <c r="D891" s="55" t="s">
        <v>1837</v>
      </c>
      <c r="E891" s="58">
        <v>46072.543414351851</v>
      </c>
      <c r="F891" s="46" t="s">
        <v>1881</v>
      </c>
      <c r="G891" s="46" t="s">
        <v>1882</v>
      </c>
      <c r="H891" s="49">
        <v>3</v>
      </c>
    </row>
    <row r="892" spans="1:8" x14ac:dyDescent="0.3">
      <c r="A892" s="34">
        <v>891</v>
      </c>
      <c r="B892" s="46" t="s">
        <v>929</v>
      </c>
      <c r="C892" s="58">
        <v>46072.468831018523</v>
      </c>
      <c r="D892" s="55" t="s">
        <v>1837</v>
      </c>
      <c r="E892" s="58">
        <v>46072.489710648151</v>
      </c>
      <c r="F892" s="46" t="s">
        <v>1883</v>
      </c>
      <c r="G892" s="46" t="s">
        <v>1398</v>
      </c>
      <c r="H892" s="49">
        <v>3</v>
      </c>
    </row>
    <row r="893" spans="1:8" x14ac:dyDescent="0.3">
      <c r="A893" s="34">
        <v>892</v>
      </c>
      <c r="B893" s="46" t="s">
        <v>1884</v>
      </c>
      <c r="C893" s="58">
        <v>46072.476863425924</v>
      </c>
      <c r="D893" s="55" t="s">
        <v>1837</v>
      </c>
      <c r="E893" s="58">
        <v>46072.497708333343</v>
      </c>
      <c r="F893" s="46" t="s">
        <v>1885</v>
      </c>
      <c r="G893" s="46" t="s">
        <v>113</v>
      </c>
      <c r="H893" s="49">
        <v>3</v>
      </c>
    </row>
    <row r="894" spans="1:8" x14ac:dyDescent="0.3">
      <c r="A894" s="34">
        <v>893</v>
      </c>
      <c r="B894" s="46" t="s">
        <v>339</v>
      </c>
      <c r="C894" s="58">
        <v>46072.662141203713</v>
      </c>
      <c r="D894" s="55" t="s">
        <v>1837</v>
      </c>
      <c r="E894" s="58">
        <v>46072.682986111111</v>
      </c>
      <c r="F894" s="46" t="s">
        <v>1886</v>
      </c>
      <c r="G894" s="46" t="s">
        <v>442</v>
      </c>
      <c r="H894" s="49">
        <v>3</v>
      </c>
    </row>
    <row r="895" spans="1:8" x14ac:dyDescent="0.3">
      <c r="A895" s="34">
        <v>894</v>
      </c>
      <c r="B895" s="46" t="s">
        <v>1467</v>
      </c>
      <c r="C895" s="58">
        <v>46072.429074074083</v>
      </c>
      <c r="D895" s="55" t="s">
        <v>1837</v>
      </c>
      <c r="E895" s="58">
        <v>46072.449918981481</v>
      </c>
      <c r="F895" s="46" t="s">
        <v>1887</v>
      </c>
      <c r="G895" s="46" t="s">
        <v>1888</v>
      </c>
      <c r="H895" s="49">
        <v>4</v>
      </c>
    </row>
    <row r="896" spans="1:8" x14ac:dyDescent="0.3">
      <c r="A896" s="34">
        <v>895</v>
      </c>
      <c r="B896" s="46" t="s">
        <v>1719</v>
      </c>
      <c r="C896" s="58">
        <v>46072.59710648148</v>
      </c>
      <c r="D896" s="55" t="s">
        <v>1837</v>
      </c>
      <c r="E896" s="58">
        <v>46072.617986111109</v>
      </c>
      <c r="F896" s="46" t="s">
        <v>1889</v>
      </c>
      <c r="G896" s="46" t="s">
        <v>1890</v>
      </c>
      <c r="H896" s="49">
        <v>4</v>
      </c>
    </row>
    <row r="897" spans="1:8" x14ac:dyDescent="0.3">
      <c r="A897" s="34">
        <v>896</v>
      </c>
      <c r="B897" s="46" t="s">
        <v>1027</v>
      </c>
      <c r="C897" s="58">
        <v>46072.611006944448</v>
      </c>
      <c r="D897" s="55" t="s">
        <v>1837</v>
      </c>
      <c r="E897" s="58">
        <v>46072.631874999999</v>
      </c>
      <c r="F897" s="46" t="s">
        <v>1891</v>
      </c>
      <c r="G897" s="46" t="s">
        <v>309</v>
      </c>
      <c r="H897" s="49">
        <v>4</v>
      </c>
    </row>
    <row r="898" spans="1:8" x14ac:dyDescent="0.3">
      <c r="A898" s="34">
        <v>897</v>
      </c>
      <c r="B898" s="46" t="s">
        <v>40</v>
      </c>
      <c r="C898" s="58">
        <v>46072.417604166672</v>
      </c>
      <c r="D898" s="55" t="s">
        <v>1837</v>
      </c>
      <c r="E898" s="58">
        <v>46072.438460648147</v>
      </c>
      <c r="F898" s="46" t="s">
        <v>1892</v>
      </c>
      <c r="G898" s="46" t="s">
        <v>1893</v>
      </c>
      <c r="H898" s="49">
        <v>3</v>
      </c>
    </row>
    <row r="899" spans="1:8" x14ac:dyDescent="0.3">
      <c r="A899" s="34">
        <v>898</v>
      </c>
      <c r="B899" s="46" t="s">
        <v>853</v>
      </c>
      <c r="C899" s="58">
        <v>46072.373240740737</v>
      </c>
      <c r="D899" s="55" t="s">
        <v>1837</v>
      </c>
      <c r="E899" s="58">
        <v>46072.394074074073</v>
      </c>
      <c r="F899" s="46" t="s">
        <v>1894</v>
      </c>
      <c r="G899" s="46" t="s">
        <v>1895</v>
      </c>
      <c r="H899" s="49">
        <v>3</v>
      </c>
    </row>
    <row r="900" spans="1:8" x14ac:dyDescent="0.3">
      <c r="A900" s="34">
        <v>899</v>
      </c>
      <c r="B900" s="46" t="s">
        <v>1896</v>
      </c>
      <c r="C900" s="58">
        <v>46072.476585648154</v>
      </c>
      <c r="D900" s="55" t="s">
        <v>1837</v>
      </c>
      <c r="E900" s="58">
        <v>46072.497418981482</v>
      </c>
      <c r="F900" s="46" t="s">
        <v>1897</v>
      </c>
      <c r="G900" s="46" t="s">
        <v>1398</v>
      </c>
      <c r="H900" s="49">
        <v>3</v>
      </c>
    </row>
    <row r="901" spans="1:8" x14ac:dyDescent="0.3">
      <c r="A901" s="34">
        <v>900</v>
      </c>
      <c r="B901" s="46" t="s">
        <v>1042</v>
      </c>
      <c r="C901" s="58">
        <v>46072.340868055559</v>
      </c>
      <c r="D901" s="55" t="s">
        <v>1837</v>
      </c>
      <c r="E901" s="58">
        <v>46072.36173611111</v>
      </c>
      <c r="F901" s="46" t="s">
        <v>1898</v>
      </c>
      <c r="G901" s="46" t="s">
        <v>90</v>
      </c>
      <c r="H901" s="49">
        <v>5</v>
      </c>
    </row>
    <row r="902" spans="1:8" x14ac:dyDescent="0.3">
      <c r="A902" s="34">
        <v>901</v>
      </c>
      <c r="B902" s="46" t="s">
        <v>1404</v>
      </c>
      <c r="C902" s="58">
        <v>46072.419652777768</v>
      </c>
      <c r="D902" s="55" t="s">
        <v>1837</v>
      </c>
      <c r="E902" s="58">
        <v>46072.440497685187</v>
      </c>
      <c r="F902" s="46" t="s">
        <v>1899</v>
      </c>
      <c r="G902" s="46" t="s">
        <v>1900</v>
      </c>
      <c r="H902" s="49">
        <v>5</v>
      </c>
    </row>
    <row r="903" spans="1:8" x14ac:dyDescent="0.3">
      <c r="A903" s="34">
        <v>902</v>
      </c>
      <c r="B903" s="46" t="s">
        <v>1807</v>
      </c>
      <c r="C903" s="58">
        <v>46072.454050925917</v>
      </c>
      <c r="D903" s="55" t="s">
        <v>1837</v>
      </c>
      <c r="E903" s="58">
        <v>46072.474907407413</v>
      </c>
      <c r="F903" s="46" t="s">
        <v>1901</v>
      </c>
      <c r="G903" s="46" t="s">
        <v>1902</v>
      </c>
      <c r="H903" s="49">
        <v>4</v>
      </c>
    </row>
    <row r="904" spans="1:8" x14ac:dyDescent="0.3">
      <c r="A904" s="34">
        <v>903</v>
      </c>
      <c r="B904" s="46" t="s">
        <v>256</v>
      </c>
      <c r="C904" s="58">
        <v>46072.467962962961</v>
      </c>
      <c r="D904" s="55" t="s">
        <v>1837</v>
      </c>
      <c r="E904" s="58">
        <v>46072.488819444443</v>
      </c>
      <c r="F904" s="46" t="s">
        <v>1903</v>
      </c>
      <c r="G904" s="46" t="s">
        <v>1904</v>
      </c>
      <c r="H904" s="49">
        <v>4</v>
      </c>
    </row>
    <row r="905" spans="1:8" x14ac:dyDescent="0.3">
      <c r="A905" s="34">
        <v>904</v>
      </c>
      <c r="B905" s="46" t="s">
        <v>611</v>
      </c>
      <c r="C905" s="58">
        <v>46072.34337962963</v>
      </c>
      <c r="D905" s="55" t="s">
        <v>1837</v>
      </c>
      <c r="E905" s="58">
        <v>46072.364247685182</v>
      </c>
      <c r="F905" s="46" t="s">
        <v>1905</v>
      </c>
      <c r="G905" s="46" t="s">
        <v>90</v>
      </c>
      <c r="H905" s="49">
        <v>4</v>
      </c>
    </row>
    <row r="906" spans="1:8" x14ac:dyDescent="0.3">
      <c r="A906" s="34">
        <v>905</v>
      </c>
      <c r="B906" s="46" t="s">
        <v>729</v>
      </c>
      <c r="C906" s="58">
        <v>46072.547766203701</v>
      </c>
      <c r="D906" s="55" t="s">
        <v>1837</v>
      </c>
      <c r="E906" s="58">
        <v>46072.568599537037</v>
      </c>
      <c r="F906" s="46" t="s">
        <v>1906</v>
      </c>
      <c r="G906" s="46" t="s">
        <v>90</v>
      </c>
      <c r="H906" s="49">
        <v>5</v>
      </c>
    </row>
    <row r="907" spans="1:8" x14ac:dyDescent="0.3">
      <c r="A907" s="34">
        <v>906</v>
      </c>
      <c r="B907" s="46" t="s">
        <v>1907</v>
      </c>
      <c r="C907" s="58">
        <v>46072.496666666673</v>
      </c>
      <c r="D907" s="55" t="s">
        <v>1837</v>
      </c>
      <c r="E907" s="58">
        <v>46072.517546296287</v>
      </c>
      <c r="F907" s="46" t="s">
        <v>1908</v>
      </c>
      <c r="G907" s="46" t="s">
        <v>1288</v>
      </c>
      <c r="H907" s="49">
        <v>4</v>
      </c>
    </row>
    <row r="908" spans="1:8" x14ac:dyDescent="0.3">
      <c r="A908" s="34">
        <v>907</v>
      </c>
      <c r="B908" s="46" t="s">
        <v>264</v>
      </c>
      <c r="C908" s="58">
        <v>46072.393888888888</v>
      </c>
      <c r="D908" s="55" t="s">
        <v>1837</v>
      </c>
      <c r="E908" s="58">
        <v>46072.414780092593</v>
      </c>
      <c r="F908" s="46" t="s">
        <v>1909</v>
      </c>
      <c r="G908" s="46" t="s">
        <v>1910</v>
      </c>
      <c r="H908" s="49">
        <v>5</v>
      </c>
    </row>
    <row r="909" spans="1:8" x14ac:dyDescent="0.3">
      <c r="A909" s="34">
        <v>908</v>
      </c>
      <c r="B909" s="46" t="s">
        <v>1911</v>
      </c>
      <c r="C909" s="58">
        <v>46072.517164351862</v>
      </c>
      <c r="D909" s="55" t="s">
        <v>1837</v>
      </c>
      <c r="E909" s="58">
        <v>46072.537997685176</v>
      </c>
      <c r="F909" s="46" t="s">
        <v>1912</v>
      </c>
      <c r="G909" s="46" t="s">
        <v>1376</v>
      </c>
      <c r="H909" s="49">
        <v>4</v>
      </c>
    </row>
    <row r="910" spans="1:8" x14ac:dyDescent="0.3">
      <c r="A910" s="34">
        <v>909</v>
      </c>
      <c r="B910" s="46" t="s">
        <v>1062</v>
      </c>
      <c r="C910" s="58">
        <v>46072.536932870367</v>
      </c>
      <c r="D910" s="55" t="s">
        <v>1837</v>
      </c>
      <c r="E910" s="58">
        <v>46072.557789351849</v>
      </c>
      <c r="F910" s="46" t="s">
        <v>1913</v>
      </c>
      <c r="G910" s="46" t="s">
        <v>90</v>
      </c>
      <c r="H910" s="49">
        <v>6</v>
      </c>
    </row>
    <row r="911" spans="1:8" x14ac:dyDescent="0.3">
      <c r="A911" s="34">
        <v>910</v>
      </c>
      <c r="B911" s="46" t="s">
        <v>880</v>
      </c>
      <c r="C911" s="58">
        <v>46072.775636574072</v>
      </c>
      <c r="D911" s="55" t="s">
        <v>1837</v>
      </c>
      <c r="E911" s="58">
        <v>46072.796469907407</v>
      </c>
      <c r="F911" s="46" t="s">
        <v>1914</v>
      </c>
      <c r="G911" s="46" t="s">
        <v>1151</v>
      </c>
      <c r="H911" s="49">
        <v>3</v>
      </c>
    </row>
    <row r="912" spans="1:8" x14ac:dyDescent="0.3">
      <c r="A912" s="34">
        <v>911</v>
      </c>
      <c r="B912" s="46" t="s">
        <v>1226</v>
      </c>
      <c r="C912" s="58">
        <v>46072.477361111109</v>
      </c>
      <c r="D912" s="55" t="s">
        <v>1837</v>
      </c>
      <c r="E912" s="58">
        <v>46072.498240740737</v>
      </c>
      <c r="F912" s="46" t="s">
        <v>1915</v>
      </c>
      <c r="G912" s="46" t="s">
        <v>175</v>
      </c>
      <c r="H912" s="49">
        <v>3</v>
      </c>
    </row>
    <row r="913" spans="1:8" x14ac:dyDescent="0.3">
      <c r="A913" s="34">
        <v>912</v>
      </c>
      <c r="B913" s="46" t="s">
        <v>1916</v>
      </c>
      <c r="C913" s="58">
        <v>46072.510057870371</v>
      </c>
      <c r="D913" s="55" t="s">
        <v>1837</v>
      </c>
      <c r="E913" s="58">
        <v>46072.530914351853</v>
      </c>
      <c r="F913" s="46" t="s">
        <v>1917</v>
      </c>
      <c r="G913" s="46" t="s">
        <v>1918</v>
      </c>
      <c r="H913" s="49">
        <v>3</v>
      </c>
    </row>
    <row r="914" spans="1:8" x14ac:dyDescent="0.3">
      <c r="A914" s="34">
        <v>913</v>
      </c>
      <c r="B914" s="46" t="s">
        <v>1919</v>
      </c>
      <c r="C914" s="58">
        <v>46072.626469907409</v>
      </c>
      <c r="D914" s="55" t="s">
        <v>1837</v>
      </c>
      <c r="E914" s="58">
        <v>46072.647326388891</v>
      </c>
      <c r="F914" s="46" t="s">
        <v>1920</v>
      </c>
      <c r="G914" s="46" t="s">
        <v>1921</v>
      </c>
      <c r="H914" s="49">
        <v>6</v>
      </c>
    </row>
    <row r="915" spans="1:8" x14ac:dyDescent="0.3">
      <c r="A915" s="34">
        <v>914</v>
      </c>
      <c r="B915" s="46" t="s">
        <v>739</v>
      </c>
      <c r="C915" s="58">
        <v>46072.472731481481</v>
      </c>
      <c r="D915" s="55" t="s">
        <v>1837</v>
      </c>
      <c r="E915" s="58">
        <v>46072.49359953704</v>
      </c>
      <c r="F915" s="46" t="s">
        <v>1922</v>
      </c>
      <c r="G915" s="46" t="s">
        <v>113</v>
      </c>
      <c r="H915" s="49">
        <v>3</v>
      </c>
    </row>
    <row r="916" spans="1:8" x14ac:dyDescent="0.3">
      <c r="A916" s="34">
        <v>915</v>
      </c>
      <c r="B916" s="46" t="s">
        <v>891</v>
      </c>
      <c r="C916" s="58">
        <v>46072.628171296303</v>
      </c>
      <c r="D916" s="55" t="s">
        <v>1837</v>
      </c>
      <c r="E916" s="58">
        <v>46072.649027777778</v>
      </c>
      <c r="F916" s="46" t="s">
        <v>1923</v>
      </c>
      <c r="G916" s="46" t="s">
        <v>748</v>
      </c>
      <c r="H916" s="49">
        <v>4</v>
      </c>
    </row>
    <row r="917" spans="1:8" x14ac:dyDescent="0.3">
      <c r="A917" s="34">
        <v>916</v>
      </c>
      <c r="B917" s="46" t="s">
        <v>1924</v>
      </c>
      <c r="C917" s="58">
        <v>46073.459490740737</v>
      </c>
      <c r="D917" s="55" t="s">
        <v>1925</v>
      </c>
      <c r="E917" s="58">
        <v>46073.480324074073</v>
      </c>
      <c r="F917" s="46" t="s">
        <v>1926</v>
      </c>
      <c r="G917" s="46" t="s">
        <v>107</v>
      </c>
      <c r="H917" s="49">
        <v>3</v>
      </c>
    </row>
    <row r="918" spans="1:8" x14ac:dyDescent="0.3">
      <c r="A918" s="34">
        <v>917</v>
      </c>
      <c r="B918" s="46" t="s">
        <v>1927</v>
      </c>
      <c r="C918" s="58">
        <v>46073.592870370368</v>
      </c>
      <c r="D918" s="55" t="s">
        <v>1925</v>
      </c>
      <c r="E918" s="58">
        <v>46073.613715277781</v>
      </c>
      <c r="F918" s="46" t="s">
        <v>1928</v>
      </c>
      <c r="G918" s="46" t="s">
        <v>1121</v>
      </c>
      <c r="H918" s="49">
        <v>3</v>
      </c>
    </row>
    <row r="919" spans="1:8" x14ac:dyDescent="0.3">
      <c r="A919" s="34">
        <v>918</v>
      </c>
      <c r="B919" s="46" t="s">
        <v>1845</v>
      </c>
      <c r="C919" s="58">
        <v>46073.040972222218</v>
      </c>
      <c r="D919" s="55" t="s">
        <v>1925</v>
      </c>
      <c r="E919" s="58">
        <v>46073.061851851853</v>
      </c>
      <c r="F919" s="46" t="s">
        <v>1929</v>
      </c>
      <c r="G919" s="46" t="s">
        <v>1702</v>
      </c>
      <c r="H919" s="49">
        <v>4</v>
      </c>
    </row>
    <row r="920" spans="1:8" x14ac:dyDescent="0.3">
      <c r="A920" s="34">
        <v>919</v>
      </c>
      <c r="B920" s="46" t="s">
        <v>1240</v>
      </c>
      <c r="C920" s="58">
        <v>46073.005833333344</v>
      </c>
      <c r="D920" s="55" t="s">
        <v>1925</v>
      </c>
      <c r="E920" s="58">
        <v>46073.026689814818</v>
      </c>
      <c r="F920" s="46" t="s">
        <v>1930</v>
      </c>
      <c r="G920" s="46" t="s">
        <v>1931</v>
      </c>
      <c r="H920" s="49">
        <v>4</v>
      </c>
    </row>
    <row r="921" spans="1:8" x14ac:dyDescent="0.3">
      <c r="A921" s="34">
        <v>920</v>
      </c>
      <c r="B921" s="46" t="s">
        <v>760</v>
      </c>
      <c r="C921" s="58">
        <v>46073.474374999998</v>
      </c>
      <c r="D921" s="55" t="s">
        <v>1925</v>
      </c>
      <c r="E921" s="58">
        <v>46073.495243055557</v>
      </c>
      <c r="F921" s="46" t="s">
        <v>1932</v>
      </c>
      <c r="G921" s="46" t="s">
        <v>809</v>
      </c>
      <c r="H921" s="49">
        <v>3</v>
      </c>
    </row>
    <row r="922" spans="1:8" x14ac:dyDescent="0.3">
      <c r="A922" s="34">
        <v>921</v>
      </c>
      <c r="B922" s="46" t="s">
        <v>1082</v>
      </c>
      <c r="C922" s="58">
        <v>46073.077094907407</v>
      </c>
      <c r="D922" s="55" t="s">
        <v>1925</v>
      </c>
      <c r="E922" s="58">
        <v>46073.097962962973</v>
      </c>
      <c r="F922" s="46" t="s">
        <v>1933</v>
      </c>
      <c r="G922" s="46" t="s">
        <v>1934</v>
      </c>
      <c r="H922" s="49">
        <v>3</v>
      </c>
    </row>
    <row r="923" spans="1:8" x14ac:dyDescent="0.3">
      <c r="A923" s="34">
        <v>922</v>
      </c>
      <c r="B923" s="46" t="s">
        <v>502</v>
      </c>
      <c r="C923" s="58">
        <v>46073.519976851851</v>
      </c>
      <c r="D923" s="55" t="s">
        <v>1925</v>
      </c>
      <c r="E923" s="58">
        <v>46073.540844907409</v>
      </c>
      <c r="F923" s="46" t="s">
        <v>1935</v>
      </c>
      <c r="G923" s="46" t="s">
        <v>1936</v>
      </c>
      <c r="H923" s="49">
        <v>4</v>
      </c>
    </row>
    <row r="924" spans="1:8" x14ac:dyDescent="0.3">
      <c r="A924" s="34">
        <v>923</v>
      </c>
      <c r="B924" s="46" t="s">
        <v>1424</v>
      </c>
      <c r="C924" s="58">
        <v>46073.670173611114</v>
      </c>
      <c r="D924" s="55" t="s">
        <v>1925</v>
      </c>
      <c r="E924" s="58">
        <v>46073.691018518519</v>
      </c>
      <c r="F924" s="46" t="s">
        <v>1937</v>
      </c>
      <c r="G924" s="46" t="s">
        <v>660</v>
      </c>
      <c r="H924" s="49">
        <v>4</v>
      </c>
    </row>
    <row r="925" spans="1:8" x14ac:dyDescent="0.3">
      <c r="A925" s="34">
        <v>924</v>
      </c>
      <c r="B925" s="46" t="s">
        <v>1430</v>
      </c>
      <c r="C925" s="58">
        <v>46073.737129629633</v>
      </c>
      <c r="D925" s="55" t="s">
        <v>1925</v>
      </c>
      <c r="E925" s="58">
        <v>46073.758009259262</v>
      </c>
      <c r="F925" s="46" t="s">
        <v>1938</v>
      </c>
      <c r="G925" s="46" t="s">
        <v>660</v>
      </c>
      <c r="H925" s="49">
        <v>3</v>
      </c>
    </row>
    <row r="926" spans="1:8" x14ac:dyDescent="0.3">
      <c r="A926" s="34">
        <v>925</v>
      </c>
      <c r="B926" s="46" t="s">
        <v>1522</v>
      </c>
      <c r="C926" s="58">
        <v>46073.741956018523</v>
      </c>
      <c r="D926" s="55" t="s">
        <v>1925</v>
      </c>
      <c r="E926" s="58">
        <v>46073.762824074067</v>
      </c>
      <c r="F926" s="46" t="s">
        <v>1939</v>
      </c>
      <c r="G926" s="46" t="s">
        <v>660</v>
      </c>
      <c r="H926" s="49">
        <v>4</v>
      </c>
    </row>
    <row r="927" spans="1:8" x14ac:dyDescent="0.3">
      <c r="A927" s="34">
        <v>926</v>
      </c>
      <c r="B927" s="46" t="s">
        <v>1940</v>
      </c>
      <c r="C927" s="58">
        <v>46073.493784722217</v>
      </c>
      <c r="D927" s="55" t="s">
        <v>1925</v>
      </c>
      <c r="E927" s="58">
        <v>46073.51462962963</v>
      </c>
      <c r="F927" s="46" t="s">
        <v>1941</v>
      </c>
      <c r="G927" s="46" t="s">
        <v>765</v>
      </c>
      <c r="H927" s="49">
        <v>3</v>
      </c>
    </row>
    <row r="928" spans="1:8" x14ac:dyDescent="0.3">
      <c r="A928" s="34">
        <v>927</v>
      </c>
      <c r="B928" s="46" t="s">
        <v>164</v>
      </c>
      <c r="C928" s="58">
        <v>46073.536956018521</v>
      </c>
      <c r="D928" s="55" t="s">
        <v>1925</v>
      </c>
      <c r="E928" s="58">
        <v>46073.557824074072</v>
      </c>
      <c r="F928" s="46" t="s">
        <v>1942</v>
      </c>
      <c r="G928" s="46" t="s">
        <v>1943</v>
      </c>
      <c r="H928" s="49">
        <v>3</v>
      </c>
    </row>
    <row r="929" spans="1:8" x14ac:dyDescent="0.3">
      <c r="A929" s="34">
        <v>928</v>
      </c>
      <c r="B929" s="46" t="s">
        <v>1531</v>
      </c>
      <c r="C929" s="58">
        <v>46073.794085648151</v>
      </c>
      <c r="D929" s="55" t="s">
        <v>1925</v>
      </c>
      <c r="E929" s="58">
        <v>46073.814953703702</v>
      </c>
      <c r="F929" s="46" t="s">
        <v>1944</v>
      </c>
      <c r="G929" s="46" t="s">
        <v>660</v>
      </c>
      <c r="H929" s="49">
        <v>6</v>
      </c>
    </row>
    <row r="930" spans="1:8" x14ac:dyDescent="0.3">
      <c r="A930" s="34">
        <v>929</v>
      </c>
      <c r="B930" s="46" t="s">
        <v>1945</v>
      </c>
      <c r="C930" s="58">
        <v>46073.3512962963</v>
      </c>
      <c r="D930" s="55" t="s">
        <v>1925</v>
      </c>
      <c r="E930" s="58">
        <v>46073.372164351851</v>
      </c>
      <c r="F930" s="46" t="s">
        <v>1946</v>
      </c>
      <c r="G930" s="46" t="s">
        <v>1947</v>
      </c>
      <c r="H930" s="49">
        <v>3</v>
      </c>
    </row>
    <row r="931" spans="1:8" x14ac:dyDescent="0.3">
      <c r="A931" s="34">
        <v>930</v>
      </c>
      <c r="B931" s="46" t="s">
        <v>1631</v>
      </c>
      <c r="C931" s="58">
        <v>46073.763518518521</v>
      </c>
      <c r="D931" s="55" t="s">
        <v>1925</v>
      </c>
      <c r="E931" s="58">
        <v>46073.784363425933</v>
      </c>
      <c r="F931" s="46" t="s">
        <v>1948</v>
      </c>
      <c r="G931" s="46" t="s">
        <v>660</v>
      </c>
      <c r="H931" s="49">
        <v>4</v>
      </c>
    </row>
    <row r="932" spans="1:8" x14ac:dyDescent="0.3">
      <c r="A932" s="34">
        <v>931</v>
      </c>
      <c r="B932" s="46" t="s">
        <v>1266</v>
      </c>
      <c r="C932" s="58">
        <v>46073.503229166658</v>
      </c>
      <c r="D932" s="55" t="s">
        <v>1925</v>
      </c>
      <c r="E932" s="58">
        <v>46073.524062500001</v>
      </c>
      <c r="F932" s="46" t="s">
        <v>1949</v>
      </c>
      <c r="G932" s="46" t="s">
        <v>1950</v>
      </c>
      <c r="H932" s="49">
        <v>3</v>
      </c>
    </row>
    <row r="933" spans="1:8" x14ac:dyDescent="0.3">
      <c r="A933" s="34">
        <v>932</v>
      </c>
      <c r="B933" s="46" t="s">
        <v>1951</v>
      </c>
      <c r="C933" s="58">
        <v>46073.529918981483</v>
      </c>
      <c r="D933" s="55" t="s">
        <v>1925</v>
      </c>
      <c r="E933" s="58">
        <v>46073.550787037027</v>
      </c>
      <c r="F933" s="46" t="s">
        <v>1952</v>
      </c>
      <c r="G933" s="46" t="s">
        <v>951</v>
      </c>
      <c r="H933" s="49">
        <v>6</v>
      </c>
    </row>
    <row r="934" spans="1:8" x14ac:dyDescent="0.3">
      <c r="A934" s="34">
        <v>933</v>
      </c>
      <c r="B934" s="46" t="s">
        <v>1953</v>
      </c>
      <c r="C934" s="58">
        <v>46073.348113425927</v>
      </c>
      <c r="D934" s="55" t="s">
        <v>1925</v>
      </c>
      <c r="E934" s="58">
        <v>46073.368981481479</v>
      </c>
      <c r="F934" s="46" t="s">
        <v>1954</v>
      </c>
      <c r="G934" s="46" t="s">
        <v>1955</v>
      </c>
      <c r="H934" s="49">
        <v>4</v>
      </c>
    </row>
    <row r="935" spans="1:8" x14ac:dyDescent="0.3">
      <c r="A935" s="34">
        <v>934</v>
      </c>
      <c r="B935" s="46" t="s">
        <v>1956</v>
      </c>
      <c r="C935" s="58">
        <v>46073.670347222222</v>
      </c>
      <c r="D935" s="55" t="s">
        <v>1925</v>
      </c>
      <c r="E935" s="58">
        <v>46073.691192129627</v>
      </c>
      <c r="F935" s="46" t="s">
        <v>1957</v>
      </c>
      <c r="G935" s="46" t="s">
        <v>660</v>
      </c>
      <c r="H935" s="49">
        <v>3</v>
      </c>
    </row>
    <row r="936" spans="1:8" x14ac:dyDescent="0.3">
      <c r="A936" s="34">
        <v>935</v>
      </c>
      <c r="B936" s="46" t="s">
        <v>569</v>
      </c>
      <c r="C936" s="58">
        <v>46073.431307870371</v>
      </c>
      <c r="D936" s="55" t="s">
        <v>1925</v>
      </c>
      <c r="E936" s="58">
        <v>46073.452187499999</v>
      </c>
      <c r="F936" s="46" t="s">
        <v>1958</v>
      </c>
      <c r="G936" s="46" t="s">
        <v>1868</v>
      </c>
      <c r="H936" s="49">
        <v>3</v>
      </c>
    </row>
    <row r="937" spans="1:8" x14ac:dyDescent="0.3">
      <c r="A937" s="34">
        <v>936</v>
      </c>
      <c r="B937" s="46" t="s">
        <v>56</v>
      </c>
      <c r="C937" s="58">
        <v>46073.358090277783</v>
      </c>
      <c r="D937" s="55" t="s">
        <v>1925</v>
      </c>
      <c r="E937" s="58">
        <v>46073.378946759258</v>
      </c>
      <c r="F937" s="46" t="s">
        <v>1959</v>
      </c>
      <c r="G937" s="46" t="s">
        <v>1670</v>
      </c>
      <c r="H937" s="49">
        <v>3</v>
      </c>
    </row>
    <row r="938" spans="1:8" x14ac:dyDescent="0.3">
      <c r="A938" s="34">
        <v>937</v>
      </c>
      <c r="B938" s="46" t="s">
        <v>1960</v>
      </c>
      <c r="C938" s="58">
        <v>46073.743993055563</v>
      </c>
      <c r="D938" s="55" t="s">
        <v>1925</v>
      </c>
      <c r="E938" s="58">
        <v>46073.764861111107</v>
      </c>
      <c r="F938" s="46" t="s">
        <v>1961</v>
      </c>
      <c r="G938" s="46" t="s">
        <v>660</v>
      </c>
      <c r="H938" s="49">
        <v>4</v>
      </c>
    </row>
    <row r="939" spans="1:8" x14ac:dyDescent="0.3">
      <c r="A939" s="34">
        <v>938</v>
      </c>
      <c r="B939" s="46" t="s">
        <v>1962</v>
      </c>
      <c r="C939" s="58">
        <v>46073.455868055556</v>
      </c>
      <c r="D939" s="55" t="s">
        <v>1925</v>
      </c>
      <c r="E939" s="58">
        <v>46073.476736111108</v>
      </c>
      <c r="F939" s="46" t="s">
        <v>1963</v>
      </c>
      <c r="G939" s="46" t="s">
        <v>1964</v>
      </c>
      <c r="H939" s="49">
        <v>3</v>
      </c>
    </row>
    <row r="940" spans="1:8" x14ac:dyDescent="0.3">
      <c r="A940" s="34">
        <v>939</v>
      </c>
      <c r="B940" s="46" t="s">
        <v>1396</v>
      </c>
      <c r="C940" s="58">
        <v>46073.549641203703</v>
      </c>
      <c r="D940" s="55" t="s">
        <v>1925</v>
      </c>
      <c r="E940" s="58">
        <v>46073.570486111108</v>
      </c>
      <c r="F940" s="46" t="s">
        <v>1965</v>
      </c>
      <c r="G940" s="46" t="s">
        <v>1077</v>
      </c>
      <c r="H940" s="49">
        <v>5</v>
      </c>
    </row>
    <row r="941" spans="1:8" x14ac:dyDescent="0.3">
      <c r="A941" s="34">
        <v>940</v>
      </c>
      <c r="B941" s="46" t="s">
        <v>40</v>
      </c>
      <c r="C941" s="58">
        <v>46073.528240740743</v>
      </c>
      <c r="D941" s="55" t="s">
        <v>1925</v>
      </c>
      <c r="E941" s="58">
        <v>46073.549108796287</v>
      </c>
      <c r="F941" s="46" t="s">
        <v>1966</v>
      </c>
      <c r="G941" s="46" t="s">
        <v>1967</v>
      </c>
      <c r="H941" s="49">
        <v>3</v>
      </c>
    </row>
    <row r="942" spans="1:8" x14ac:dyDescent="0.3">
      <c r="A942" s="34">
        <v>941</v>
      </c>
      <c r="B942" s="46" t="s">
        <v>958</v>
      </c>
      <c r="C942" s="58">
        <v>46073.365567129629</v>
      </c>
      <c r="D942" s="55" t="s">
        <v>1925</v>
      </c>
      <c r="E942" s="58">
        <v>46073.386446759258</v>
      </c>
      <c r="F942" s="46" t="s">
        <v>1968</v>
      </c>
      <c r="G942" s="46" t="s">
        <v>967</v>
      </c>
      <c r="H942" s="49">
        <v>3</v>
      </c>
    </row>
    <row r="943" spans="1:8" x14ac:dyDescent="0.3">
      <c r="A943" s="34">
        <v>942</v>
      </c>
      <c r="B943" s="46" t="s">
        <v>225</v>
      </c>
      <c r="C943" s="58">
        <v>46073.346226851849</v>
      </c>
      <c r="D943" s="55" t="s">
        <v>1925</v>
      </c>
      <c r="E943" s="58">
        <v>46073.367083333331</v>
      </c>
      <c r="F943" s="46" t="s">
        <v>1969</v>
      </c>
      <c r="G943" s="46" t="s">
        <v>1955</v>
      </c>
      <c r="H943" s="49">
        <v>3</v>
      </c>
    </row>
    <row r="944" spans="1:8" x14ac:dyDescent="0.3">
      <c r="A944" s="34">
        <v>943</v>
      </c>
      <c r="B944" s="46" t="s">
        <v>1202</v>
      </c>
      <c r="C944" s="58">
        <v>46073.512511574067</v>
      </c>
      <c r="D944" s="55" t="s">
        <v>1925</v>
      </c>
      <c r="E944" s="58">
        <v>46073.533356481479</v>
      </c>
      <c r="F944" s="46" t="s">
        <v>1970</v>
      </c>
      <c r="G944" s="46" t="s">
        <v>1710</v>
      </c>
      <c r="H944" s="49">
        <v>3</v>
      </c>
    </row>
    <row r="945" spans="1:8" x14ac:dyDescent="0.3">
      <c r="A945" s="34">
        <v>944</v>
      </c>
      <c r="B945" s="46" t="s">
        <v>1739</v>
      </c>
      <c r="C945" s="58">
        <v>46073.49490740741</v>
      </c>
      <c r="D945" s="55" t="s">
        <v>1925</v>
      </c>
      <c r="E945" s="58">
        <v>46073.515787037039</v>
      </c>
      <c r="F945" s="46" t="s">
        <v>1971</v>
      </c>
      <c r="G945" s="46" t="s">
        <v>1490</v>
      </c>
      <c r="H945" s="49">
        <v>4</v>
      </c>
    </row>
    <row r="946" spans="1:8" x14ac:dyDescent="0.3">
      <c r="A946" s="34">
        <v>945</v>
      </c>
      <c r="B946" s="46" t="s">
        <v>1972</v>
      </c>
      <c r="C946" s="58">
        <v>46073.626840277779</v>
      </c>
      <c r="D946" s="55" t="s">
        <v>1925</v>
      </c>
      <c r="E946" s="58">
        <v>46073.647685185177</v>
      </c>
      <c r="F946" s="46" t="s">
        <v>1973</v>
      </c>
      <c r="G946" s="46" t="s">
        <v>1974</v>
      </c>
      <c r="H946" s="49">
        <v>3</v>
      </c>
    </row>
    <row r="947" spans="1:8" x14ac:dyDescent="0.3">
      <c r="A947" s="34">
        <v>946</v>
      </c>
      <c r="B947" s="46" t="s">
        <v>43</v>
      </c>
      <c r="C947" s="58">
        <v>46073.603622685187</v>
      </c>
      <c r="D947" s="55" t="s">
        <v>1925</v>
      </c>
      <c r="E947" s="58">
        <v>46073.624456018522</v>
      </c>
      <c r="F947" s="46" t="s">
        <v>1975</v>
      </c>
      <c r="G947" s="46" t="s">
        <v>1976</v>
      </c>
      <c r="H947" s="49">
        <v>3</v>
      </c>
    </row>
    <row r="948" spans="1:8" x14ac:dyDescent="0.3">
      <c r="A948" s="34">
        <v>947</v>
      </c>
      <c r="B948" s="46" t="s">
        <v>45</v>
      </c>
      <c r="C948" s="58">
        <v>46073.32439814815</v>
      </c>
      <c r="D948" s="55" t="s">
        <v>1925</v>
      </c>
      <c r="E948" s="58">
        <v>46073.345277777778</v>
      </c>
      <c r="F948" s="46" t="s">
        <v>1977</v>
      </c>
      <c r="G948" s="46" t="s">
        <v>1288</v>
      </c>
      <c r="H948" s="49">
        <v>3</v>
      </c>
    </row>
    <row r="949" spans="1:8" x14ac:dyDescent="0.3">
      <c r="A949" s="34">
        <v>948</v>
      </c>
      <c r="B949" s="46" t="s">
        <v>880</v>
      </c>
      <c r="C949" s="58">
        <v>46073.698194444441</v>
      </c>
      <c r="D949" s="55" t="s">
        <v>1925</v>
      </c>
      <c r="E949" s="58">
        <v>46073.719050925924</v>
      </c>
      <c r="F949" s="46" t="s">
        <v>1978</v>
      </c>
      <c r="G949" s="46" t="s">
        <v>1979</v>
      </c>
      <c r="H949" s="49">
        <v>3</v>
      </c>
    </row>
    <row r="950" spans="1:8" x14ac:dyDescent="0.3">
      <c r="A950" s="34">
        <v>949</v>
      </c>
      <c r="B950" s="46" t="s">
        <v>278</v>
      </c>
      <c r="C950" s="58">
        <v>46073.351041666669</v>
      </c>
      <c r="D950" s="55" t="s">
        <v>1925</v>
      </c>
      <c r="E950" s="58">
        <v>46073.371874999997</v>
      </c>
      <c r="F950" s="46" t="s">
        <v>1980</v>
      </c>
      <c r="G950" s="46" t="s">
        <v>1981</v>
      </c>
      <c r="H950" s="49">
        <v>3</v>
      </c>
    </row>
    <row r="951" spans="1:8" x14ac:dyDescent="0.3">
      <c r="A951" s="34">
        <v>950</v>
      </c>
      <c r="B951" s="46" t="s">
        <v>1305</v>
      </c>
      <c r="C951" s="58">
        <v>46075.326979166668</v>
      </c>
      <c r="D951" s="55" t="s">
        <v>1982</v>
      </c>
      <c r="E951" s="58">
        <v>46075.347824074073</v>
      </c>
      <c r="F951" s="46" t="s">
        <v>1983</v>
      </c>
      <c r="G951" s="46" t="s">
        <v>266</v>
      </c>
      <c r="H951" s="49">
        <v>3</v>
      </c>
    </row>
    <row r="952" spans="1:8" x14ac:dyDescent="0.3">
      <c r="A952" s="34">
        <v>951</v>
      </c>
      <c r="B952" s="46" t="s">
        <v>656</v>
      </c>
      <c r="C952" s="58">
        <v>46075.477870370371</v>
      </c>
      <c r="D952" s="55" t="s">
        <v>1982</v>
      </c>
      <c r="E952" s="58">
        <v>46075.498715277783</v>
      </c>
      <c r="F952" s="46" t="s">
        <v>1984</v>
      </c>
      <c r="G952" s="46" t="s">
        <v>1985</v>
      </c>
      <c r="H952" s="49">
        <v>3</v>
      </c>
    </row>
    <row r="953" spans="1:8" x14ac:dyDescent="0.3">
      <c r="A953" s="34">
        <v>952</v>
      </c>
      <c r="B953" s="46" t="s">
        <v>917</v>
      </c>
      <c r="C953" s="58">
        <v>46075.39744212963</v>
      </c>
      <c r="D953" s="55" t="s">
        <v>1982</v>
      </c>
      <c r="E953" s="58">
        <v>46075.418310185189</v>
      </c>
      <c r="F953" s="46" t="s">
        <v>1986</v>
      </c>
      <c r="G953" s="46" t="s">
        <v>309</v>
      </c>
      <c r="H953" s="49">
        <v>3</v>
      </c>
    </row>
    <row r="954" spans="1:8" x14ac:dyDescent="0.3">
      <c r="A954" s="34">
        <v>953</v>
      </c>
      <c r="B954" s="46" t="s">
        <v>1316</v>
      </c>
      <c r="C954" s="58">
        <v>46075.293067129627</v>
      </c>
      <c r="D954" s="55" t="s">
        <v>1982</v>
      </c>
      <c r="E954" s="58">
        <v>46075.313935185193</v>
      </c>
      <c r="F954" s="46" t="s">
        <v>1987</v>
      </c>
      <c r="G954" s="46" t="s">
        <v>1048</v>
      </c>
      <c r="H954" s="49">
        <v>3</v>
      </c>
    </row>
    <row r="955" spans="1:8" x14ac:dyDescent="0.3">
      <c r="A955" s="34">
        <v>954</v>
      </c>
      <c r="B955" s="46" t="s">
        <v>138</v>
      </c>
      <c r="C955" s="58">
        <v>46075.352013888893</v>
      </c>
      <c r="D955" s="55" t="s">
        <v>1982</v>
      </c>
      <c r="E955" s="58">
        <v>46075.372858796298</v>
      </c>
      <c r="F955" s="46" t="s">
        <v>1988</v>
      </c>
      <c r="G955" s="46" t="s">
        <v>1989</v>
      </c>
      <c r="H955" s="49">
        <v>3</v>
      </c>
    </row>
    <row r="956" spans="1:8" x14ac:dyDescent="0.3">
      <c r="A956" s="34">
        <v>955</v>
      </c>
      <c r="B956" s="46" t="s">
        <v>1253</v>
      </c>
      <c r="C956" s="58">
        <v>46075.430972222217</v>
      </c>
      <c r="D956" s="55" t="s">
        <v>1982</v>
      </c>
      <c r="E956" s="58">
        <v>46075.451851851853</v>
      </c>
      <c r="F956" s="46" t="s">
        <v>1990</v>
      </c>
      <c r="G956" s="46" t="s">
        <v>1991</v>
      </c>
      <c r="H956" s="49">
        <v>3</v>
      </c>
    </row>
    <row r="957" spans="1:8" x14ac:dyDescent="0.3">
      <c r="A957" s="34">
        <v>956</v>
      </c>
      <c r="B957" s="46" t="s">
        <v>313</v>
      </c>
      <c r="C957" s="58">
        <v>46075.42082175926</v>
      </c>
      <c r="D957" s="55" t="s">
        <v>1982</v>
      </c>
      <c r="E957" s="58">
        <v>46075.441678240742</v>
      </c>
      <c r="F957" s="46" t="s">
        <v>1992</v>
      </c>
      <c r="G957" s="46" t="s">
        <v>1993</v>
      </c>
      <c r="H957" s="49">
        <v>3</v>
      </c>
    </row>
    <row r="958" spans="1:8" x14ac:dyDescent="0.3">
      <c r="A958" s="34">
        <v>957</v>
      </c>
      <c r="B958" s="46" t="s">
        <v>670</v>
      </c>
      <c r="C958" s="58">
        <v>46075.566944444443</v>
      </c>
      <c r="D958" s="55" t="s">
        <v>1982</v>
      </c>
      <c r="E958" s="58">
        <v>46075.587824074071</v>
      </c>
      <c r="F958" s="46" t="s">
        <v>1994</v>
      </c>
      <c r="G958" s="46" t="s">
        <v>1995</v>
      </c>
      <c r="H958" s="49">
        <v>3</v>
      </c>
    </row>
    <row r="959" spans="1:8" x14ac:dyDescent="0.3">
      <c r="A959" s="34">
        <v>958</v>
      </c>
      <c r="B959" s="46" t="s">
        <v>1996</v>
      </c>
      <c r="C959" s="58">
        <v>46075.464525462958</v>
      </c>
      <c r="D959" s="55" t="s">
        <v>1982</v>
      </c>
      <c r="E959" s="58">
        <v>46075.48537037037</v>
      </c>
      <c r="F959" s="46" t="s">
        <v>1997</v>
      </c>
      <c r="G959" s="46" t="s">
        <v>1998</v>
      </c>
      <c r="H959" s="49">
        <v>3</v>
      </c>
    </row>
    <row r="960" spans="1:8" x14ac:dyDescent="0.3">
      <c r="A960" s="34">
        <v>959</v>
      </c>
      <c r="B960" s="46" t="s">
        <v>423</v>
      </c>
      <c r="C960" s="58">
        <v>46075.425405092603</v>
      </c>
      <c r="D960" s="55" t="s">
        <v>1982</v>
      </c>
      <c r="E960" s="58">
        <v>46075.446261574078</v>
      </c>
      <c r="F960" s="46" t="s">
        <v>1999</v>
      </c>
      <c r="G960" s="46" t="s">
        <v>2000</v>
      </c>
      <c r="H960" s="49">
        <v>3</v>
      </c>
    </row>
    <row r="961" spans="1:8" x14ac:dyDescent="0.3">
      <c r="A961" s="34">
        <v>960</v>
      </c>
      <c r="B961" s="46" t="s">
        <v>2001</v>
      </c>
      <c r="C961" s="58">
        <v>46075.362164351849</v>
      </c>
      <c r="D961" s="55" t="s">
        <v>1982</v>
      </c>
      <c r="E961" s="58">
        <v>46075.383009259262</v>
      </c>
      <c r="F961" s="46" t="s">
        <v>2002</v>
      </c>
      <c r="G961" s="46" t="s">
        <v>213</v>
      </c>
      <c r="H961" s="49">
        <v>3</v>
      </c>
    </row>
    <row r="962" spans="1:8" x14ac:dyDescent="0.3">
      <c r="A962" s="34">
        <v>961</v>
      </c>
      <c r="B962" s="46" t="s">
        <v>429</v>
      </c>
      <c r="C962" s="58">
        <v>46075.402222222219</v>
      </c>
      <c r="D962" s="55" t="s">
        <v>1982</v>
      </c>
      <c r="E962" s="58">
        <v>46075.423090277778</v>
      </c>
      <c r="F962" s="46" t="s">
        <v>2003</v>
      </c>
      <c r="G962" s="46" t="s">
        <v>2004</v>
      </c>
      <c r="H962" s="49">
        <v>3</v>
      </c>
    </row>
    <row r="963" spans="1:8" x14ac:dyDescent="0.3">
      <c r="A963" s="34">
        <v>962</v>
      </c>
      <c r="B963" s="46" t="s">
        <v>2005</v>
      </c>
      <c r="C963" s="58">
        <v>46075.440497685187</v>
      </c>
      <c r="D963" s="55" t="s">
        <v>1982</v>
      </c>
      <c r="E963" s="58">
        <v>46075.461377314823</v>
      </c>
      <c r="F963" s="46" t="s">
        <v>2006</v>
      </c>
      <c r="G963" s="46" t="s">
        <v>2000</v>
      </c>
      <c r="H963" s="49">
        <v>4</v>
      </c>
    </row>
    <row r="964" spans="1:8" x14ac:dyDescent="0.3">
      <c r="A964" s="34">
        <v>963</v>
      </c>
      <c r="B964" s="46" t="s">
        <v>1336</v>
      </c>
      <c r="C964" s="58">
        <v>46075.756851851853</v>
      </c>
      <c r="D964" s="55" t="s">
        <v>1982</v>
      </c>
      <c r="E964" s="58">
        <v>46075.777731481481</v>
      </c>
      <c r="F964" s="46" t="s">
        <v>2007</v>
      </c>
      <c r="G964" s="46" t="s">
        <v>1541</v>
      </c>
      <c r="H964" s="49">
        <v>3</v>
      </c>
    </row>
    <row r="965" spans="1:8" x14ac:dyDescent="0.3">
      <c r="A965" s="34">
        <v>964</v>
      </c>
      <c r="B965" s="46" t="s">
        <v>704</v>
      </c>
      <c r="C965" s="58">
        <v>46075.771666666667</v>
      </c>
      <c r="D965" s="55" t="s">
        <v>1982</v>
      </c>
      <c r="E965" s="58">
        <v>46075.792546296303</v>
      </c>
      <c r="F965" s="46" t="s">
        <v>2008</v>
      </c>
      <c r="G965" s="46" t="s">
        <v>2009</v>
      </c>
      <c r="H965" s="49">
        <v>3</v>
      </c>
    </row>
    <row r="966" spans="1:8" x14ac:dyDescent="0.3">
      <c r="A966" s="34">
        <v>965</v>
      </c>
      <c r="B966" s="46" t="s">
        <v>1649</v>
      </c>
      <c r="C966" s="58">
        <v>46075.392650462964</v>
      </c>
      <c r="D966" s="55" t="s">
        <v>1982</v>
      </c>
      <c r="E966" s="58">
        <v>46075.413483796299</v>
      </c>
      <c r="F966" s="46" t="s">
        <v>2010</v>
      </c>
      <c r="G966" s="46" t="s">
        <v>309</v>
      </c>
      <c r="H966" s="49">
        <v>3</v>
      </c>
    </row>
    <row r="967" spans="1:8" x14ac:dyDescent="0.3">
      <c r="A967" s="34">
        <v>966</v>
      </c>
      <c r="B967" s="46" t="s">
        <v>853</v>
      </c>
      <c r="C967" s="58">
        <v>46075.385057870371</v>
      </c>
      <c r="D967" s="55" t="s">
        <v>1982</v>
      </c>
      <c r="E967" s="58">
        <v>46075.4059375</v>
      </c>
      <c r="F967" s="46" t="s">
        <v>2011</v>
      </c>
      <c r="G967" s="46" t="s">
        <v>296</v>
      </c>
      <c r="H967" s="49">
        <v>5</v>
      </c>
    </row>
    <row r="968" spans="1:8" x14ac:dyDescent="0.3">
      <c r="A968" s="34">
        <v>967</v>
      </c>
      <c r="B968" s="46" t="s">
        <v>1204</v>
      </c>
      <c r="C968" s="58">
        <v>46075.429467592592</v>
      </c>
      <c r="D968" s="55" t="s">
        <v>1982</v>
      </c>
      <c r="E968" s="58">
        <v>46075.45034722222</v>
      </c>
      <c r="F968" s="46" t="s">
        <v>2012</v>
      </c>
      <c r="G968" s="46" t="s">
        <v>553</v>
      </c>
      <c r="H968" s="49">
        <v>3</v>
      </c>
    </row>
    <row r="969" spans="1:8" x14ac:dyDescent="0.3">
      <c r="A969" s="34">
        <v>968</v>
      </c>
      <c r="B969" s="46" t="s">
        <v>462</v>
      </c>
      <c r="C969" s="58">
        <v>46075.389710648153</v>
      </c>
      <c r="D969" s="55" t="s">
        <v>1982</v>
      </c>
      <c r="E969" s="58">
        <v>46075.410590277781</v>
      </c>
      <c r="F969" s="46" t="s">
        <v>2013</v>
      </c>
      <c r="G969" s="46" t="s">
        <v>940</v>
      </c>
      <c r="H969" s="49">
        <v>4</v>
      </c>
    </row>
    <row r="970" spans="1:8" x14ac:dyDescent="0.3">
      <c r="A970" s="34">
        <v>969</v>
      </c>
      <c r="B970" s="46" t="s">
        <v>1807</v>
      </c>
      <c r="C970" s="58">
        <v>46075.423402777778</v>
      </c>
      <c r="D970" s="55" t="s">
        <v>1982</v>
      </c>
      <c r="E970" s="58">
        <v>46075.444282407407</v>
      </c>
      <c r="F970" s="46" t="s">
        <v>2014</v>
      </c>
      <c r="G970" s="46" t="s">
        <v>1710</v>
      </c>
      <c r="H970" s="49">
        <v>3</v>
      </c>
    </row>
    <row r="971" spans="1:8" x14ac:dyDescent="0.3">
      <c r="A971" s="34">
        <v>970</v>
      </c>
      <c r="B971" s="46" t="s">
        <v>1284</v>
      </c>
      <c r="C971" s="58">
        <v>46075.58865740741</v>
      </c>
      <c r="D971" s="55" t="s">
        <v>1982</v>
      </c>
      <c r="E971" s="58">
        <v>46075.609513888892</v>
      </c>
      <c r="F971" s="46" t="s">
        <v>2015</v>
      </c>
      <c r="G971" s="46" t="s">
        <v>2016</v>
      </c>
      <c r="H971" s="49">
        <v>3</v>
      </c>
    </row>
    <row r="972" spans="1:8" x14ac:dyDescent="0.3">
      <c r="A972" s="34">
        <v>971</v>
      </c>
      <c r="B972" s="46" t="s">
        <v>1057</v>
      </c>
      <c r="C972" s="58">
        <v>46075.277094907397</v>
      </c>
      <c r="D972" s="55" t="s">
        <v>1982</v>
      </c>
      <c r="E972" s="58">
        <v>46075.297974537039</v>
      </c>
      <c r="F972" s="46" t="s">
        <v>2017</v>
      </c>
      <c r="G972" s="46" t="s">
        <v>1121</v>
      </c>
      <c r="H972" s="49">
        <v>4</v>
      </c>
    </row>
    <row r="973" spans="1:8" x14ac:dyDescent="0.3">
      <c r="A973" s="34">
        <v>972</v>
      </c>
      <c r="B973" s="46" t="s">
        <v>2018</v>
      </c>
      <c r="C973" s="58">
        <v>46075.337210648147</v>
      </c>
      <c r="D973" s="55" t="s">
        <v>1982</v>
      </c>
      <c r="E973" s="58">
        <v>46075.358067129629</v>
      </c>
      <c r="F973" s="46" t="s">
        <v>2019</v>
      </c>
      <c r="G973" s="46" t="s">
        <v>2020</v>
      </c>
      <c r="H973" s="49">
        <v>4</v>
      </c>
    </row>
    <row r="974" spans="1:8" x14ac:dyDescent="0.3">
      <c r="A974" s="34">
        <v>973</v>
      </c>
      <c r="B974" s="46" t="s">
        <v>272</v>
      </c>
      <c r="C974" s="58">
        <v>46075.365624999999</v>
      </c>
      <c r="D974" s="55" t="s">
        <v>1982</v>
      </c>
      <c r="E974" s="58">
        <v>46075.386493055557</v>
      </c>
      <c r="F974" s="46" t="s">
        <v>2021</v>
      </c>
      <c r="G974" s="46" t="s">
        <v>1710</v>
      </c>
      <c r="H974" s="49">
        <v>4</v>
      </c>
    </row>
    <row r="975" spans="1:8" x14ac:dyDescent="0.3">
      <c r="A975" s="34">
        <v>974</v>
      </c>
      <c r="B975" s="46" t="s">
        <v>1228</v>
      </c>
      <c r="C975" s="58">
        <v>46075.478136574071</v>
      </c>
      <c r="D975" s="55" t="s">
        <v>1982</v>
      </c>
      <c r="E975" s="58">
        <v>46075.49900462963</v>
      </c>
      <c r="F975" s="46" t="s">
        <v>2022</v>
      </c>
      <c r="G975" s="46" t="s">
        <v>304</v>
      </c>
      <c r="H975" s="49">
        <v>3</v>
      </c>
    </row>
    <row r="976" spans="1:8" x14ac:dyDescent="0.3">
      <c r="A976" s="34">
        <v>975</v>
      </c>
      <c r="B976" s="46" t="s">
        <v>2023</v>
      </c>
      <c r="C976" s="58">
        <v>46076.356412037043</v>
      </c>
      <c r="D976" s="55" t="s">
        <v>2024</v>
      </c>
      <c r="E976" s="58">
        <v>46076.377291666657</v>
      </c>
      <c r="F976" s="46" t="s">
        <v>2025</v>
      </c>
      <c r="G976" s="46" t="s">
        <v>1121</v>
      </c>
      <c r="H976" s="49">
        <v>3</v>
      </c>
    </row>
    <row r="977" spans="1:8" x14ac:dyDescent="0.3">
      <c r="A977" s="34">
        <v>976</v>
      </c>
      <c r="B977" s="46" t="s">
        <v>2026</v>
      </c>
      <c r="C977" s="58">
        <v>46076.421944444453</v>
      </c>
      <c r="D977" s="55" t="s">
        <v>2024</v>
      </c>
      <c r="E977" s="58">
        <v>46076.442789351851</v>
      </c>
      <c r="F977" s="46" t="s">
        <v>2027</v>
      </c>
      <c r="G977" s="46" t="s">
        <v>667</v>
      </c>
      <c r="H977" s="49">
        <v>3</v>
      </c>
    </row>
    <row r="978" spans="1:8" x14ac:dyDescent="0.3">
      <c r="A978" s="34">
        <v>977</v>
      </c>
      <c r="B978" s="46" t="s">
        <v>2028</v>
      </c>
      <c r="C978" s="58">
        <v>46076.522777777784</v>
      </c>
      <c r="D978" s="55" t="s">
        <v>2024</v>
      </c>
      <c r="E978" s="58">
        <v>46076.543634259258</v>
      </c>
      <c r="F978" s="46" t="s">
        <v>2029</v>
      </c>
      <c r="G978" s="46" t="s">
        <v>1565</v>
      </c>
      <c r="H978" s="49">
        <v>3</v>
      </c>
    </row>
    <row r="979" spans="1:8" x14ac:dyDescent="0.3">
      <c r="A979" s="34">
        <v>978</v>
      </c>
      <c r="B979" s="46" t="s">
        <v>1253</v>
      </c>
      <c r="C979" s="58">
        <v>46076.314641203702</v>
      </c>
      <c r="D979" s="55" t="s">
        <v>2024</v>
      </c>
      <c r="E979" s="58">
        <v>46076.335509259261</v>
      </c>
      <c r="F979" s="46" t="s">
        <v>2030</v>
      </c>
      <c r="G979" s="46" t="s">
        <v>266</v>
      </c>
      <c r="H979" s="49">
        <v>3</v>
      </c>
    </row>
    <row r="980" spans="1:8" x14ac:dyDescent="0.3">
      <c r="A980" s="34">
        <v>979</v>
      </c>
      <c r="B980" s="46" t="s">
        <v>924</v>
      </c>
      <c r="C980" s="58">
        <v>46076.489849537043</v>
      </c>
      <c r="D980" s="55" t="s">
        <v>2024</v>
      </c>
      <c r="E980" s="58">
        <v>46076.510694444441</v>
      </c>
      <c r="F980" s="46" t="s">
        <v>2031</v>
      </c>
      <c r="G980" s="46" t="s">
        <v>296</v>
      </c>
      <c r="H980" s="49">
        <v>4</v>
      </c>
    </row>
    <row r="981" spans="1:8" x14ac:dyDescent="0.3">
      <c r="A981" s="34">
        <v>980</v>
      </c>
      <c r="B981" s="46" t="s">
        <v>670</v>
      </c>
      <c r="C981" s="58">
        <v>46076.562465277777</v>
      </c>
      <c r="D981" s="55" t="s">
        <v>2024</v>
      </c>
      <c r="E981" s="58">
        <v>46076.583310185182</v>
      </c>
      <c r="F981" s="46" t="s">
        <v>2032</v>
      </c>
      <c r="G981" s="46" t="s">
        <v>2033</v>
      </c>
      <c r="H981" s="49">
        <v>3</v>
      </c>
    </row>
    <row r="982" spans="1:8" x14ac:dyDescent="0.3">
      <c r="A982" s="34">
        <v>981</v>
      </c>
      <c r="B982" s="46" t="s">
        <v>2034</v>
      </c>
      <c r="C982" s="58">
        <v>46076.345972222232</v>
      </c>
      <c r="D982" s="55" t="s">
        <v>2024</v>
      </c>
      <c r="E982" s="58">
        <v>46076.366840277777</v>
      </c>
      <c r="F982" s="46" t="s">
        <v>2035</v>
      </c>
      <c r="G982" s="46" t="s">
        <v>213</v>
      </c>
      <c r="H982" s="49">
        <v>3</v>
      </c>
    </row>
    <row r="983" spans="1:8" x14ac:dyDescent="0.3">
      <c r="A983" s="34">
        <v>982</v>
      </c>
      <c r="B983" s="46" t="s">
        <v>1884</v>
      </c>
      <c r="C983" s="58">
        <v>46076.767557870371</v>
      </c>
      <c r="D983" s="55" t="s">
        <v>2024</v>
      </c>
      <c r="E983" s="58">
        <v>46076.788391203707</v>
      </c>
      <c r="F983" s="46" t="s">
        <v>2036</v>
      </c>
      <c r="G983" s="46" t="s">
        <v>1910</v>
      </c>
      <c r="H983" s="49">
        <v>3</v>
      </c>
    </row>
    <row r="984" spans="1:8" x14ac:dyDescent="0.3">
      <c r="A984" s="34">
        <v>983</v>
      </c>
      <c r="B984" s="46" t="s">
        <v>830</v>
      </c>
      <c r="C984" s="58">
        <v>46076.375092592592</v>
      </c>
      <c r="D984" s="55" t="s">
        <v>2024</v>
      </c>
      <c r="E984" s="58">
        <v>46076.395972222221</v>
      </c>
      <c r="F984" s="46" t="s">
        <v>2037</v>
      </c>
      <c r="G984" s="46" t="s">
        <v>1890</v>
      </c>
      <c r="H984" s="49">
        <v>3</v>
      </c>
    </row>
    <row r="985" spans="1:8" x14ac:dyDescent="0.3">
      <c r="A985" s="34">
        <v>984</v>
      </c>
      <c r="B985" s="46" t="s">
        <v>1336</v>
      </c>
      <c r="C985" s="58">
        <v>46076.326840277783</v>
      </c>
      <c r="D985" s="55" t="s">
        <v>2024</v>
      </c>
      <c r="E985" s="58">
        <v>46076.347696759258</v>
      </c>
      <c r="F985" s="46" t="s">
        <v>2038</v>
      </c>
      <c r="G985" s="46" t="s">
        <v>553</v>
      </c>
      <c r="H985" s="49">
        <v>4</v>
      </c>
    </row>
    <row r="986" spans="1:8" x14ac:dyDescent="0.3">
      <c r="A986" s="34">
        <v>985</v>
      </c>
      <c r="B986" s="46" t="s">
        <v>1644</v>
      </c>
      <c r="C986" s="58">
        <v>46076.449166666673</v>
      </c>
      <c r="D986" s="55" t="s">
        <v>2024</v>
      </c>
      <c r="E986" s="58">
        <v>46076.470011574071</v>
      </c>
      <c r="F986" s="46" t="s">
        <v>2039</v>
      </c>
      <c r="G986" s="46" t="s">
        <v>1541</v>
      </c>
      <c r="H986" s="49">
        <v>3</v>
      </c>
    </row>
    <row r="987" spans="1:8" x14ac:dyDescent="0.3">
      <c r="A987" s="34">
        <v>986</v>
      </c>
      <c r="B987" s="46" t="s">
        <v>2040</v>
      </c>
      <c r="C987" s="58">
        <v>46076.622164351851</v>
      </c>
      <c r="D987" s="55" t="s">
        <v>2024</v>
      </c>
      <c r="E987" s="58">
        <v>46076.642997685187</v>
      </c>
      <c r="F987" s="46" t="s">
        <v>2041</v>
      </c>
      <c r="G987" s="46" t="s">
        <v>2042</v>
      </c>
      <c r="H987" s="49">
        <v>4</v>
      </c>
    </row>
    <row r="988" spans="1:8" x14ac:dyDescent="0.3">
      <c r="A988" s="34">
        <v>987</v>
      </c>
      <c r="B988" s="46" t="s">
        <v>569</v>
      </c>
      <c r="C988" s="58">
        <v>46076.535115740742</v>
      </c>
      <c r="D988" s="55" t="s">
        <v>2024</v>
      </c>
      <c r="E988" s="58">
        <v>46076.555995370371</v>
      </c>
      <c r="F988" s="46" t="s">
        <v>2043</v>
      </c>
      <c r="G988" s="46" t="s">
        <v>213</v>
      </c>
      <c r="H988" s="49">
        <v>3</v>
      </c>
    </row>
    <row r="989" spans="1:8" x14ac:dyDescent="0.3">
      <c r="A989" s="34">
        <v>988</v>
      </c>
      <c r="B989" s="46" t="s">
        <v>1560</v>
      </c>
      <c r="C989" s="58">
        <v>46076.438437500001</v>
      </c>
      <c r="D989" s="55" t="s">
        <v>2024</v>
      </c>
      <c r="E989" s="58">
        <v>46076.459293981483</v>
      </c>
      <c r="F989" s="46" t="s">
        <v>2044</v>
      </c>
      <c r="G989" s="46" t="s">
        <v>2045</v>
      </c>
      <c r="H989" s="49">
        <v>3</v>
      </c>
    </row>
    <row r="990" spans="1:8" x14ac:dyDescent="0.3">
      <c r="A990" s="34">
        <v>989</v>
      </c>
      <c r="B990" s="46" t="s">
        <v>1649</v>
      </c>
      <c r="C990" s="58">
        <v>46076.449328703697</v>
      </c>
      <c r="D990" s="55" t="s">
        <v>2024</v>
      </c>
      <c r="E990" s="58">
        <v>46076.470185185193</v>
      </c>
      <c r="F990" s="46" t="s">
        <v>2046</v>
      </c>
      <c r="G990" s="46" t="s">
        <v>1541</v>
      </c>
      <c r="H990" s="49">
        <v>4</v>
      </c>
    </row>
    <row r="991" spans="1:8" x14ac:dyDescent="0.3">
      <c r="A991" s="34">
        <v>990</v>
      </c>
      <c r="B991" s="46" t="s">
        <v>231</v>
      </c>
      <c r="C991" s="58">
        <v>46076.5000462963</v>
      </c>
      <c r="D991" s="55" t="s">
        <v>2024</v>
      </c>
      <c r="E991" s="58">
        <v>46076.520891203712</v>
      </c>
      <c r="F991" s="46" t="s">
        <v>2047</v>
      </c>
      <c r="G991" s="46" t="s">
        <v>2048</v>
      </c>
      <c r="H991" s="49">
        <v>3</v>
      </c>
    </row>
    <row r="992" spans="1:8" x14ac:dyDescent="0.3">
      <c r="A992" s="34">
        <v>991</v>
      </c>
      <c r="B992" s="46" t="s">
        <v>1038</v>
      </c>
      <c r="C992" s="58">
        <v>46076.288668981477</v>
      </c>
      <c r="D992" s="55" t="s">
        <v>2024</v>
      </c>
      <c r="E992" s="58">
        <v>46076.309537037043</v>
      </c>
      <c r="F992" s="46" t="s">
        <v>2049</v>
      </c>
      <c r="G992" s="46" t="s">
        <v>1151</v>
      </c>
      <c r="H992" s="49">
        <v>6</v>
      </c>
    </row>
    <row r="993" spans="1:8" x14ac:dyDescent="0.3">
      <c r="A993" s="34">
        <v>992</v>
      </c>
      <c r="B993" s="46" t="s">
        <v>1204</v>
      </c>
      <c r="C993" s="58">
        <v>46076.48746527778</v>
      </c>
      <c r="D993" s="55" t="s">
        <v>2024</v>
      </c>
      <c r="E993" s="58">
        <v>46076.508321759262</v>
      </c>
      <c r="F993" s="46" t="s">
        <v>2050</v>
      </c>
      <c r="G993" s="46" t="s">
        <v>2051</v>
      </c>
      <c r="H993" s="49">
        <v>3</v>
      </c>
    </row>
    <row r="994" spans="1:8" x14ac:dyDescent="0.3">
      <c r="A994" s="34">
        <v>993</v>
      </c>
      <c r="B994" s="46" t="s">
        <v>1807</v>
      </c>
      <c r="C994" s="58">
        <v>46076.336157407408</v>
      </c>
      <c r="D994" s="55" t="s">
        <v>2024</v>
      </c>
      <c r="E994" s="58">
        <v>46076.357002314813</v>
      </c>
      <c r="F994" s="46" t="s">
        <v>2052</v>
      </c>
      <c r="G994" s="46" t="s">
        <v>973</v>
      </c>
      <c r="H994" s="49">
        <v>3</v>
      </c>
    </row>
    <row r="995" spans="1:8" x14ac:dyDescent="0.3">
      <c r="A995" s="34">
        <v>994</v>
      </c>
      <c r="B995" s="46" t="s">
        <v>2053</v>
      </c>
      <c r="C995" s="58">
        <v>46076.497199074067</v>
      </c>
      <c r="D995" s="55" t="s">
        <v>2024</v>
      </c>
      <c r="E995" s="58">
        <v>46076.518078703702</v>
      </c>
      <c r="F995" s="46" t="s">
        <v>2054</v>
      </c>
      <c r="G995" s="46" t="s">
        <v>296</v>
      </c>
      <c r="H995" s="49">
        <v>4</v>
      </c>
    </row>
    <row r="996" spans="1:8" x14ac:dyDescent="0.3">
      <c r="A996" s="34">
        <v>995</v>
      </c>
      <c r="B996" s="46" t="s">
        <v>2055</v>
      </c>
      <c r="C996" s="58">
        <v>46076.416724537034</v>
      </c>
      <c r="D996" s="55" t="s">
        <v>2024</v>
      </c>
      <c r="E996" s="58">
        <v>46076.437569444453</v>
      </c>
      <c r="F996" s="46" t="s">
        <v>2056</v>
      </c>
      <c r="G996" s="46" t="s">
        <v>2057</v>
      </c>
      <c r="H996" s="49">
        <v>4</v>
      </c>
    </row>
    <row r="997" spans="1:8" x14ac:dyDescent="0.3">
      <c r="A997" s="34">
        <v>996</v>
      </c>
      <c r="B997" s="46" t="s">
        <v>272</v>
      </c>
      <c r="C997" s="58">
        <v>46076.344675925917</v>
      </c>
      <c r="D997" s="55" t="s">
        <v>2024</v>
      </c>
      <c r="E997" s="58">
        <v>46076.365555555552</v>
      </c>
      <c r="F997" s="46" t="s">
        <v>2058</v>
      </c>
      <c r="G997" s="46" t="s">
        <v>1121</v>
      </c>
      <c r="H997" s="49">
        <v>4</v>
      </c>
    </row>
    <row r="998" spans="1:8" x14ac:dyDescent="0.3">
      <c r="A998" s="34">
        <v>997</v>
      </c>
      <c r="B998" s="46" t="s">
        <v>1230</v>
      </c>
      <c r="C998" s="58">
        <v>46077.46025462963</v>
      </c>
      <c r="D998" s="55" t="s">
        <v>2059</v>
      </c>
      <c r="E998" s="58">
        <v>46077.481099537043</v>
      </c>
      <c r="F998" s="46" t="s">
        <v>2060</v>
      </c>
      <c r="G998" s="46" t="s">
        <v>2061</v>
      </c>
      <c r="H998" s="49">
        <v>3</v>
      </c>
    </row>
    <row r="999" spans="1:8" x14ac:dyDescent="0.3">
      <c r="A999" s="34">
        <v>998</v>
      </c>
      <c r="B999" s="46" t="s">
        <v>2062</v>
      </c>
      <c r="C999" s="58">
        <v>46077.517928240741</v>
      </c>
      <c r="D999" s="55" t="s">
        <v>2059</v>
      </c>
      <c r="E999" s="58">
        <v>46077.538807870369</v>
      </c>
      <c r="F999" s="46" t="s">
        <v>2063</v>
      </c>
      <c r="G999" s="46" t="s">
        <v>2061</v>
      </c>
      <c r="H999" s="49">
        <v>3</v>
      </c>
    </row>
    <row r="1000" spans="1:8" x14ac:dyDescent="0.3">
      <c r="A1000" s="34">
        <v>999</v>
      </c>
      <c r="B1000" s="46" t="s">
        <v>1359</v>
      </c>
      <c r="C1000" s="58">
        <v>46077.419305555559</v>
      </c>
      <c r="D1000" s="55" t="s">
        <v>2059</v>
      </c>
      <c r="E1000" s="58">
        <v>46077.440150462957</v>
      </c>
      <c r="F1000" s="46" t="s">
        <v>2064</v>
      </c>
      <c r="G1000" s="46" t="s">
        <v>2061</v>
      </c>
      <c r="H1000" s="49">
        <v>3</v>
      </c>
    </row>
    <row r="1001" spans="1:8" x14ac:dyDescent="0.3">
      <c r="A1001" s="34">
        <v>1000</v>
      </c>
      <c r="B1001" s="46" t="s">
        <v>47</v>
      </c>
      <c r="C1001" s="58">
        <v>46077.420104166667</v>
      </c>
      <c r="D1001" s="55" t="s">
        <v>2059</v>
      </c>
      <c r="E1001" s="58">
        <v>46077.440960648149</v>
      </c>
      <c r="F1001" s="46" t="s">
        <v>2065</v>
      </c>
      <c r="G1001" s="46" t="s">
        <v>2061</v>
      </c>
      <c r="H1001" s="49">
        <v>3</v>
      </c>
    </row>
    <row r="1002" spans="1:8" x14ac:dyDescent="0.3">
      <c r="A1002" s="34">
        <v>1001</v>
      </c>
      <c r="B1002" s="46" t="s">
        <v>94</v>
      </c>
      <c r="C1002" s="58">
        <v>46077.30914351852</v>
      </c>
      <c r="D1002" s="55" t="s">
        <v>2059</v>
      </c>
      <c r="E1002" s="58">
        <v>46077.330023148148</v>
      </c>
      <c r="F1002" s="46" t="s">
        <v>2066</v>
      </c>
      <c r="G1002" s="46" t="s">
        <v>2067</v>
      </c>
      <c r="H1002" s="49">
        <v>4</v>
      </c>
    </row>
    <row r="1003" spans="1:8" x14ac:dyDescent="0.3">
      <c r="A1003" s="34">
        <v>1002</v>
      </c>
      <c r="B1003" s="46" t="s">
        <v>1589</v>
      </c>
      <c r="C1003" s="58">
        <v>46077.362199074072</v>
      </c>
      <c r="D1003" s="55" t="s">
        <v>2059</v>
      </c>
      <c r="E1003" s="58">
        <v>46077.383032407408</v>
      </c>
      <c r="F1003" s="46" t="s">
        <v>2068</v>
      </c>
      <c r="G1003" s="46" t="s">
        <v>2069</v>
      </c>
      <c r="H1003" s="49">
        <v>4</v>
      </c>
    </row>
    <row r="1004" spans="1:8" x14ac:dyDescent="0.3">
      <c r="A1004" s="34">
        <v>1003</v>
      </c>
      <c r="B1004" s="46" t="s">
        <v>1595</v>
      </c>
      <c r="C1004" s="58">
        <v>46077.383784722217</v>
      </c>
      <c r="D1004" s="55" t="s">
        <v>2059</v>
      </c>
      <c r="E1004" s="58">
        <v>46077.404618055552</v>
      </c>
      <c r="F1004" s="46" t="s">
        <v>2070</v>
      </c>
      <c r="G1004" s="46" t="s">
        <v>2061</v>
      </c>
      <c r="H1004" s="49">
        <v>3</v>
      </c>
    </row>
    <row r="1005" spans="1:8" x14ac:dyDescent="0.3">
      <c r="A1005" s="34">
        <v>1004</v>
      </c>
      <c r="B1005" s="46" t="s">
        <v>64</v>
      </c>
      <c r="C1005" s="58">
        <v>46077.446006944447</v>
      </c>
      <c r="D1005" s="55" t="s">
        <v>2059</v>
      </c>
      <c r="E1005" s="58">
        <v>46077.466840277782</v>
      </c>
      <c r="F1005" s="46" t="s">
        <v>2071</v>
      </c>
      <c r="G1005" s="46" t="s">
        <v>2061</v>
      </c>
      <c r="H1005" s="49">
        <v>3</v>
      </c>
    </row>
    <row r="1006" spans="1:8" x14ac:dyDescent="0.3">
      <c r="A1006" s="34">
        <v>1005</v>
      </c>
      <c r="B1006" s="46" t="s">
        <v>1308</v>
      </c>
      <c r="C1006" s="58">
        <v>46077.414201388892</v>
      </c>
      <c r="D1006" s="55" t="s">
        <v>2059</v>
      </c>
      <c r="E1006" s="58">
        <v>46077.435034722221</v>
      </c>
      <c r="F1006" s="46" t="s">
        <v>2072</v>
      </c>
      <c r="G1006" s="46" t="s">
        <v>2073</v>
      </c>
      <c r="H1006" s="49">
        <v>3</v>
      </c>
    </row>
    <row r="1007" spans="1:8" x14ac:dyDescent="0.3">
      <c r="A1007" s="34">
        <v>1006</v>
      </c>
      <c r="B1007" s="46" t="s">
        <v>2074</v>
      </c>
      <c r="C1007" s="58">
        <v>46077.368807870371</v>
      </c>
      <c r="D1007" s="55" t="s">
        <v>2059</v>
      </c>
      <c r="E1007" s="58">
        <v>46077.389641203707</v>
      </c>
      <c r="F1007" s="46" t="s">
        <v>2075</v>
      </c>
      <c r="G1007" s="46" t="s">
        <v>2076</v>
      </c>
      <c r="H1007" s="49">
        <v>3</v>
      </c>
    </row>
    <row r="1008" spans="1:8" x14ac:dyDescent="0.3">
      <c r="A1008" s="34">
        <v>1007</v>
      </c>
      <c r="B1008" s="46" t="s">
        <v>2077</v>
      </c>
      <c r="C1008" s="58">
        <v>46077.381006944437</v>
      </c>
      <c r="D1008" s="55" t="s">
        <v>2059</v>
      </c>
      <c r="E1008" s="58">
        <v>46077.401863425926</v>
      </c>
      <c r="F1008" s="46" t="s">
        <v>2078</v>
      </c>
      <c r="G1008" s="46" t="s">
        <v>2079</v>
      </c>
      <c r="H1008" s="49">
        <v>3</v>
      </c>
    </row>
    <row r="1009" spans="1:8" x14ac:dyDescent="0.3">
      <c r="A1009" s="34">
        <v>1008</v>
      </c>
      <c r="B1009" s="46" t="s">
        <v>1372</v>
      </c>
      <c r="C1009" s="58">
        <v>46077.400949074072</v>
      </c>
      <c r="D1009" s="55" t="s">
        <v>2059</v>
      </c>
      <c r="E1009" s="58">
        <v>46077.421793981477</v>
      </c>
      <c r="F1009" s="46" t="s">
        <v>2080</v>
      </c>
      <c r="G1009" s="46" t="s">
        <v>2061</v>
      </c>
      <c r="H1009" s="49">
        <v>3</v>
      </c>
    </row>
    <row r="1010" spans="1:8" x14ac:dyDescent="0.3">
      <c r="A1010" s="34">
        <v>1009</v>
      </c>
      <c r="B1010" s="46" t="s">
        <v>152</v>
      </c>
      <c r="C1010" s="58">
        <v>46077.449675925927</v>
      </c>
      <c r="D1010" s="55" t="s">
        <v>2059</v>
      </c>
      <c r="E1010" s="58">
        <v>46077.470555555563</v>
      </c>
      <c r="F1010" s="46" t="s">
        <v>2081</v>
      </c>
      <c r="G1010" s="46" t="s">
        <v>98</v>
      </c>
      <c r="H1010" s="49">
        <v>4</v>
      </c>
    </row>
    <row r="1011" spans="1:8" x14ac:dyDescent="0.3">
      <c r="A1011" s="34">
        <v>1010</v>
      </c>
      <c r="B1011" s="46" t="s">
        <v>158</v>
      </c>
      <c r="C1011" s="58">
        <v>46077.383888888893</v>
      </c>
      <c r="D1011" s="55" t="s">
        <v>2059</v>
      </c>
      <c r="E1011" s="58">
        <v>46077.404733796298</v>
      </c>
      <c r="F1011" s="46" t="s">
        <v>2082</v>
      </c>
      <c r="G1011" s="46" t="s">
        <v>2073</v>
      </c>
      <c r="H1011" s="49">
        <v>4</v>
      </c>
    </row>
    <row r="1012" spans="1:8" x14ac:dyDescent="0.3">
      <c r="A1012" s="34">
        <v>1011</v>
      </c>
      <c r="B1012" s="46" t="s">
        <v>161</v>
      </c>
      <c r="C1012" s="58">
        <v>46077.472280092603</v>
      </c>
      <c r="D1012" s="55" t="s">
        <v>2059</v>
      </c>
      <c r="E1012" s="58">
        <v>46077.493136574078</v>
      </c>
      <c r="F1012" s="46" t="s">
        <v>2083</v>
      </c>
      <c r="G1012" s="46" t="s">
        <v>442</v>
      </c>
      <c r="H1012" s="49">
        <v>4</v>
      </c>
    </row>
    <row r="1013" spans="1:8" x14ac:dyDescent="0.3">
      <c r="A1013" s="34">
        <v>1012</v>
      </c>
      <c r="B1013" s="46" t="s">
        <v>1708</v>
      </c>
      <c r="C1013" s="58">
        <v>46077.343217592592</v>
      </c>
      <c r="D1013" s="55" t="s">
        <v>2059</v>
      </c>
      <c r="E1013" s="58">
        <v>46077.364062499997</v>
      </c>
      <c r="F1013" s="46" t="s">
        <v>2084</v>
      </c>
      <c r="G1013" s="46" t="s">
        <v>2061</v>
      </c>
      <c r="H1013" s="49">
        <v>3</v>
      </c>
    </row>
    <row r="1014" spans="1:8" x14ac:dyDescent="0.3">
      <c r="A1014" s="34">
        <v>1013</v>
      </c>
      <c r="B1014" s="46" t="s">
        <v>62</v>
      </c>
      <c r="C1014" s="58">
        <v>46077.396203703713</v>
      </c>
      <c r="D1014" s="55" t="s">
        <v>2059</v>
      </c>
      <c r="E1014" s="58">
        <v>46077.437858796293</v>
      </c>
      <c r="F1014" s="46" t="s">
        <v>2085</v>
      </c>
      <c r="G1014" s="46" t="s">
        <v>2086</v>
      </c>
      <c r="H1014" s="49">
        <v>4</v>
      </c>
    </row>
    <row r="1015" spans="1:8" x14ac:dyDescent="0.3">
      <c r="A1015" s="34">
        <v>1014</v>
      </c>
      <c r="B1015" s="46" t="s">
        <v>186</v>
      </c>
      <c r="C1015" s="58">
        <v>46077.678738425922</v>
      </c>
      <c r="D1015" s="55" t="s">
        <v>2059</v>
      </c>
      <c r="E1015" s="58">
        <v>46077.699583333328</v>
      </c>
      <c r="F1015" s="46" t="s">
        <v>2087</v>
      </c>
      <c r="G1015" s="46" t="s">
        <v>207</v>
      </c>
      <c r="H1015" s="49">
        <v>3</v>
      </c>
    </row>
    <row r="1016" spans="1:8" x14ac:dyDescent="0.3">
      <c r="A1016" s="34">
        <v>1015</v>
      </c>
      <c r="B1016" s="46" t="s">
        <v>1389</v>
      </c>
      <c r="C1016" s="58">
        <v>46077.385706018518</v>
      </c>
      <c r="D1016" s="55" t="s">
        <v>2059</v>
      </c>
      <c r="E1016" s="58">
        <v>46077.406585648147</v>
      </c>
      <c r="F1016" s="46" t="s">
        <v>2088</v>
      </c>
      <c r="G1016" s="46" t="s">
        <v>2061</v>
      </c>
      <c r="H1016" s="49">
        <v>3</v>
      </c>
    </row>
    <row r="1017" spans="1:8" x14ac:dyDescent="0.3">
      <c r="A1017" s="34">
        <v>1016</v>
      </c>
      <c r="B1017" s="46" t="s">
        <v>211</v>
      </c>
      <c r="C1017" s="58">
        <v>46077.344444444447</v>
      </c>
      <c r="D1017" s="55" t="s">
        <v>2059</v>
      </c>
      <c r="E1017" s="58">
        <v>46077.365277777782</v>
      </c>
      <c r="F1017" s="46" t="s">
        <v>2089</v>
      </c>
      <c r="G1017" s="46" t="s">
        <v>2090</v>
      </c>
      <c r="H1017" s="49">
        <v>3</v>
      </c>
    </row>
    <row r="1018" spans="1:8" x14ac:dyDescent="0.3">
      <c r="A1018" s="34">
        <v>1017</v>
      </c>
      <c r="B1018" s="46" t="s">
        <v>2091</v>
      </c>
      <c r="C1018" s="58">
        <v>46077.553842592592</v>
      </c>
      <c r="D1018" s="55" t="s">
        <v>2059</v>
      </c>
      <c r="E1018" s="58">
        <v>46077.574699074074</v>
      </c>
      <c r="F1018" s="46" t="s">
        <v>2092</v>
      </c>
      <c r="G1018" s="46" t="s">
        <v>2061</v>
      </c>
      <c r="H1018" s="49">
        <v>5</v>
      </c>
    </row>
    <row r="1019" spans="1:8" x14ac:dyDescent="0.3">
      <c r="A1019" s="34">
        <v>1018</v>
      </c>
      <c r="B1019" s="46" t="s">
        <v>1273</v>
      </c>
      <c r="C1019" s="58">
        <v>46077.524328703701</v>
      </c>
      <c r="D1019" s="55" t="s">
        <v>2059</v>
      </c>
      <c r="E1019" s="58">
        <v>46077.54519675926</v>
      </c>
      <c r="F1019" s="46" t="s">
        <v>2093</v>
      </c>
      <c r="G1019" s="46" t="s">
        <v>2061</v>
      </c>
      <c r="H1019" s="49">
        <v>3</v>
      </c>
    </row>
    <row r="1020" spans="1:8" x14ac:dyDescent="0.3">
      <c r="A1020" s="34">
        <v>1019</v>
      </c>
      <c r="B1020" s="46" t="s">
        <v>1962</v>
      </c>
      <c r="C1020" s="58">
        <v>46077.419629629629</v>
      </c>
      <c r="D1020" s="55" t="s">
        <v>2059</v>
      </c>
      <c r="E1020" s="58">
        <v>46077.440486111111</v>
      </c>
      <c r="F1020" s="46" t="s">
        <v>2094</v>
      </c>
      <c r="G1020" s="46" t="s">
        <v>2095</v>
      </c>
      <c r="H1020" s="49">
        <v>4</v>
      </c>
    </row>
    <row r="1021" spans="1:8" x14ac:dyDescent="0.3">
      <c r="A1021" s="34">
        <v>1020</v>
      </c>
      <c r="B1021" s="46" t="s">
        <v>2096</v>
      </c>
      <c r="C1021" s="58">
        <v>46077.363194444442</v>
      </c>
      <c r="D1021" s="55" t="s">
        <v>2059</v>
      </c>
      <c r="E1021" s="58">
        <v>46077.384074074071</v>
      </c>
      <c r="F1021" s="46" t="s">
        <v>2097</v>
      </c>
      <c r="G1021" s="46" t="s">
        <v>2098</v>
      </c>
      <c r="H1021" s="49">
        <v>4</v>
      </c>
    </row>
    <row r="1022" spans="1:8" x14ac:dyDescent="0.3">
      <c r="A1022" s="34">
        <v>1021</v>
      </c>
      <c r="B1022" s="46" t="s">
        <v>1560</v>
      </c>
      <c r="C1022" s="58">
        <v>46077.538263888891</v>
      </c>
      <c r="D1022" s="55" t="s">
        <v>2059</v>
      </c>
      <c r="E1022" s="58">
        <v>46077.55914351852</v>
      </c>
      <c r="F1022" s="46" t="s">
        <v>2099</v>
      </c>
      <c r="G1022" s="46" t="s">
        <v>2100</v>
      </c>
      <c r="H1022" s="49">
        <v>3</v>
      </c>
    </row>
    <row r="1023" spans="1:8" x14ac:dyDescent="0.3">
      <c r="A1023" s="34">
        <v>1022</v>
      </c>
      <c r="B1023" s="46" t="s">
        <v>1038</v>
      </c>
      <c r="C1023" s="58">
        <v>46077.271504629629</v>
      </c>
      <c r="D1023" s="55" t="s">
        <v>2059</v>
      </c>
      <c r="E1023" s="58">
        <v>46077.292337962957</v>
      </c>
      <c r="F1023" s="46" t="s">
        <v>2101</v>
      </c>
      <c r="G1023" s="46" t="s">
        <v>2098</v>
      </c>
      <c r="H1023" s="49">
        <v>3</v>
      </c>
    </row>
    <row r="1024" spans="1:8" x14ac:dyDescent="0.3">
      <c r="A1024" s="34">
        <v>1023</v>
      </c>
      <c r="B1024" s="46" t="s">
        <v>1204</v>
      </c>
      <c r="C1024" s="58">
        <v>46077.30259259259</v>
      </c>
      <c r="D1024" s="55" t="s">
        <v>2059</v>
      </c>
      <c r="E1024" s="58">
        <v>46077.323425925933</v>
      </c>
      <c r="F1024" s="46" t="s">
        <v>2102</v>
      </c>
      <c r="G1024" s="46" t="s">
        <v>2103</v>
      </c>
      <c r="H1024" s="49">
        <v>5</v>
      </c>
    </row>
    <row r="1025" spans="1:8" x14ac:dyDescent="0.3">
      <c r="A1025" s="34">
        <v>1024</v>
      </c>
      <c r="B1025" s="46" t="s">
        <v>608</v>
      </c>
      <c r="C1025" s="58">
        <v>46077.510625000003</v>
      </c>
      <c r="D1025" s="55" t="s">
        <v>2059</v>
      </c>
      <c r="E1025" s="58">
        <v>46077.5315162037</v>
      </c>
      <c r="F1025" s="46" t="s">
        <v>2104</v>
      </c>
      <c r="G1025" s="46" t="s">
        <v>2061</v>
      </c>
      <c r="H1025" s="49">
        <v>7</v>
      </c>
    </row>
    <row r="1026" spans="1:8" x14ac:dyDescent="0.3">
      <c r="A1026" s="34">
        <v>1025</v>
      </c>
      <c r="B1026" s="46" t="s">
        <v>2105</v>
      </c>
      <c r="C1026" s="58">
        <v>46077.655115740738</v>
      </c>
      <c r="D1026" s="55" t="s">
        <v>2059</v>
      </c>
      <c r="E1026" s="58">
        <v>46077.676006944443</v>
      </c>
      <c r="F1026" s="46" t="s">
        <v>2106</v>
      </c>
      <c r="G1026" s="46" t="s">
        <v>183</v>
      </c>
      <c r="H1026" s="49">
        <v>3</v>
      </c>
    </row>
    <row r="1027" spans="1:8" x14ac:dyDescent="0.3">
      <c r="A1027" s="34">
        <v>1026</v>
      </c>
      <c r="B1027" s="46" t="s">
        <v>871</v>
      </c>
      <c r="C1027" s="58">
        <v>46077.488136574073</v>
      </c>
      <c r="D1027" s="55" t="s">
        <v>2059</v>
      </c>
      <c r="E1027" s="58">
        <v>46077.508981481478</v>
      </c>
      <c r="F1027" s="46" t="s">
        <v>2107</v>
      </c>
      <c r="G1027" s="46" t="s">
        <v>183</v>
      </c>
      <c r="H1027" s="49">
        <v>3</v>
      </c>
    </row>
    <row r="1028" spans="1:8" x14ac:dyDescent="0.3">
      <c r="A1028" s="34">
        <v>1027</v>
      </c>
      <c r="B1028" s="46" t="s">
        <v>31</v>
      </c>
      <c r="C1028" s="58">
        <v>46077.407500000001</v>
      </c>
      <c r="D1028" s="55" t="s">
        <v>2059</v>
      </c>
      <c r="E1028" s="58">
        <v>46077.428344907406</v>
      </c>
      <c r="F1028" s="46" t="s">
        <v>2108</v>
      </c>
      <c r="G1028" s="46" t="s">
        <v>887</v>
      </c>
      <c r="H1028" s="49">
        <v>3</v>
      </c>
    </row>
    <row r="1029" spans="1:8" x14ac:dyDescent="0.3">
      <c r="A1029" s="34">
        <v>1028</v>
      </c>
      <c r="B1029" s="46" t="s">
        <v>41</v>
      </c>
      <c r="C1029" s="58">
        <v>46077.411874999998</v>
      </c>
      <c r="D1029" s="55" t="s">
        <v>2059</v>
      </c>
      <c r="E1029" s="58">
        <v>46077.432754629634</v>
      </c>
      <c r="F1029" s="46" t="s">
        <v>2109</v>
      </c>
      <c r="G1029" s="46" t="s">
        <v>2061</v>
      </c>
      <c r="H1029" s="49">
        <v>5</v>
      </c>
    </row>
    <row r="1030" spans="1:8" x14ac:dyDescent="0.3">
      <c r="A1030" s="34">
        <v>1029</v>
      </c>
      <c r="B1030" s="46" t="s">
        <v>1827</v>
      </c>
      <c r="C1030" s="58">
        <v>46077.496030092603</v>
      </c>
      <c r="D1030" s="55" t="s">
        <v>2059</v>
      </c>
      <c r="E1030" s="58">
        <v>46077.516898148147</v>
      </c>
      <c r="F1030" s="46" t="s">
        <v>2110</v>
      </c>
      <c r="G1030" s="46" t="s">
        <v>2103</v>
      </c>
      <c r="H1030" s="49">
        <v>3</v>
      </c>
    </row>
    <row r="1031" spans="1:8" x14ac:dyDescent="0.3">
      <c r="A1031" s="34">
        <v>1030</v>
      </c>
      <c r="B1031" s="46" t="s">
        <v>1066</v>
      </c>
      <c r="C1031" s="58">
        <v>46077.34002314815</v>
      </c>
      <c r="D1031" s="55" t="s">
        <v>2059</v>
      </c>
      <c r="E1031" s="58">
        <v>46077.360879629632</v>
      </c>
      <c r="F1031" s="46" t="s">
        <v>2111</v>
      </c>
      <c r="G1031" s="46" t="s">
        <v>2112</v>
      </c>
      <c r="H1031" s="49">
        <v>3</v>
      </c>
    </row>
    <row r="1032" spans="1:8" x14ac:dyDescent="0.3">
      <c r="A1032" s="34">
        <v>1031</v>
      </c>
      <c r="B1032" s="46" t="s">
        <v>739</v>
      </c>
      <c r="C1032" s="58">
        <v>46077.561111111107</v>
      </c>
      <c r="D1032" s="55" t="s">
        <v>2059</v>
      </c>
      <c r="E1032" s="58">
        <v>46077.590451388889</v>
      </c>
      <c r="F1032" s="46" t="s">
        <v>2113</v>
      </c>
      <c r="G1032" s="46" t="s">
        <v>2114</v>
      </c>
      <c r="H1032" s="49">
        <v>3</v>
      </c>
    </row>
    <row r="1033" spans="1:8" x14ac:dyDescent="0.3">
      <c r="A1033" s="34">
        <v>1032</v>
      </c>
      <c r="B1033" s="46" t="s">
        <v>1139</v>
      </c>
      <c r="C1033" s="58">
        <v>46077.650381944448</v>
      </c>
      <c r="D1033" s="55" t="s">
        <v>2059</v>
      </c>
      <c r="E1033" s="58">
        <v>46077.671215277784</v>
      </c>
      <c r="F1033" s="46" t="s">
        <v>2115</v>
      </c>
      <c r="G1033" s="46" t="s">
        <v>2116</v>
      </c>
      <c r="H1033" s="49">
        <v>3</v>
      </c>
    </row>
    <row r="1034" spans="1:8" x14ac:dyDescent="0.3">
      <c r="A1034" s="34">
        <v>1033</v>
      </c>
      <c r="B1034" s="46" t="s">
        <v>2117</v>
      </c>
      <c r="C1034" s="58">
        <v>46077.371053240742</v>
      </c>
      <c r="D1034" s="55" t="s">
        <v>2059</v>
      </c>
      <c r="E1034" s="58">
        <v>46077.391886574071</v>
      </c>
      <c r="F1034" s="46" t="s">
        <v>2118</v>
      </c>
      <c r="G1034" s="46" t="s">
        <v>2079</v>
      </c>
      <c r="H1034" s="49">
        <v>3</v>
      </c>
    </row>
    <row r="1035" spans="1:8" x14ac:dyDescent="0.3">
      <c r="A1035" s="34">
        <v>1034</v>
      </c>
      <c r="B1035" s="46" t="s">
        <v>2119</v>
      </c>
      <c r="C1035" s="58">
        <v>46078.281481481477</v>
      </c>
      <c r="D1035" s="55" t="s">
        <v>2120</v>
      </c>
      <c r="E1035" s="58">
        <v>46078.302349537043</v>
      </c>
      <c r="F1035" s="46" t="s">
        <v>2121</v>
      </c>
      <c r="G1035" s="46" t="s">
        <v>2061</v>
      </c>
      <c r="H1035" s="49">
        <v>4</v>
      </c>
    </row>
    <row r="1036" spans="1:8" x14ac:dyDescent="0.3">
      <c r="A1036" s="34">
        <v>1035</v>
      </c>
      <c r="B1036" s="46" t="s">
        <v>1510</v>
      </c>
      <c r="C1036" s="58">
        <v>46078.69023148148</v>
      </c>
      <c r="D1036" s="55" t="s">
        <v>2120</v>
      </c>
      <c r="E1036" s="58">
        <v>46078.711099537039</v>
      </c>
      <c r="F1036" s="46" t="s">
        <v>2122</v>
      </c>
      <c r="G1036" s="46" t="s">
        <v>2061</v>
      </c>
      <c r="H1036" s="49">
        <v>3</v>
      </c>
    </row>
    <row r="1037" spans="1:8" x14ac:dyDescent="0.3">
      <c r="A1037" s="34">
        <v>1036</v>
      </c>
      <c r="B1037" s="46" t="s">
        <v>997</v>
      </c>
      <c r="C1037" s="58">
        <v>46078.815185185187</v>
      </c>
      <c r="D1037" s="55" t="s">
        <v>2120</v>
      </c>
      <c r="E1037" s="58">
        <v>46078.836041666669</v>
      </c>
      <c r="F1037" s="46" t="s">
        <v>2123</v>
      </c>
      <c r="G1037" s="46" t="s">
        <v>2073</v>
      </c>
      <c r="H1037" s="49">
        <v>3</v>
      </c>
    </row>
    <row r="1038" spans="1:8" x14ac:dyDescent="0.3">
      <c r="A1038" s="34">
        <v>1037</v>
      </c>
      <c r="B1038" s="46" t="s">
        <v>1595</v>
      </c>
      <c r="C1038" s="58">
        <v>46078.514988425923</v>
      </c>
      <c r="D1038" s="55" t="s">
        <v>2120</v>
      </c>
      <c r="E1038" s="58">
        <v>46078.535844907397</v>
      </c>
      <c r="F1038" s="46" t="s">
        <v>2124</v>
      </c>
      <c r="G1038" s="46" t="s">
        <v>2061</v>
      </c>
      <c r="H1038" s="49">
        <v>3</v>
      </c>
    </row>
    <row r="1039" spans="1:8" x14ac:dyDescent="0.3">
      <c r="A1039" s="34">
        <v>1038</v>
      </c>
      <c r="B1039" s="46" t="s">
        <v>1677</v>
      </c>
      <c r="C1039" s="58">
        <v>46078.511932870373</v>
      </c>
      <c r="D1039" s="55" t="s">
        <v>2120</v>
      </c>
      <c r="E1039" s="58">
        <v>46078.532812500001</v>
      </c>
      <c r="F1039" s="46" t="s">
        <v>2125</v>
      </c>
      <c r="G1039" s="46" t="s">
        <v>2061</v>
      </c>
      <c r="H1039" s="49">
        <v>3</v>
      </c>
    </row>
    <row r="1040" spans="1:8" x14ac:dyDescent="0.3">
      <c r="A1040" s="34">
        <v>1039</v>
      </c>
      <c r="B1040" s="46" t="s">
        <v>1683</v>
      </c>
      <c r="C1040" s="58">
        <v>46078.493020833332</v>
      </c>
      <c r="D1040" s="55" t="s">
        <v>2120</v>
      </c>
      <c r="E1040" s="58">
        <v>46078.51390046296</v>
      </c>
      <c r="F1040" s="46" t="s">
        <v>2126</v>
      </c>
      <c r="G1040" s="46" t="s">
        <v>2127</v>
      </c>
      <c r="H1040" s="49">
        <v>5</v>
      </c>
    </row>
    <row r="1041" spans="1:8" x14ac:dyDescent="0.3">
      <c r="A1041" s="34">
        <v>1040</v>
      </c>
      <c r="B1041" s="46" t="s">
        <v>780</v>
      </c>
      <c r="C1041" s="58">
        <v>46078.434652777767</v>
      </c>
      <c r="D1041" s="55" t="s">
        <v>2120</v>
      </c>
      <c r="E1041" s="58">
        <v>46078.455520833333</v>
      </c>
      <c r="F1041" s="46" t="s">
        <v>2128</v>
      </c>
      <c r="G1041" s="46" t="s">
        <v>2129</v>
      </c>
      <c r="H1041" s="49">
        <v>3</v>
      </c>
    </row>
    <row r="1042" spans="1:8" x14ac:dyDescent="0.3">
      <c r="A1042" s="34">
        <v>1041</v>
      </c>
      <c r="B1042" s="46" t="s">
        <v>512</v>
      </c>
      <c r="C1042" s="58">
        <v>46078.436481481483</v>
      </c>
      <c r="D1042" s="55" t="s">
        <v>2120</v>
      </c>
      <c r="E1042" s="58">
        <v>46078.457337962973</v>
      </c>
      <c r="F1042" s="46" t="s">
        <v>2130</v>
      </c>
      <c r="G1042" s="46" t="s">
        <v>2061</v>
      </c>
      <c r="H1042" s="49">
        <v>3</v>
      </c>
    </row>
    <row r="1043" spans="1:8" x14ac:dyDescent="0.3">
      <c r="A1043" s="34">
        <v>1042</v>
      </c>
      <c r="B1043" s="46" t="s">
        <v>1692</v>
      </c>
      <c r="C1043" s="58">
        <v>46078.537476851852</v>
      </c>
      <c r="D1043" s="55" t="s">
        <v>2120</v>
      </c>
      <c r="E1043" s="58">
        <v>46078.558333333327</v>
      </c>
      <c r="F1043" s="46" t="s">
        <v>2131</v>
      </c>
      <c r="G1043" s="46" t="s">
        <v>2061</v>
      </c>
      <c r="H1043" s="49">
        <v>5</v>
      </c>
    </row>
    <row r="1044" spans="1:8" x14ac:dyDescent="0.3">
      <c r="A1044" s="34">
        <v>1043</v>
      </c>
      <c r="B1044" s="46" t="s">
        <v>1372</v>
      </c>
      <c r="C1044" s="58">
        <v>46078.518969907411</v>
      </c>
      <c r="D1044" s="55" t="s">
        <v>2120</v>
      </c>
      <c r="E1044" s="58">
        <v>46078.539826388893</v>
      </c>
      <c r="F1044" s="46" t="s">
        <v>2132</v>
      </c>
      <c r="G1044" s="46" t="s">
        <v>2061</v>
      </c>
      <c r="H1044" s="49">
        <v>3</v>
      </c>
    </row>
    <row r="1045" spans="1:8" x14ac:dyDescent="0.3">
      <c r="A1045" s="34">
        <v>1044</v>
      </c>
      <c r="B1045" s="46" t="s">
        <v>1940</v>
      </c>
      <c r="C1045" s="58">
        <v>46078.654722222222</v>
      </c>
      <c r="D1045" s="55" t="s">
        <v>2120</v>
      </c>
      <c r="E1045" s="58">
        <v>46078.67559027778</v>
      </c>
      <c r="F1045" s="46" t="s">
        <v>2133</v>
      </c>
      <c r="G1045" s="46" t="s">
        <v>2134</v>
      </c>
      <c r="H1045" s="49">
        <v>4</v>
      </c>
    </row>
    <row r="1046" spans="1:8" x14ac:dyDescent="0.3">
      <c r="A1046" s="34">
        <v>1045</v>
      </c>
      <c r="B1046" s="46" t="s">
        <v>1167</v>
      </c>
      <c r="C1046" s="58">
        <v>46078.377766203703</v>
      </c>
      <c r="D1046" s="55" t="s">
        <v>2120</v>
      </c>
      <c r="E1046" s="58">
        <v>46078.398611111108</v>
      </c>
      <c r="F1046" s="46" t="s">
        <v>2135</v>
      </c>
      <c r="G1046" s="46" t="s">
        <v>2136</v>
      </c>
      <c r="H1046" s="49">
        <v>3</v>
      </c>
    </row>
    <row r="1047" spans="1:8" x14ac:dyDescent="0.3">
      <c r="A1047" s="34">
        <v>1046</v>
      </c>
      <c r="B1047" s="46" t="s">
        <v>1319</v>
      </c>
      <c r="C1047" s="58">
        <v>46078.413993055547</v>
      </c>
      <c r="D1047" s="55" t="s">
        <v>2120</v>
      </c>
      <c r="E1047" s="58">
        <v>46078.434849537043</v>
      </c>
      <c r="F1047" s="46" t="s">
        <v>2137</v>
      </c>
      <c r="G1047" s="46" t="s">
        <v>2098</v>
      </c>
      <c r="H1047" s="49">
        <v>3</v>
      </c>
    </row>
    <row r="1048" spans="1:8" x14ac:dyDescent="0.3">
      <c r="A1048" s="34">
        <v>1047</v>
      </c>
      <c r="B1048" s="46" t="s">
        <v>313</v>
      </c>
      <c r="C1048" s="58">
        <v>46078.474548611113</v>
      </c>
      <c r="D1048" s="55" t="s">
        <v>2120</v>
      </c>
      <c r="E1048" s="58">
        <v>46078.495405092603</v>
      </c>
      <c r="F1048" s="46" t="s">
        <v>2138</v>
      </c>
      <c r="G1048" s="46" t="s">
        <v>2139</v>
      </c>
      <c r="H1048" s="49">
        <v>5</v>
      </c>
    </row>
    <row r="1049" spans="1:8" x14ac:dyDescent="0.3">
      <c r="A1049" s="34">
        <v>1048</v>
      </c>
      <c r="B1049" s="46" t="s">
        <v>155</v>
      </c>
      <c r="C1049" s="58">
        <v>46078.454930555563</v>
      </c>
      <c r="D1049" s="55" t="s">
        <v>2120</v>
      </c>
      <c r="E1049" s="58">
        <v>46078.475787037038</v>
      </c>
      <c r="F1049" s="46" t="s">
        <v>2140</v>
      </c>
      <c r="G1049" s="46" t="s">
        <v>442</v>
      </c>
      <c r="H1049" s="49">
        <v>5</v>
      </c>
    </row>
    <row r="1050" spans="1:8" x14ac:dyDescent="0.3">
      <c r="A1050" s="34">
        <v>1049</v>
      </c>
      <c r="B1050" s="46" t="s">
        <v>158</v>
      </c>
      <c r="C1050" s="58">
        <v>46078.400335648148</v>
      </c>
      <c r="D1050" s="55" t="s">
        <v>2120</v>
      </c>
      <c r="E1050" s="58">
        <v>46078.421203703707</v>
      </c>
      <c r="F1050" s="46" t="s">
        <v>2141</v>
      </c>
      <c r="G1050" s="46" t="s">
        <v>973</v>
      </c>
      <c r="H1050" s="49">
        <v>3</v>
      </c>
    </row>
    <row r="1051" spans="1:8" x14ac:dyDescent="0.3">
      <c r="A1051" s="34">
        <v>1050</v>
      </c>
      <c r="B1051" s="46" t="s">
        <v>161</v>
      </c>
      <c r="C1051" s="58">
        <v>46078.396932870368</v>
      </c>
      <c r="D1051" s="55" t="s">
        <v>2120</v>
      </c>
      <c r="E1051" s="58">
        <v>46078.41778935185</v>
      </c>
      <c r="F1051" s="46" t="s">
        <v>2142</v>
      </c>
      <c r="G1051" s="46" t="s">
        <v>442</v>
      </c>
      <c r="H1051" s="49">
        <v>6</v>
      </c>
    </row>
    <row r="1052" spans="1:8" x14ac:dyDescent="0.3">
      <c r="A1052" s="34">
        <v>1051</v>
      </c>
      <c r="B1052" s="46" t="s">
        <v>1708</v>
      </c>
      <c r="C1052" s="58">
        <v>46078.623472222222</v>
      </c>
      <c r="D1052" s="55" t="s">
        <v>2120</v>
      </c>
      <c r="E1052" s="58">
        <v>46078.644317129627</v>
      </c>
      <c r="F1052" s="46" t="s">
        <v>2143</v>
      </c>
      <c r="G1052" s="46" t="s">
        <v>2061</v>
      </c>
      <c r="H1052" s="49">
        <v>3</v>
      </c>
    </row>
    <row r="1053" spans="1:8" x14ac:dyDescent="0.3">
      <c r="A1053" s="34">
        <v>1052</v>
      </c>
      <c r="B1053" s="46" t="s">
        <v>423</v>
      </c>
      <c r="C1053" s="58">
        <v>46078.474768518521</v>
      </c>
      <c r="D1053" s="55" t="s">
        <v>2120</v>
      </c>
      <c r="E1053" s="58">
        <v>46078.495636574073</v>
      </c>
      <c r="F1053" s="46" t="s">
        <v>2144</v>
      </c>
      <c r="G1053" s="46" t="s">
        <v>2139</v>
      </c>
      <c r="H1053" s="49">
        <v>4</v>
      </c>
    </row>
    <row r="1054" spans="1:8" x14ac:dyDescent="0.3">
      <c r="A1054" s="34">
        <v>1053</v>
      </c>
      <c r="B1054" s="46" t="s">
        <v>2005</v>
      </c>
      <c r="C1054" s="58">
        <v>46078.47587962963</v>
      </c>
      <c r="D1054" s="55" t="s">
        <v>2120</v>
      </c>
      <c r="E1054" s="58">
        <v>46078.496747685182</v>
      </c>
      <c r="F1054" s="46" t="s">
        <v>2145</v>
      </c>
      <c r="G1054" s="46" t="s">
        <v>2139</v>
      </c>
      <c r="H1054" s="49">
        <v>5</v>
      </c>
    </row>
    <row r="1055" spans="1:8" x14ac:dyDescent="0.3">
      <c r="A1055" s="34">
        <v>1054</v>
      </c>
      <c r="B1055" s="46" t="s">
        <v>2146</v>
      </c>
      <c r="C1055" s="58">
        <v>46078.336342592593</v>
      </c>
      <c r="D1055" s="55" t="s">
        <v>2120</v>
      </c>
      <c r="E1055" s="58">
        <v>46078.357210648152</v>
      </c>
      <c r="F1055" s="46" t="s">
        <v>2147</v>
      </c>
      <c r="G1055" s="46" t="s">
        <v>2061</v>
      </c>
      <c r="H1055" s="49">
        <v>5</v>
      </c>
    </row>
    <row r="1056" spans="1:8" x14ac:dyDescent="0.3">
      <c r="A1056" s="34">
        <v>1055</v>
      </c>
      <c r="B1056" s="46" t="s">
        <v>563</v>
      </c>
      <c r="C1056" s="58">
        <v>46078.48474537037</v>
      </c>
      <c r="D1056" s="55" t="s">
        <v>2120</v>
      </c>
      <c r="E1056" s="58">
        <v>46078.505578703713</v>
      </c>
      <c r="F1056" s="46" t="s">
        <v>2148</v>
      </c>
      <c r="G1056" s="46" t="s">
        <v>861</v>
      </c>
      <c r="H1056" s="49">
        <v>3</v>
      </c>
    </row>
    <row r="1057" spans="1:8" x14ac:dyDescent="0.3">
      <c r="A1057" s="34">
        <v>1056</v>
      </c>
      <c r="B1057" s="46" t="s">
        <v>1953</v>
      </c>
      <c r="C1057" s="58">
        <v>46078.419247685182</v>
      </c>
      <c r="D1057" s="55" t="s">
        <v>2120</v>
      </c>
      <c r="E1057" s="58">
        <v>46078.440081018518</v>
      </c>
      <c r="F1057" s="46" t="s">
        <v>2149</v>
      </c>
      <c r="G1057" s="46" t="s">
        <v>2150</v>
      </c>
      <c r="H1057" s="49">
        <v>3</v>
      </c>
    </row>
    <row r="1058" spans="1:8" x14ac:dyDescent="0.3">
      <c r="A1058" s="34">
        <v>1057</v>
      </c>
      <c r="B1058" s="46" t="s">
        <v>1389</v>
      </c>
      <c r="C1058" s="58">
        <v>46078.17019675926</v>
      </c>
      <c r="D1058" s="55" t="s">
        <v>2120</v>
      </c>
      <c r="E1058" s="58">
        <v>46078.207986111112</v>
      </c>
      <c r="F1058" s="46" t="s">
        <v>2151</v>
      </c>
      <c r="G1058" s="46" t="s">
        <v>2061</v>
      </c>
      <c r="H1058" s="49">
        <v>3</v>
      </c>
    </row>
    <row r="1059" spans="1:8" x14ac:dyDescent="0.3">
      <c r="A1059" s="34">
        <v>1058</v>
      </c>
      <c r="B1059" s="46" t="s">
        <v>1719</v>
      </c>
      <c r="C1059" s="58">
        <v>46078.468969907408</v>
      </c>
      <c r="D1059" s="55" t="s">
        <v>2120</v>
      </c>
      <c r="E1059" s="58">
        <v>46078.489849537043</v>
      </c>
      <c r="F1059" s="46" t="s">
        <v>2152</v>
      </c>
      <c r="G1059" s="46" t="s">
        <v>107</v>
      </c>
      <c r="H1059" s="49">
        <v>6</v>
      </c>
    </row>
    <row r="1060" spans="1:8" x14ac:dyDescent="0.3">
      <c r="A1060" s="34">
        <v>1059</v>
      </c>
      <c r="B1060" s="46" t="s">
        <v>1394</v>
      </c>
      <c r="C1060" s="58">
        <v>46078.128275462957</v>
      </c>
      <c r="D1060" s="55" t="s">
        <v>2120</v>
      </c>
      <c r="E1060" s="58">
        <v>46078.149108796293</v>
      </c>
      <c r="F1060" s="46" t="s">
        <v>2153</v>
      </c>
      <c r="G1060" s="46" t="s">
        <v>2061</v>
      </c>
      <c r="H1060" s="49">
        <v>5</v>
      </c>
    </row>
    <row r="1061" spans="1:8" x14ac:dyDescent="0.3">
      <c r="A1061" s="34">
        <v>1060</v>
      </c>
      <c r="B1061" s="46" t="s">
        <v>2154</v>
      </c>
      <c r="C1061" s="58">
        <v>46078.397696759261</v>
      </c>
      <c r="D1061" s="55" t="s">
        <v>2120</v>
      </c>
      <c r="E1061" s="58">
        <v>46078.418541666673</v>
      </c>
      <c r="F1061" s="46" t="s">
        <v>2155</v>
      </c>
      <c r="G1061" s="46" t="s">
        <v>856</v>
      </c>
      <c r="H1061" s="49">
        <v>3</v>
      </c>
    </row>
    <row r="1062" spans="1:8" x14ac:dyDescent="0.3">
      <c r="A1062" s="34">
        <v>1061</v>
      </c>
      <c r="B1062" s="46" t="s">
        <v>214</v>
      </c>
      <c r="C1062" s="58">
        <v>46078.443564814806</v>
      </c>
      <c r="D1062" s="55" t="s">
        <v>2120</v>
      </c>
      <c r="E1062" s="58">
        <v>46078.464409722219</v>
      </c>
      <c r="F1062" s="46" t="s">
        <v>2156</v>
      </c>
      <c r="G1062" s="46" t="s">
        <v>861</v>
      </c>
      <c r="H1062" s="49">
        <v>3</v>
      </c>
    </row>
    <row r="1063" spans="1:8" x14ac:dyDescent="0.3">
      <c r="A1063" s="34">
        <v>1062</v>
      </c>
      <c r="B1063" s="46" t="s">
        <v>219</v>
      </c>
      <c r="C1063" s="58">
        <v>46078.482569444437</v>
      </c>
      <c r="D1063" s="55" t="s">
        <v>2120</v>
      </c>
      <c r="E1063" s="58">
        <v>46078.50341435185</v>
      </c>
      <c r="F1063" s="46" t="s">
        <v>2157</v>
      </c>
      <c r="G1063" s="46" t="s">
        <v>1074</v>
      </c>
      <c r="H1063" s="49">
        <v>3</v>
      </c>
    </row>
    <row r="1064" spans="1:8" x14ac:dyDescent="0.3">
      <c r="A1064" s="34">
        <v>1063</v>
      </c>
      <c r="B1064" s="46" t="s">
        <v>1399</v>
      </c>
      <c r="C1064" s="58">
        <v>46078.270891203712</v>
      </c>
      <c r="D1064" s="55" t="s">
        <v>2120</v>
      </c>
      <c r="E1064" s="58">
        <v>46078.291759259257</v>
      </c>
      <c r="F1064" s="46" t="s">
        <v>2158</v>
      </c>
      <c r="G1064" s="46" t="s">
        <v>2061</v>
      </c>
      <c r="H1064" s="49">
        <v>8</v>
      </c>
    </row>
    <row r="1065" spans="1:8" x14ac:dyDescent="0.3">
      <c r="A1065" s="34">
        <v>1064</v>
      </c>
      <c r="B1065" s="46" t="s">
        <v>2159</v>
      </c>
      <c r="C1065" s="58">
        <v>46078.337361111109</v>
      </c>
      <c r="D1065" s="55" t="s">
        <v>2120</v>
      </c>
      <c r="E1065" s="58">
        <v>46078.358229166668</v>
      </c>
      <c r="F1065" s="46" t="s">
        <v>2160</v>
      </c>
      <c r="G1065" s="46" t="s">
        <v>2100</v>
      </c>
      <c r="H1065" s="49">
        <v>5</v>
      </c>
    </row>
    <row r="1066" spans="1:8" x14ac:dyDescent="0.3">
      <c r="A1066" s="34">
        <v>1065</v>
      </c>
      <c r="B1066" s="46" t="s">
        <v>1814</v>
      </c>
      <c r="C1066" s="58">
        <v>46078.687395833331</v>
      </c>
      <c r="D1066" s="55" t="s">
        <v>2120</v>
      </c>
      <c r="E1066" s="58">
        <v>46078.70826388889</v>
      </c>
      <c r="F1066" s="46" t="s">
        <v>2161</v>
      </c>
      <c r="G1066" s="46" t="s">
        <v>107</v>
      </c>
      <c r="H1066" s="49">
        <v>3</v>
      </c>
    </row>
    <row r="1067" spans="1:8" x14ac:dyDescent="0.3">
      <c r="A1067" s="34">
        <v>1066</v>
      </c>
      <c r="B1067" s="46" t="s">
        <v>377</v>
      </c>
      <c r="C1067" s="58">
        <v>46078.546643518523</v>
      </c>
      <c r="D1067" s="55" t="s">
        <v>2120</v>
      </c>
      <c r="E1067" s="58">
        <v>46078.567488425928</v>
      </c>
      <c r="F1067" s="46" t="s">
        <v>2162</v>
      </c>
      <c r="G1067" s="46" t="s">
        <v>2163</v>
      </c>
      <c r="H1067" s="49">
        <v>4</v>
      </c>
    </row>
    <row r="1068" spans="1:8" x14ac:dyDescent="0.3">
      <c r="A1068" s="34">
        <v>1067</v>
      </c>
      <c r="B1068" s="46" t="s">
        <v>734</v>
      </c>
      <c r="C1068" s="58">
        <v>46078.445671296293</v>
      </c>
      <c r="D1068" s="55" t="s">
        <v>2120</v>
      </c>
      <c r="E1068" s="58">
        <v>46078.466527777768</v>
      </c>
      <c r="F1068" s="46" t="s">
        <v>2164</v>
      </c>
      <c r="G1068" s="46" t="s">
        <v>2165</v>
      </c>
      <c r="H1068" s="49">
        <v>4</v>
      </c>
    </row>
    <row r="1069" spans="1:8" x14ac:dyDescent="0.3">
      <c r="A1069" s="34">
        <v>1068</v>
      </c>
      <c r="B1069" s="46" t="s">
        <v>1668</v>
      </c>
      <c r="C1069" s="58">
        <v>46078.516412037039</v>
      </c>
      <c r="D1069" s="55" t="s">
        <v>2120</v>
      </c>
      <c r="E1069" s="58">
        <v>46078.537256944437</v>
      </c>
      <c r="F1069" s="46" t="s">
        <v>2166</v>
      </c>
      <c r="G1069" s="46" t="s">
        <v>2061</v>
      </c>
      <c r="H1069" s="49">
        <v>3</v>
      </c>
    </row>
    <row r="1070" spans="1:8" x14ac:dyDescent="0.3">
      <c r="A1070" s="34">
        <v>1069</v>
      </c>
      <c r="B1070" s="46" t="s">
        <v>2062</v>
      </c>
      <c r="C1070" s="58">
        <v>46079.576041666667</v>
      </c>
      <c r="D1070" s="55" t="s">
        <v>2167</v>
      </c>
      <c r="E1070" s="58">
        <v>46079.596909722219</v>
      </c>
      <c r="F1070" s="46" t="s">
        <v>2168</v>
      </c>
      <c r="G1070" s="46" t="s">
        <v>2169</v>
      </c>
      <c r="H1070" s="49">
        <v>5</v>
      </c>
    </row>
    <row r="1071" spans="1:8" x14ac:dyDescent="0.3">
      <c r="A1071" s="34">
        <v>1070</v>
      </c>
      <c r="B1071" s="46" t="s">
        <v>47</v>
      </c>
      <c r="C1071" s="58">
        <v>46079.644583333327</v>
      </c>
      <c r="D1071" s="55" t="s">
        <v>2167</v>
      </c>
      <c r="E1071" s="58">
        <v>46079.665451388893</v>
      </c>
      <c r="F1071" s="46" t="s">
        <v>2170</v>
      </c>
      <c r="G1071" s="46" t="s">
        <v>2169</v>
      </c>
      <c r="H1071" s="49">
        <v>3</v>
      </c>
    </row>
    <row r="1072" spans="1:8" x14ac:dyDescent="0.3">
      <c r="A1072" s="34">
        <v>1071</v>
      </c>
      <c r="B1072" s="46" t="s">
        <v>497</v>
      </c>
      <c r="C1072" s="58">
        <v>46079.807789351849</v>
      </c>
      <c r="D1072" s="55" t="s">
        <v>2167</v>
      </c>
      <c r="E1072" s="58">
        <v>46079.828668981478</v>
      </c>
      <c r="F1072" s="46" t="s">
        <v>2171</v>
      </c>
      <c r="G1072" s="46" t="s">
        <v>2061</v>
      </c>
      <c r="H1072" s="49">
        <v>3</v>
      </c>
    </row>
    <row r="1073" spans="1:8" x14ac:dyDescent="0.3">
      <c r="A1073" s="34">
        <v>1072</v>
      </c>
      <c r="B1073" s="46" t="s">
        <v>997</v>
      </c>
      <c r="C1073" s="58">
        <v>46079.403136574067</v>
      </c>
      <c r="D1073" s="55" t="s">
        <v>2167</v>
      </c>
      <c r="E1073" s="58">
        <v>46079.42396990741</v>
      </c>
      <c r="F1073" s="46" t="s">
        <v>2172</v>
      </c>
      <c r="G1073" s="46" t="s">
        <v>2173</v>
      </c>
      <c r="H1073" s="49">
        <v>4</v>
      </c>
    </row>
    <row r="1074" spans="1:8" x14ac:dyDescent="0.3">
      <c r="A1074" s="34">
        <v>1073</v>
      </c>
      <c r="B1074" s="46" t="s">
        <v>64</v>
      </c>
      <c r="C1074" s="58">
        <v>46079.439456018517</v>
      </c>
      <c r="D1074" s="55" t="s">
        <v>2167</v>
      </c>
      <c r="E1074" s="58">
        <v>46079.460300925923</v>
      </c>
      <c r="F1074" s="46" t="s">
        <v>2174</v>
      </c>
      <c r="G1074" s="46" t="s">
        <v>2175</v>
      </c>
      <c r="H1074" s="49">
        <v>3</v>
      </c>
    </row>
    <row r="1075" spans="1:8" x14ac:dyDescent="0.3">
      <c r="A1075" s="34">
        <v>1074</v>
      </c>
      <c r="B1075" s="46" t="s">
        <v>780</v>
      </c>
      <c r="C1075" s="58">
        <v>46079.670069444437</v>
      </c>
      <c r="D1075" s="55" t="s">
        <v>2167</v>
      </c>
      <c r="E1075" s="58">
        <v>46079.69090277778</v>
      </c>
      <c r="F1075" s="46" t="s">
        <v>2176</v>
      </c>
      <c r="G1075" s="46" t="s">
        <v>2177</v>
      </c>
      <c r="H1075" s="49">
        <v>3</v>
      </c>
    </row>
    <row r="1076" spans="1:8" x14ac:dyDescent="0.3">
      <c r="A1076" s="34">
        <v>1075</v>
      </c>
      <c r="B1076" s="46" t="s">
        <v>1940</v>
      </c>
      <c r="C1076" s="58">
        <v>46079.353692129633</v>
      </c>
      <c r="D1076" s="55" t="s">
        <v>2167</v>
      </c>
      <c r="E1076" s="58">
        <v>46079.374537037038</v>
      </c>
      <c r="F1076" s="46" t="s">
        <v>2178</v>
      </c>
      <c r="G1076" s="46" t="s">
        <v>2179</v>
      </c>
      <c r="H1076" s="49">
        <v>3</v>
      </c>
    </row>
    <row r="1077" spans="1:8" x14ac:dyDescent="0.3">
      <c r="A1077" s="34">
        <v>1076</v>
      </c>
      <c r="B1077" s="46" t="s">
        <v>42</v>
      </c>
      <c r="C1077" s="58">
        <v>46079.578784722216</v>
      </c>
      <c r="D1077" s="55" t="s">
        <v>2167</v>
      </c>
      <c r="E1077" s="58">
        <v>46079.599652777782</v>
      </c>
      <c r="F1077" s="46" t="s">
        <v>2180</v>
      </c>
      <c r="G1077" s="46" t="s">
        <v>2181</v>
      </c>
      <c r="H1077" s="49">
        <v>5</v>
      </c>
    </row>
    <row r="1078" spans="1:8" x14ac:dyDescent="0.3">
      <c r="A1078" s="34">
        <v>1077</v>
      </c>
      <c r="B1078" s="46" t="s">
        <v>1092</v>
      </c>
      <c r="C1078" s="58">
        <v>46079.403611111113</v>
      </c>
      <c r="D1078" s="55" t="s">
        <v>2167</v>
      </c>
      <c r="E1078" s="58">
        <v>46079.424444444441</v>
      </c>
      <c r="F1078" s="46" t="s">
        <v>2182</v>
      </c>
      <c r="G1078" s="46" t="s">
        <v>2061</v>
      </c>
      <c r="H1078" s="49">
        <v>3</v>
      </c>
    </row>
    <row r="1079" spans="1:8" x14ac:dyDescent="0.3">
      <c r="A1079" s="34">
        <v>1078</v>
      </c>
      <c r="B1079" s="46" t="s">
        <v>155</v>
      </c>
      <c r="C1079" s="58">
        <v>46079.617581018523</v>
      </c>
      <c r="D1079" s="55" t="s">
        <v>2167</v>
      </c>
      <c r="E1079" s="58">
        <v>46079.638449074067</v>
      </c>
      <c r="F1079" s="46" t="s">
        <v>2183</v>
      </c>
      <c r="G1079" s="46" t="s">
        <v>717</v>
      </c>
      <c r="H1079" s="49">
        <v>5</v>
      </c>
    </row>
    <row r="1080" spans="1:8" x14ac:dyDescent="0.3">
      <c r="A1080" s="34">
        <v>1079</v>
      </c>
      <c r="B1080" s="46" t="s">
        <v>1097</v>
      </c>
      <c r="C1080" s="58">
        <v>46079.673437500001</v>
      </c>
      <c r="D1080" s="55" t="s">
        <v>2167</v>
      </c>
      <c r="E1080" s="58">
        <v>46079.69427083333</v>
      </c>
      <c r="F1080" s="46" t="s">
        <v>2184</v>
      </c>
      <c r="G1080" s="46" t="s">
        <v>2061</v>
      </c>
      <c r="H1080" s="49">
        <v>4</v>
      </c>
    </row>
    <row r="1081" spans="1:8" x14ac:dyDescent="0.3">
      <c r="A1081" s="34">
        <v>1080</v>
      </c>
      <c r="B1081" s="46" t="s">
        <v>1623</v>
      </c>
      <c r="C1081" s="58">
        <v>46079.807835648149</v>
      </c>
      <c r="D1081" s="55" t="s">
        <v>2167</v>
      </c>
      <c r="E1081" s="58">
        <v>46079.828668981478</v>
      </c>
      <c r="F1081" s="46" t="s">
        <v>2185</v>
      </c>
      <c r="G1081" s="46" t="s">
        <v>2061</v>
      </c>
      <c r="H1081" s="49">
        <v>3</v>
      </c>
    </row>
    <row r="1082" spans="1:8" x14ac:dyDescent="0.3">
      <c r="A1082" s="34">
        <v>1081</v>
      </c>
      <c r="B1082" s="46" t="s">
        <v>196</v>
      </c>
      <c r="C1082" s="58">
        <v>46079.404490740737</v>
      </c>
      <c r="D1082" s="55" t="s">
        <v>2167</v>
      </c>
      <c r="E1082" s="58">
        <v>46079.425370370373</v>
      </c>
      <c r="F1082" s="46" t="s">
        <v>2186</v>
      </c>
      <c r="G1082" s="46" t="s">
        <v>2098</v>
      </c>
      <c r="H1082" s="49">
        <v>3</v>
      </c>
    </row>
    <row r="1083" spans="1:8" x14ac:dyDescent="0.3">
      <c r="A1083" s="34">
        <v>1082</v>
      </c>
      <c r="B1083" s="46" t="s">
        <v>1470</v>
      </c>
      <c r="C1083" s="58">
        <v>46079.761458333327</v>
      </c>
      <c r="D1083" s="55" t="s">
        <v>2167</v>
      </c>
      <c r="E1083" s="58">
        <v>46079.782326388893</v>
      </c>
      <c r="F1083" s="46" t="s">
        <v>2187</v>
      </c>
      <c r="G1083" s="46" t="s">
        <v>2061</v>
      </c>
      <c r="H1083" s="49">
        <v>3</v>
      </c>
    </row>
    <row r="1084" spans="1:8" x14ac:dyDescent="0.3">
      <c r="A1084" s="34">
        <v>1083</v>
      </c>
      <c r="B1084" s="46" t="s">
        <v>1953</v>
      </c>
      <c r="C1084" s="58">
        <v>46079.279293981483</v>
      </c>
      <c r="D1084" s="55" t="s">
        <v>2167</v>
      </c>
      <c r="E1084" s="58">
        <v>46079.300138888888</v>
      </c>
      <c r="F1084" s="46" t="s">
        <v>2188</v>
      </c>
      <c r="G1084" s="46" t="s">
        <v>2189</v>
      </c>
      <c r="H1084" s="49">
        <v>4</v>
      </c>
    </row>
    <row r="1085" spans="1:8" x14ac:dyDescent="0.3">
      <c r="A1085" s="34">
        <v>1084</v>
      </c>
      <c r="B1085" s="46" t="s">
        <v>2040</v>
      </c>
      <c r="C1085" s="58">
        <v>46079.57607638889</v>
      </c>
      <c r="D1085" s="55" t="s">
        <v>2167</v>
      </c>
      <c r="E1085" s="58">
        <v>46079.596909722219</v>
      </c>
      <c r="F1085" s="46" t="s">
        <v>2190</v>
      </c>
      <c r="G1085" s="46" t="s">
        <v>2169</v>
      </c>
      <c r="H1085" s="49">
        <v>7</v>
      </c>
    </row>
    <row r="1086" spans="1:8" x14ac:dyDescent="0.3">
      <c r="A1086" s="34">
        <v>1085</v>
      </c>
      <c r="B1086" s="46" t="s">
        <v>211</v>
      </c>
      <c r="C1086" s="58">
        <v>46079.490277777782</v>
      </c>
      <c r="D1086" s="55" t="s">
        <v>2167</v>
      </c>
      <c r="E1086" s="58">
        <v>46079.511157407411</v>
      </c>
      <c r="F1086" s="46" t="s">
        <v>2191</v>
      </c>
      <c r="G1086" s="46" t="s">
        <v>2103</v>
      </c>
      <c r="H1086" s="49">
        <v>3</v>
      </c>
    </row>
    <row r="1087" spans="1:8" x14ac:dyDescent="0.3">
      <c r="A1087" s="34">
        <v>1086</v>
      </c>
      <c r="B1087" s="46" t="s">
        <v>1202</v>
      </c>
      <c r="C1087" s="58">
        <v>46079.340879629628</v>
      </c>
      <c r="D1087" s="55" t="s">
        <v>2167</v>
      </c>
      <c r="E1087" s="58">
        <v>46079.361712962957</v>
      </c>
      <c r="F1087" s="46" t="s">
        <v>2192</v>
      </c>
      <c r="G1087" s="46" t="s">
        <v>2193</v>
      </c>
      <c r="H1087" s="49">
        <v>3</v>
      </c>
    </row>
    <row r="1088" spans="1:8" x14ac:dyDescent="0.3">
      <c r="A1088" s="34">
        <v>1087</v>
      </c>
      <c r="B1088" s="46" t="s">
        <v>1728</v>
      </c>
      <c r="C1088" s="58">
        <v>46079.121238425927</v>
      </c>
      <c r="D1088" s="55" t="s">
        <v>2167</v>
      </c>
      <c r="E1088" s="58">
        <v>46079.142071759263</v>
      </c>
      <c r="F1088" s="46" t="s">
        <v>2194</v>
      </c>
      <c r="G1088" s="46" t="s">
        <v>2061</v>
      </c>
      <c r="H1088" s="49">
        <v>3</v>
      </c>
    </row>
    <row r="1089" spans="1:8" x14ac:dyDescent="0.3">
      <c r="A1089" s="34">
        <v>1088</v>
      </c>
      <c r="B1089" s="46" t="s">
        <v>2195</v>
      </c>
      <c r="C1089" s="58">
        <v>46079.569745370369</v>
      </c>
      <c r="D1089" s="55" t="s">
        <v>2167</v>
      </c>
      <c r="E1089" s="58">
        <v>46079.590578703697</v>
      </c>
      <c r="F1089" s="46" t="s">
        <v>2196</v>
      </c>
      <c r="G1089" s="46" t="s">
        <v>2181</v>
      </c>
      <c r="H1089" s="49">
        <v>6</v>
      </c>
    </row>
    <row r="1090" spans="1:8" x14ac:dyDescent="0.3">
      <c r="A1090" s="34">
        <v>1089</v>
      </c>
      <c r="B1090" s="46" t="s">
        <v>1129</v>
      </c>
      <c r="C1090" s="58">
        <v>46079.670983796299</v>
      </c>
      <c r="D1090" s="55" t="s">
        <v>2167</v>
      </c>
      <c r="E1090" s="58">
        <v>46079.691840277781</v>
      </c>
      <c r="F1090" s="46" t="s">
        <v>2197</v>
      </c>
      <c r="G1090" s="46" t="s">
        <v>2061</v>
      </c>
      <c r="H1090" s="49">
        <v>3</v>
      </c>
    </row>
    <row r="1091" spans="1:8" x14ac:dyDescent="0.3">
      <c r="A1091" s="34">
        <v>1090</v>
      </c>
      <c r="B1091" s="46" t="s">
        <v>2198</v>
      </c>
      <c r="C1091" s="58">
        <v>46079.110856481479</v>
      </c>
      <c r="D1091" s="55" t="s">
        <v>2167</v>
      </c>
      <c r="E1091" s="58">
        <v>46079.131689814807</v>
      </c>
      <c r="F1091" s="46" t="s">
        <v>2199</v>
      </c>
      <c r="G1091" s="46" t="s">
        <v>2061</v>
      </c>
      <c r="H1091" s="49">
        <v>3</v>
      </c>
    </row>
    <row r="1092" spans="1:8" x14ac:dyDescent="0.3">
      <c r="A1092" s="34">
        <v>1091</v>
      </c>
      <c r="B1092" s="46" t="s">
        <v>729</v>
      </c>
      <c r="C1092" s="58">
        <v>46079.327928240738</v>
      </c>
      <c r="D1092" s="55" t="s">
        <v>2167</v>
      </c>
      <c r="E1092" s="58">
        <v>46079.348796296297</v>
      </c>
      <c r="F1092" s="46" t="s">
        <v>2200</v>
      </c>
      <c r="G1092" s="46" t="s">
        <v>107</v>
      </c>
      <c r="H1092" s="49">
        <v>3</v>
      </c>
    </row>
    <row r="1093" spans="1:8" x14ac:dyDescent="0.3">
      <c r="A1093" s="34">
        <v>1092</v>
      </c>
      <c r="B1093" s="46" t="s">
        <v>26</v>
      </c>
      <c r="C1093" s="58">
        <v>46079.62427083333</v>
      </c>
      <c r="D1093" s="55" t="s">
        <v>2167</v>
      </c>
      <c r="E1093" s="58">
        <v>46079.645150462973</v>
      </c>
      <c r="F1093" s="46" t="s">
        <v>2201</v>
      </c>
      <c r="G1093" s="46" t="s">
        <v>2169</v>
      </c>
      <c r="H1093" s="49">
        <v>4</v>
      </c>
    </row>
    <row r="1094" spans="1:8" x14ac:dyDescent="0.3">
      <c r="A1094" s="34">
        <v>1093</v>
      </c>
      <c r="B1094" s="46" t="s">
        <v>1062</v>
      </c>
      <c r="C1094" s="58">
        <v>46079.326979166668</v>
      </c>
      <c r="D1094" s="55" t="s">
        <v>2167</v>
      </c>
      <c r="E1094" s="58">
        <v>46079.347824074073</v>
      </c>
      <c r="F1094" s="46" t="s">
        <v>2202</v>
      </c>
      <c r="G1094" s="46" t="s">
        <v>887</v>
      </c>
      <c r="H1094" s="49">
        <v>4</v>
      </c>
    </row>
    <row r="1095" spans="1:8" x14ac:dyDescent="0.3">
      <c r="A1095" s="34">
        <v>1094</v>
      </c>
      <c r="B1095" s="46" t="s">
        <v>1230</v>
      </c>
      <c r="C1095" s="58">
        <v>46080.427106481482</v>
      </c>
      <c r="D1095" s="55" t="s">
        <v>2203</v>
      </c>
      <c r="E1095" s="58">
        <v>46080.447997685187</v>
      </c>
      <c r="F1095" s="46" t="s">
        <v>2204</v>
      </c>
      <c r="G1095" s="46" t="s">
        <v>2175</v>
      </c>
      <c r="H1095" s="49">
        <v>4</v>
      </c>
    </row>
    <row r="1096" spans="1:8" x14ac:dyDescent="0.3">
      <c r="A1096" s="34">
        <v>1095</v>
      </c>
      <c r="B1096" s="46" t="s">
        <v>2062</v>
      </c>
      <c r="C1096" s="58">
        <v>46080.540393518517</v>
      </c>
      <c r="D1096" s="55" t="s">
        <v>2203</v>
      </c>
      <c r="E1096" s="58">
        <v>46080.561226851853</v>
      </c>
      <c r="F1096" s="46" t="s">
        <v>2205</v>
      </c>
      <c r="G1096" s="46" t="s">
        <v>2079</v>
      </c>
      <c r="H1096" s="49">
        <v>3</v>
      </c>
    </row>
    <row r="1097" spans="1:8" x14ac:dyDescent="0.3">
      <c r="A1097" s="34">
        <v>1096</v>
      </c>
      <c r="B1097" s="46" t="s">
        <v>91</v>
      </c>
      <c r="C1097" s="58">
        <v>46080.308969907397</v>
      </c>
      <c r="D1097" s="55" t="s">
        <v>2203</v>
      </c>
      <c r="E1097" s="58">
        <v>46080.329814814817</v>
      </c>
      <c r="F1097" s="46" t="s">
        <v>2206</v>
      </c>
      <c r="G1097" s="46" t="s">
        <v>2207</v>
      </c>
      <c r="H1097" s="49">
        <v>3</v>
      </c>
    </row>
    <row r="1098" spans="1:8" x14ac:dyDescent="0.3">
      <c r="A1098" s="34">
        <v>1097</v>
      </c>
      <c r="B1098" s="46" t="s">
        <v>1236</v>
      </c>
      <c r="C1098" s="58">
        <v>46080.440879629627</v>
      </c>
      <c r="D1098" s="55" t="s">
        <v>2203</v>
      </c>
      <c r="E1098" s="58">
        <v>46080.461759259262</v>
      </c>
      <c r="F1098" s="46" t="s">
        <v>2208</v>
      </c>
      <c r="G1098" s="46" t="s">
        <v>2061</v>
      </c>
      <c r="H1098" s="49">
        <v>4</v>
      </c>
    </row>
    <row r="1099" spans="1:8" x14ac:dyDescent="0.3">
      <c r="A1099" s="34">
        <v>1098</v>
      </c>
      <c r="B1099" s="46" t="s">
        <v>2209</v>
      </c>
      <c r="C1099" s="58">
        <v>46080.391932870371</v>
      </c>
      <c r="D1099" s="55" t="s">
        <v>2203</v>
      </c>
      <c r="E1099" s="58">
        <v>46080.412812499999</v>
      </c>
      <c r="F1099" s="46" t="s">
        <v>2210</v>
      </c>
      <c r="G1099" s="46" t="s">
        <v>2061</v>
      </c>
      <c r="H1099" s="49">
        <v>3</v>
      </c>
    </row>
    <row r="1100" spans="1:8" x14ac:dyDescent="0.3">
      <c r="A1100" s="34">
        <v>1099</v>
      </c>
      <c r="B1100" s="46" t="s">
        <v>105</v>
      </c>
      <c r="C1100" s="58">
        <v>46080.338055555563</v>
      </c>
      <c r="D1100" s="55" t="s">
        <v>2203</v>
      </c>
      <c r="E1100" s="58">
        <v>46080.358888888892</v>
      </c>
      <c r="F1100" s="46" t="s">
        <v>2211</v>
      </c>
      <c r="G1100" s="46" t="s">
        <v>973</v>
      </c>
      <c r="H1100" s="49">
        <v>3</v>
      </c>
    </row>
    <row r="1101" spans="1:8" x14ac:dyDescent="0.3">
      <c r="A1101" s="34">
        <v>1100</v>
      </c>
      <c r="B1101" s="46" t="s">
        <v>1301</v>
      </c>
      <c r="C1101" s="58">
        <v>46080.531145833331</v>
      </c>
      <c r="D1101" s="55" t="s">
        <v>2203</v>
      </c>
      <c r="E1101" s="58">
        <v>46080.55363425926</v>
      </c>
      <c r="F1101" s="46" t="s">
        <v>2212</v>
      </c>
      <c r="G1101" s="46" t="s">
        <v>323</v>
      </c>
      <c r="H1101" s="49">
        <v>3</v>
      </c>
    </row>
    <row r="1102" spans="1:8" x14ac:dyDescent="0.3">
      <c r="A1102" s="34">
        <v>1101</v>
      </c>
      <c r="B1102" s="46" t="s">
        <v>1856</v>
      </c>
      <c r="C1102" s="58">
        <v>46080.351400462961</v>
      </c>
      <c r="D1102" s="55" t="s">
        <v>2203</v>
      </c>
      <c r="E1102" s="58">
        <v>46080.372233796297</v>
      </c>
      <c r="F1102" s="46" t="s">
        <v>2213</v>
      </c>
      <c r="G1102" s="46" t="s">
        <v>2061</v>
      </c>
      <c r="H1102" s="49">
        <v>4</v>
      </c>
    </row>
    <row r="1103" spans="1:8" x14ac:dyDescent="0.3">
      <c r="A1103" s="34">
        <v>1102</v>
      </c>
      <c r="B1103" s="46" t="s">
        <v>111</v>
      </c>
      <c r="C1103" s="58">
        <v>46080.423611111109</v>
      </c>
      <c r="D1103" s="55" t="s">
        <v>2203</v>
      </c>
      <c r="E1103" s="58">
        <v>46080.444444444453</v>
      </c>
      <c r="F1103" s="46" t="s">
        <v>2214</v>
      </c>
      <c r="G1103" s="46" t="s">
        <v>2215</v>
      </c>
      <c r="H1103" s="49">
        <v>3</v>
      </c>
    </row>
    <row r="1104" spans="1:8" x14ac:dyDescent="0.3">
      <c r="A1104" s="34">
        <v>1103</v>
      </c>
      <c r="B1104" s="46" t="s">
        <v>114</v>
      </c>
      <c r="C1104" s="58">
        <v>46080.51226851852</v>
      </c>
      <c r="D1104" s="55" t="s">
        <v>2203</v>
      </c>
      <c r="E1104" s="58">
        <v>46080.533125000002</v>
      </c>
      <c r="F1104" s="46" t="s">
        <v>2216</v>
      </c>
      <c r="G1104" s="46" t="s">
        <v>2217</v>
      </c>
      <c r="H1104" s="49">
        <v>3</v>
      </c>
    </row>
    <row r="1105" spans="1:8" x14ac:dyDescent="0.3">
      <c r="A1105" s="34">
        <v>1104</v>
      </c>
      <c r="B1105" s="46" t="s">
        <v>777</v>
      </c>
      <c r="C1105" s="58">
        <v>46080.30269675926</v>
      </c>
      <c r="D1105" s="55" t="s">
        <v>2203</v>
      </c>
      <c r="E1105" s="58">
        <v>46080.323576388888</v>
      </c>
      <c r="F1105" s="46" t="s">
        <v>2218</v>
      </c>
      <c r="G1105" s="46" t="s">
        <v>2207</v>
      </c>
      <c r="H1105" s="49">
        <v>3</v>
      </c>
    </row>
    <row r="1106" spans="1:8" x14ac:dyDescent="0.3">
      <c r="A1106" s="34">
        <v>1105</v>
      </c>
      <c r="B1106" s="46" t="s">
        <v>1688</v>
      </c>
      <c r="C1106" s="58">
        <v>46080.478402777779</v>
      </c>
      <c r="D1106" s="55" t="s">
        <v>2203</v>
      </c>
      <c r="E1106" s="58">
        <v>46080.499236111107</v>
      </c>
      <c r="F1106" s="46" t="s">
        <v>2219</v>
      </c>
      <c r="G1106" s="46" t="s">
        <v>113</v>
      </c>
      <c r="H1106" s="49">
        <v>5</v>
      </c>
    </row>
    <row r="1107" spans="1:8" x14ac:dyDescent="0.3">
      <c r="A1107" s="34">
        <v>1106</v>
      </c>
      <c r="B1107" s="46" t="s">
        <v>1866</v>
      </c>
      <c r="C1107" s="58">
        <v>46080.482870370368</v>
      </c>
      <c r="D1107" s="55" t="s">
        <v>2203</v>
      </c>
      <c r="E1107" s="58">
        <v>46080.503703703696</v>
      </c>
      <c r="F1107" s="46" t="s">
        <v>2220</v>
      </c>
      <c r="G1107" s="46" t="s">
        <v>2061</v>
      </c>
      <c r="H1107" s="49">
        <v>3</v>
      </c>
    </row>
    <row r="1108" spans="1:8" x14ac:dyDescent="0.3">
      <c r="A1108" s="34">
        <v>1107</v>
      </c>
      <c r="B1108" s="46" t="s">
        <v>1940</v>
      </c>
      <c r="C1108" s="58">
        <v>46080.417395833327</v>
      </c>
      <c r="D1108" s="55" t="s">
        <v>2203</v>
      </c>
      <c r="E1108" s="58">
        <v>46080.438240740739</v>
      </c>
      <c r="F1108" s="46" t="s">
        <v>2221</v>
      </c>
      <c r="G1108" s="46" t="s">
        <v>2222</v>
      </c>
      <c r="H1108" s="49">
        <v>4</v>
      </c>
    </row>
    <row r="1109" spans="1:8" x14ac:dyDescent="0.3">
      <c r="A1109" s="34">
        <v>1108</v>
      </c>
      <c r="B1109" s="46" t="s">
        <v>1609</v>
      </c>
      <c r="C1109" s="58">
        <v>46080.481006944443</v>
      </c>
      <c r="D1109" s="55" t="s">
        <v>2203</v>
      </c>
      <c r="E1109" s="58">
        <v>46080.501851851863</v>
      </c>
      <c r="F1109" s="46" t="s">
        <v>2223</v>
      </c>
      <c r="G1109" s="46" t="s">
        <v>2061</v>
      </c>
      <c r="H1109" s="49">
        <v>3</v>
      </c>
    </row>
    <row r="1110" spans="1:8" x14ac:dyDescent="0.3">
      <c r="A1110" s="34">
        <v>1109</v>
      </c>
      <c r="B1110" s="46" t="s">
        <v>30</v>
      </c>
      <c r="C1110" s="58">
        <v>46080.489120370366</v>
      </c>
      <c r="D1110" s="55" t="s">
        <v>2203</v>
      </c>
      <c r="E1110" s="58">
        <v>46080.509953703702</v>
      </c>
      <c r="F1110" s="46" t="s">
        <v>2224</v>
      </c>
      <c r="G1110" s="46" t="s">
        <v>2225</v>
      </c>
      <c r="H1110" s="49">
        <v>3</v>
      </c>
    </row>
    <row r="1111" spans="1:8" x14ac:dyDescent="0.3">
      <c r="A1111" s="34">
        <v>1110</v>
      </c>
      <c r="B1111" s="46" t="s">
        <v>164</v>
      </c>
      <c r="C1111" s="58">
        <v>46080.364583333343</v>
      </c>
      <c r="D1111" s="55" t="s">
        <v>2203</v>
      </c>
      <c r="E1111" s="58">
        <v>46080.385462962957</v>
      </c>
      <c r="F1111" s="46" t="s">
        <v>2226</v>
      </c>
      <c r="G1111" s="46" t="s">
        <v>2061</v>
      </c>
      <c r="H1111" s="49">
        <v>3</v>
      </c>
    </row>
    <row r="1112" spans="1:8" x14ac:dyDescent="0.3">
      <c r="A1112" s="34">
        <v>1111</v>
      </c>
      <c r="B1112" s="46" t="s">
        <v>54</v>
      </c>
      <c r="C1112" s="58">
        <v>46080.490370370368</v>
      </c>
      <c r="D1112" s="55" t="s">
        <v>2203</v>
      </c>
      <c r="E1112" s="58">
        <v>46080.51122685185</v>
      </c>
      <c r="F1112" s="46" t="s">
        <v>2227</v>
      </c>
      <c r="G1112" s="46" t="s">
        <v>2228</v>
      </c>
      <c r="H1112" s="49">
        <v>3</v>
      </c>
    </row>
    <row r="1113" spans="1:8" x14ac:dyDescent="0.3">
      <c r="A1113" s="34">
        <v>1112</v>
      </c>
      <c r="B1113" s="46" t="s">
        <v>1449</v>
      </c>
      <c r="C1113" s="58">
        <v>46080.628935185188</v>
      </c>
      <c r="D1113" s="55" t="s">
        <v>2203</v>
      </c>
      <c r="E1113" s="58">
        <v>46080.64980324074</v>
      </c>
      <c r="F1113" s="46" t="s">
        <v>2229</v>
      </c>
      <c r="G1113" s="46" t="s">
        <v>2061</v>
      </c>
      <c r="H1113" s="49">
        <v>3</v>
      </c>
    </row>
    <row r="1114" spans="1:8" x14ac:dyDescent="0.3">
      <c r="A1114" s="34">
        <v>1113</v>
      </c>
      <c r="B1114" s="46" t="s">
        <v>35</v>
      </c>
      <c r="C1114" s="58">
        <v>46080.298854166656</v>
      </c>
      <c r="D1114" s="55" t="s">
        <v>2203</v>
      </c>
      <c r="E1114" s="58">
        <v>46080.319699074083</v>
      </c>
      <c r="F1114" s="46" t="s">
        <v>2230</v>
      </c>
      <c r="G1114" s="46" t="s">
        <v>2231</v>
      </c>
      <c r="H1114" s="49">
        <v>4</v>
      </c>
    </row>
    <row r="1115" spans="1:8" x14ac:dyDescent="0.3">
      <c r="A1115" s="34">
        <v>1114</v>
      </c>
      <c r="B1115" s="46" t="s">
        <v>1459</v>
      </c>
      <c r="C1115" s="58">
        <v>46080.727627314824</v>
      </c>
      <c r="D1115" s="55" t="s">
        <v>2203</v>
      </c>
      <c r="E1115" s="58">
        <v>46080.748495370368</v>
      </c>
      <c r="F1115" s="46" t="s">
        <v>2232</v>
      </c>
      <c r="G1115" s="46" t="s">
        <v>2061</v>
      </c>
      <c r="H1115" s="49">
        <v>3</v>
      </c>
    </row>
    <row r="1116" spans="1:8" x14ac:dyDescent="0.3">
      <c r="A1116" s="34">
        <v>1115</v>
      </c>
      <c r="B1116" s="46" t="s">
        <v>929</v>
      </c>
      <c r="C1116" s="58">
        <v>46080.579571759263</v>
      </c>
      <c r="D1116" s="55" t="s">
        <v>2203</v>
      </c>
      <c r="E1116" s="58">
        <v>46080.600416666668</v>
      </c>
      <c r="F1116" s="46" t="s">
        <v>2233</v>
      </c>
      <c r="G1116" s="46" t="s">
        <v>2061</v>
      </c>
      <c r="H1116" s="49">
        <v>3</v>
      </c>
    </row>
    <row r="1117" spans="1:8" x14ac:dyDescent="0.3">
      <c r="A1117" s="34">
        <v>1116</v>
      </c>
      <c r="B1117" s="46" t="s">
        <v>1326</v>
      </c>
      <c r="C1117" s="58">
        <v>46080.449907407397</v>
      </c>
      <c r="D1117" s="55" t="s">
        <v>2203</v>
      </c>
      <c r="E1117" s="58">
        <v>46080.470775462964</v>
      </c>
      <c r="F1117" s="46" t="s">
        <v>2234</v>
      </c>
      <c r="G1117" s="46" t="s">
        <v>183</v>
      </c>
      <c r="H1117" s="49">
        <v>3</v>
      </c>
    </row>
    <row r="1118" spans="1:8" x14ac:dyDescent="0.3">
      <c r="A1118" s="34">
        <v>1117</v>
      </c>
      <c r="B1118" s="46" t="s">
        <v>1269</v>
      </c>
      <c r="C1118" s="58">
        <v>46080.27952546296</v>
      </c>
      <c r="D1118" s="55" t="s">
        <v>2203</v>
      </c>
      <c r="E1118" s="58">
        <v>46080.300358796303</v>
      </c>
      <c r="F1118" s="46" t="s">
        <v>2235</v>
      </c>
      <c r="G1118" s="46" t="s">
        <v>2061</v>
      </c>
      <c r="H1118" s="49">
        <v>4</v>
      </c>
    </row>
    <row r="1119" spans="1:8" x14ac:dyDescent="0.3">
      <c r="A1119" s="34">
        <v>1118</v>
      </c>
      <c r="B1119" s="46" t="s">
        <v>1394</v>
      </c>
      <c r="C1119" s="58">
        <v>46080.490277777782</v>
      </c>
      <c r="D1119" s="55" t="s">
        <v>2203</v>
      </c>
      <c r="E1119" s="58">
        <v>46080.511111111111</v>
      </c>
      <c r="F1119" s="46" t="s">
        <v>2236</v>
      </c>
      <c r="G1119" s="46" t="s">
        <v>2181</v>
      </c>
      <c r="H1119" s="49">
        <v>3</v>
      </c>
    </row>
    <row r="1120" spans="1:8" x14ac:dyDescent="0.3">
      <c r="A1120" s="34">
        <v>1119</v>
      </c>
      <c r="B1120" s="46" t="s">
        <v>2091</v>
      </c>
      <c r="C1120" s="58">
        <v>46080.30059027778</v>
      </c>
      <c r="D1120" s="55" t="s">
        <v>2203</v>
      </c>
      <c r="E1120" s="58">
        <v>46080.321435185193</v>
      </c>
      <c r="F1120" s="46" t="s">
        <v>2237</v>
      </c>
      <c r="G1120" s="46" t="s">
        <v>2181</v>
      </c>
      <c r="H1120" s="49">
        <v>4</v>
      </c>
    </row>
    <row r="1121" spans="1:8" x14ac:dyDescent="0.3">
      <c r="A1121" s="34">
        <v>1120</v>
      </c>
      <c r="B1121" s="46" t="s">
        <v>955</v>
      </c>
      <c r="C1121" s="58">
        <v>46080.37332175926</v>
      </c>
      <c r="D1121" s="55" t="s">
        <v>2203</v>
      </c>
      <c r="E1121" s="58">
        <v>46080.394201388888</v>
      </c>
      <c r="F1121" s="46" t="s">
        <v>2238</v>
      </c>
      <c r="G1121" s="46" t="s">
        <v>2061</v>
      </c>
      <c r="H1121" s="49">
        <v>3</v>
      </c>
    </row>
    <row r="1122" spans="1:8" x14ac:dyDescent="0.3">
      <c r="A1122" s="34">
        <v>1121</v>
      </c>
      <c r="B1122" s="46" t="s">
        <v>1027</v>
      </c>
      <c r="C1122" s="58">
        <v>46080.464629629627</v>
      </c>
      <c r="D1122" s="55" t="s">
        <v>2203</v>
      </c>
      <c r="E1122" s="58">
        <v>46080.501504629632</v>
      </c>
      <c r="F1122" s="46" t="s">
        <v>2239</v>
      </c>
      <c r="G1122" s="46" t="s">
        <v>304</v>
      </c>
      <c r="H1122" s="49">
        <v>4</v>
      </c>
    </row>
    <row r="1123" spans="1:8" x14ac:dyDescent="0.3">
      <c r="A1123" s="34">
        <v>1122</v>
      </c>
      <c r="B1123" s="46" t="s">
        <v>1202</v>
      </c>
      <c r="C1123" s="58">
        <v>46080.490011574067</v>
      </c>
      <c r="D1123" s="55" t="s">
        <v>2203</v>
      </c>
      <c r="E1123" s="58">
        <v>46080.510891203703</v>
      </c>
      <c r="F1123" s="46" t="s">
        <v>2240</v>
      </c>
      <c r="G1123" s="46" t="s">
        <v>2241</v>
      </c>
      <c r="H1123" s="49">
        <v>3</v>
      </c>
    </row>
    <row r="1124" spans="1:8" x14ac:dyDescent="0.3">
      <c r="A1124" s="34">
        <v>1123</v>
      </c>
      <c r="B1124" s="46" t="s">
        <v>715</v>
      </c>
      <c r="C1124" s="58">
        <v>46080.45003472222</v>
      </c>
      <c r="D1124" s="55" t="s">
        <v>2203</v>
      </c>
      <c r="E1124" s="58">
        <v>46080.470891203702</v>
      </c>
      <c r="F1124" s="46" t="s">
        <v>2242</v>
      </c>
      <c r="G1124" s="46" t="s">
        <v>2061</v>
      </c>
      <c r="H1124" s="49">
        <v>4</v>
      </c>
    </row>
    <row r="1125" spans="1:8" x14ac:dyDescent="0.3">
      <c r="A1125" s="34">
        <v>1124</v>
      </c>
      <c r="B1125" s="46" t="s">
        <v>261</v>
      </c>
      <c r="C1125" s="58">
        <v>46080.308449074073</v>
      </c>
      <c r="D1125" s="55" t="s">
        <v>2203</v>
      </c>
      <c r="E1125" s="58">
        <v>46080.329293981478</v>
      </c>
      <c r="F1125" s="46" t="s">
        <v>2243</v>
      </c>
      <c r="G1125" s="46" t="s">
        <v>2207</v>
      </c>
      <c r="H1125" s="49">
        <v>3</v>
      </c>
    </row>
    <row r="1126" spans="1:8" x14ac:dyDescent="0.3">
      <c r="A1126" s="34">
        <v>1125</v>
      </c>
      <c r="B1126" s="46" t="s">
        <v>1054</v>
      </c>
      <c r="C1126" s="58">
        <v>46080.425995370373</v>
      </c>
      <c r="D1126" s="55" t="s">
        <v>2203</v>
      </c>
      <c r="E1126" s="58">
        <v>46080.446828703702</v>
      </c>
      <c r="F1126" s="46" t="s">
        <v>2244</v>
      </c>
      <c r="G1126" s="46" t="s">
        <v>2222</v>
      </c>
      <c r="H1126" s="49">
        <v>3</v>
      </c>
    </row>
    <row r="1127" spans="1:8" x14ac:dyDescent="0.3">
      <c r="A1127" s="34">
        <v>1126</v>
      </c>
      <c r="B1127" s="46" t="s">
        <v>41</v>
      </c>
      <c r="C1127" s="58">
        <v>46080.378217592603</v>
      </c>
      <c r="D1127" s="55" t="s">
        <v>2203</v>
      </c>
      <c r="E1127" s="58">
        <v>46080.399074074077</v>
      </c>
      <c r="F1127" s="46" t="s">
        <v>2245</v>
      </c>
      <c r="G1127" s="46" t="s">
        <v>2098</v>
      </c>
      <c r="H1127" s="49">
        <v>5</v>
      </c>
    </row>
    <row r="1128" spans="1:8" x14ac:dyDescent="0.3">
      <c r="A1128" s="34">
        <v>1127</v>
      </c>
      <c r="B1128" s="46" t="s">
        <v>60</v>
      </c>
      <c r="C1128" s="58">
        <v>46081.375416666669</v>
      </c>
      <c r="D1128" s="55" t="s">
        <v>12</v>
      </c>
      <c r="E1128" s="58">
        <v>46081.396273148152</v>
      </c>
      <c r="F1128" s="46" t="s">
        <v>2246</v>
      </c>
      <c r="G1128" s="46" t="s">
        <v>2247</v>
      </c>
      <c r="H1128" s="49">
        <v>4</v>
      </c>
    </row>
    <row r="1129" spans="1:8" x14ac:dyDescent="0.3">
      <c r="A1129" s="34">
        <v>1128</v>
      </c>
      <c r="B1129" s="46" t="s">
        <v>47</v>
      </c>
      <c r="C1129" s="58">
        <v>46081.326238425929</v>
      </c>
      <c r="D1129" s="55" t="s">
        <v>12</v>
      </c>
      <c r="E1129" s="58">
        <v>46081.347083333327</v>
      </c>
      <c r="F1129" s="46" t="s">
        <v>2248</v>
      </c>
      <c r="G1129" s="46" t="s">
        <v>2249</v>
      </c>
      <c r="H1129" s="49">
        <v>4</v>
      </c>
    </row>
    <row r="1130" spans="1:8" x14ac:dyDescent="0.3">
      <c r="A1130" s="34">
        <v>1129</v>
      </c>
      <c r="B1130" s="46" t="s">
        <v>72</v>
      </c>
      <c r="C1130" s="58">
        <v>46081.359074074076</v>
      </c>
      <c r="D1130" s="55" t="s">
        <v>12</v>
      </c>
      <c r="E1130" s="58">
        <v>46081.379942129628</v>
      </c>
      <c r="F1130" s="46" t="s">
        <v>2250</v>
      </c>
      <c r="G1130" s="46" t="s">
        <v>2251</v>
      </c>
      <c r="H1130" s="49">
        <v>4</v>
      </c>
    </row>
    <row r="1131" spans="1:8" x14ac:dyDescent="0.3">
      <c r="A1131" s="34">
        <v>1130</v>
      </c>
      <c r="B1131" s="46" t="s">
        <v>66</v>
      </c>
      <c r="C1131" s="58">
        <v>46081.358946759261</v>
      </c>
      <c r="D1131" s="55" t="s">
        <v>12</v>
      </c>
      <c r="E1131" s="58">
        <v>46081.379814814813</v>
      </c>
      <c r="F1131" s="46" t="s">
        <v>2252</v>
      </c>
      <c r="G1131" s="46" t="s">
        <v>2090</v>
      </c>
      <c r="H1131" s="49">
        <v>4</v>
      </c>
    </row>
    <row r="1132" spans="1:8" x14ac:dyDescent="0.3">
      <c r="A1132" s="34">
        <v>1131</v>
      </c>
      <c r="B1132" s="46" t="s">
        <v>64</v>
      </c>
      <c r="C1132" s="58">
        <v>46081.324305555558</v>
      </c>
      <c r="D1132" s="55" t="s">
        <v>12</v>
      </c>
      <c r="E1132" s="58">
        <v>46081.34516203704</v>
      </c>
      <c r="F1132" s="46" t="s">
        <v>2253</v>
      </c>
      <c r="G1132" s="46" t="s">
        <v>2249</v>
      </c>
      <c r="H1132" s="49">
        <v>4</v>
      </c>
    </row>
    <row r="1133" spans="1:8" x14ac:dyDescent="0.3">
      <c r="A1133" s="34">
        <v>1132</v>
      </c>
      <c r="B1133" s="46" t="s">
        <v>71</v>
      </c>
      <c r="C1133" s="58">
        <v>46081.576249999998</v>
      </c>
      <c r="D1133" s="55" t="s">
        <v>12</v>
      </c>
      <c r="E1133" s="58">
        <v>46081.597083333327</v>
      </c>
      <c r="F1133" s="46" t="s">
        <v>2254</v>
      </c>
      <c r="G1133" s="46" t="s">
        <v>2255</v>
      </c>
      <c r="H1133" s="49">
        <v>3</v>
      </c>
    </row>
    <row r="1134" spans="1:8" x14ac:dyDescent="0.3">
      <c r="A1134" s="34">
        <v>1133</v>
      </c>
      <c r="B1134" s="46" t="s">
        <v>51</v>
      </c>
      <c r="C1134" s="58">
        <v>46081.300983796304</v>
      </c>
      <c r="D1134" s="55" t="s">
        <v>12</v>
      </c>
      <c r="E1134" s="58">
        <v>46081.321828703702</v>
      </c>
      <c r="F1134" s="46" t="s">
        <v>2256</v>
      </c>
      <c r="G1134" s="46" t="s">
        <v>2257</v>
      </c>
      <c r="H1134" s="49">
        <v>3</v>
      </c>
    </row>
    <row r="1135" spans="1:8" x14ac:dyDescent="0.3">
      <c r="A1135" s="34">
        <v>1134</v>
      </c>
      <c r="B1135" s="46" t="s">
        <v>53</v>
      </c>
      <c r="C1135" s="58">
        <v>46081.353680555563</v>
      </c>
      <c r="D1135" s="55" t="s">
        <v>12</v>
      </c>
      <c r="E1135" s="58">
        <v>46081.374525462961</v>
      </c>
      <c r="F1135" s="46" t="s">
        <v>2258</v>
      </c>
      <c r="G1135" s="46" t="s">
        <v>2259</v>
      </c>
      <c r="H1135" s="49">
        <v>3</v>
      </c>
    </row>
    <row r="1136" spans="1:8" x14ac:dyDescent="0.3">
      <c r="A1136" s="34">
        <v>1135</v>
      </c>
      <c r="B1136" s="46" t="s">
        <v>61</v>
      </c>
      <c r="C1136" s="58">
        <v>46081.361238425918</v>
      </c>
      <c r="D1136" s="55" t="s">
        <v>12</v>
      </c>
      <c r="E1136" s="58">
        <v>46081.38208333333</v>
      </c>
      <c r="F1136" s="46" t="s">
        <v>2260</v>
      </c>
      <c r="G1136" s="46" t="s">
        <v>2061</v>
      </c>
      <c r="H1136" s="49">
        <v>3</v>
      </c>
    </row>
    <row r="1137" spans="1:8" x14ac:dyDescent="0.3">
      <c r="A1137" s="34">
        <v>1136</v>
      </c>
      <c r="B1137" s="46" t="s">
        <v>69</v>
      </c>
      <c r="C1137" s="58">
        <v>46081.382430555554</v>
      </c>
      <c r="D1137" s="55" t="s">
        <v>12</v>
      </c>
      <c r="E1137" s="58">
        <v>46081.403310185182</v>
      </c>
      <c r="F1137" s="46" t="s">
        <v>2261</v>
      </c>
      <c r="G1137" s="46" t="s">
        <v>2262</v>
      </c>
      <c r="H1137" s="49">
        <v>3</v>
      </c>
    </row>
    <row r="1138" spans="1:8" x14ac:dyDescent="0.3">
      <c r="A1138" s="34">
        <v>1137</v>
      </c>
      <c r="B1138" s="46" t="s">
        <v>34</v>
      </c>
      <c r="C1138" s="58">
        <v>46081.377592592587</v>
      </c>
      <c r="D1138" s="55" t="s">
        <v>12</v>
      </c>
      <c r="E1138" s="58">
        <v>46081.3984837963</v>
      </c>
      <c r="F1138" s="46" t="s">
        <v>2263</v>
      </c>
      <c r="G1138" s="46" t="s">
        <v>2247</v>
      </c>
      <c r="H1138" s="49">
        <v>4</v>
      </c>
    </row>
    <row r="1139" spans="1:8" x14ac:dyDescent="0.3">
      <c r="A1139" s="34">
        <v>1138</v>
      </c>
      <c r="B1139" s="46" t="s">
        <v>54</v>
      </c>
      <c r="C1139" s="58">
        <v>46081.364710648151</v>
      </c>
      <c r="D1139" s="55" t="s">
        <v>12</v>
      </c>
      <c r="E1139" s="58">
        <v>46081.385567129633</v>
      </c>
      <c r="F1139" s="46" t="s">
        <v>2264</v>
      </c>
      <c r="G1139" s="46" t="s">
        <v>107</v>
      </c>
      <c r="H1139" s="49">
        <v>3</v>
      </c>
    </row>
    <row r="1140" spans="1:8" x14ac:dyDescent="0.3">
      <c r="A1140" s="34">
        <v>1139</v>
      </c>
      <c r="B1140" s="46" t="s">
        <v>25</v>
      </c>
      <c r="C1140" s="58">
        <v>46081.356574074067</v>
      </c>
      <c r="D1140" s="55" t="s">
        <v>12</v>
      </c>
      <c r="E1140" s="58">
        <v>46081.377418981479</v>
      </c>
      <c r="F1140" s="46" t="s">
        <v>2265</v>
      </c>
      <c r="G1140" s="46" t="s">
        <v>2266</v>
      </c>
      <c r="H1140" s="49">
        <v>4</v>
      </c>
    </row>
    <row r="1141" spans="1:8" x14ac:dyDescent="0.3">
      <c r="A1141" s="34">
        <v>1140</v>
      </c>
      <c r="B1141" s="46" t="s">
        <v>62</v>
      </c>
      <c r="C1141" s="58">
        <v>46081.367245370369</v>
      </c>
      <c r="D1141" s="55" t="s">
        <v>12</v>
      </c>
      <c r="E1141" s="58">
        <v>46081.388090277767</v>
      </c>
      <c r="F1141" s="46" t="s">
        <v>2267</v>
      </c>
      <c r="G1141" s="46" t="s">
        <v>2268</v>
      </c>
      <c r="H1141" s="49">
        <v>3</v>
      </c>
    </row>
    <row r="1142" spans="1:8" x14ac:dyDescent="0.3">
      <c r="A1142" s="34">
        <v>1141</v>
      </c>
      <c r="B1142" s="46" t="s">
        <v>37</v>
      </c>
      <c r="C1142" s="58">
        <v>46081.369305555563</v>
      </c>
      <c r="D1142" s="55" t="s">
        <v>12</v>
      </c>
      <c r="E1142" s="58">
        <v>46081.390173611107</v>
      </c>
      <c r="F1142" s="46" t="s">
        <v>2269</v>
      </c>
      <c r="G1142" s="46" t="s">
        <v>2270</v>
      </c>
      <c r="H1142" s="49">
        <v>4</v>
      </c>
    </row>
    <row r="1143" spans="1:8" x14ac:dyDescent="0.3">
      <c r="A1143" s="34">
        <v>1142</v>
      </c>
      <c r="B1143" s="46" t="s">
        <v>70</v>
      </c>
      <c r="C1143" s="58">
        <v>46081.359282407408</v>
      </c>
      <c r="D1143" s="55" t="s">
        <v>12</v>
      </c>
      <c r="E1143" s="58">
        <v>46081.380115740743</v>
      </c>
      <c r="F1143" s="46" t="s">
        <v>2271</v>
      </c>
      <c r="G1143" s="46" t="s">
        <v>2272</v>
      </c>
      <c r="H1143" s="49">
        <v>3</v>
      </c>
    </row>
    <row r="1144" spans="1:8" x14ac:dyDescent="0.3">
      <c r="A1144" s="34">
        <v>1143</v>
      </c>
      <c r="B1144" s="46" t="s">
        <v>48</v>
      </c>
      <c r="C1144" s="58">
        <v>46081.360717592594</v>
      </c>
      <c r="D1144" s="55" t="s">
        <v>12</v>
      </c>
      <c r="E1144" s="58">
        <v>46081.381562499999</v>
      </c>
      <c r="F1144" s="46" t="s">
        <v>2273</v>
      </c>
      <c r="G1144" s="46" t="s">
        <v>140</v>
      </c>
      <c r="H1144" s="49">
        <v>3</v>
      </c>
    </row>
    <row r="1145" spans="1:8" x14ac:dyDescent="0.3">
      <c r="A1145" s="34">
        <v>1144</v>
      </c>
      <c r="B1145" s="46" t="s">
        <v>29</v>
      </c>
      <c r="C1145" s="58">
        <v>46081.037361111114</v>
      </c>
      <c r="D1145" s="55" t="s">
        <v>12</v>
      </c>
      <c r="E1145" s="58">
        <v>46081.058217592603</v>
      </c>
      <c r="F1145" s="46" t="s">
        <v>2274</v>
      </c>
      <c r="G1145" s="46" t="s">
        <v>2061</v>
      </c>
      <c r="H1145" s="49">
        <v>3</v>
      </c>
    </row>
    <row r="1146" spans="1:8" x14ac:dyDescent="0.3">
      <c r="A1146" s="34">
        <v>1145</v>
      </c>
      <c r="B1146" s="46" t="s">
        <v>57</v>
      </c>
      <c r="C1146" s="58">
        <v>46081.609120370369</v>
      </c>
      <c r="D1146" s="55" t="s">
        <v>12</v>
      </c>
      <c r="E1146" s="58">
        <v>46081.63</v>
      </c>
      <c r="F1146" s="46" t="s">
        <v>2275</v>
      </c>
      <c r="G1146" s="46" t="s">
        <v>2276</v>
      </c>
      <c r="H1146" s="49">
        <v>3</v>
      </c>
    </row>
    <row r="1147" spans="1:8" x14ac:dyDescent="0.3">
      <c r="A1147" s="34">
        <v>1146</v>
      </c>
      <c r="B1147" s="46" t="s">
        <v>65</v>
      </c>
      <c r="C1147" s="58">
        <v>46081.389131944437</v>
      </c>
      <c r="D1147" s="55" t="s">
        <v>12</v>
      </c>
      <c r="E1147" s="58">
        <v>46081.40996527778</v>
      </c>
      <c r="F1147" s="46" t="s">
        <v>2277</v>
      </c>
      <c r="G1147" s="46" t="s">
        <v>2278</v>
      </c>
      <c r="H1147" s="49">
        <v>4</v>
      </c>
    </row>
    <row r="1148" spans="1:8" x14ac:dyDescent="0.3">
      <c r="A1148" s="34">
        <v>1147</v>
      </c>
      <c r="B1148" s="46" t="s">
        <v>73</v>
      </c>
      <c r="C1148" s="58">
        <v>46081.36755787037</v>
      </c>
      <c r="D1148" s="55" t="s">
        <v>12</v>
      </c>
      <c r="E1148" s="58">
        <v>46081.388437499998</v>
      </c>
      <c r="F1148" s="46" t="s">
        <v>2279</v>
      </c>
      <c r="G1148" s="46" t="s">
        <v>2280</v>
      </c>
      <c r="H1148" s="49">
        <v>4</v>
      </c>
    </row>
    <row r="1149" spans="1:8" x14ac:dyDescent="0.3">
      <c r="A1149" s="34">
        <v>1148</v>
      </c>
      <c r="B1149" s="46" t="s">
        <v>56</v>
      </c>
      <c r="C1149" s="58">
        <v>46081.355185185188</v>
      </c>
      <c r="D1149" s="55" t="s">
        <v>12</v>
      </c>
      <c r="E1149" s="58">
        <v>46081.376030092593</v>
      </c>
      <c r="F1149" s="46" t="s">
        <v>2281</v>
      </c>
      <c r="G1149" s="46" t="s">
        <v>2061</v>
      </c>
      <c r="H1149" s="49">
        <v>4</v>
      </c>
    </row>
    <row r="1150" spans="1:8" x14ac:dyDescent="0.3">
      <c r="A1150" s="34">
        <v>1149</v>
      </c>
      <c r="B1150" s="46" t="s">
        <v>58</v>
      </c>
      <c r="C1150" s="58">
        <v>46081.375347222223</v>
      </c>
      <c r="D1150" s="55" t="s">
        <v>12</v>
      </c>
      <c r="E1150" s="58">
        <v>46081.396215277768</v>
      </c>
      <c r="F1150" s="46" t="s">
        <v>2282</v>
      </c>
      <c r="G1150" s="46" t="s">
        <v>2103</v>
      </c>
      <c r="H1150" s="49">
        <v>3</v>
      </c>
    </row>
    <row r="1151" spans="1:8" x14ac:dyDescent="0.3">
      <c r="A1151" s="34">
        <v>1150</v>
      </c>
      <c r="B1151" s="46" t="s">
        <v>40</v>
      </c>
      <c r="C1151" s="58">
        <v>46081.344583333332</v>
      </c>
      <c r="D1151" s="55" t="s">
        <v>12</v>
      </c>
      <c r="E1151" s="58">
        <v>46081.365428240737</v>
      </c>
      <c r="F1151" s="46" t="s">
        <v>2283</v>
      </c>
      <c r="G1151" s="46" t="s">
        <v>2061</v>
      </c>
      <c r="H1151" s="49">
        <v>3</v>
      </c>
    </row>
    <row r="1152" spans="1:8" x14ac:dyDescent="0.3">
      <c r="A1152" s="34">
        <v>1151</v>
      </c>
      <c r="B1152" s="46" t="s">
        <v>33</v>
      </c>
      <c r="C1152" s="58">
        <v>46081.377615740741</v>
      </c>
      <c r="D1152" s="55" t="s">
        <v>12</v>
      </c>
      <c r="E1152" s="58">
        <v>46081.3984837963</v>
      </c>
      <c r="F1152" s="46" t="s">
        <v>2284</v>
      </c>
      <c r="G1152" s="46" t="s">
        <v>2285</v>
      </c>
      <c r="H1152" s="49">
        <v>3</v>
      </c>
    </row>
    <row r="1153" spans="1:8" x14ac:dyDescent="0.3">
      <c r="A1153" s="34">
        <v>1152</v>
      </c>
      <c r="B1153" s="46" t="s">
        <v>63</v>
      </c>
      <c r="C1153" s="58">
        <v>46081.349675925929</v>
      </c>
      <c r="D1153" s="55" t="s">
        <v>12</v>
      </c>
      <c r="E1153" s="58">
        <v>46081.370532407411</v>
      </c>
      <c r="F1153" s="46" t="s">
        <v>2286</v>
      </c>
      <c r="G1153" s="46" t="s">
        <v>2287</v>
      </c>
      <c r="H1153" s="49">
        <v>5</v>
      </c>
    </row>
    <row r="1154" spans="1:8" x14ac:dyDescent="0.3">
      <c r="A1154" s="34">
        <v>1153</v>
      </c>
      <c r="B1154" s="46" t="s">
        <v>44</v>
      </c>
      <c r="C1154" s="58">
        <v>46081.358935185177</v>
      </c>
      <c r="D1154" s="55" t="s">
        <v>12</v>
      </c>
      <c r="E1154" s="58">
        <v>46081.379814814813</v>
      </c>
      <c r="F1154" s="46" t="s">
        <v>2288</v>
      </c>
      <c r="G1154" s="46" t="s">
        <v>2289</v>
      </c>
      <c r="H1154" s="49">
        <v>4</v>
      </c>
    </row>
    <row r="1155" spans="1:8" x14ac:dyDescent="0.3">
      <c r="A1155" s="34">
        <v>1154</v>
      </c>
      <c r="B1155" s="46" t="s">
        <v>46</v>
      </c>
      <c r="C1155" s="58">
        <v>46081.373171296298</v>
      </c>
      <c r="D1155" s="55" t="s">
        <v>12</v>
      </c>
      <c r="E1155" s="58">
        <v>46081.394016203703</v>
      </c>
      <c r="F1155" s="46" t="s">
        <v>2290</v>
      </c>
      <c r="G1155" s="46" t="s">
        <v>2247</v>
      </c>
      <c r="H1155" s="49">
        <v>3</v>
      </c>
    </row>
    <row r="1156" spans="1:8" x14ac:dyDescent="0.3">
      <c r="A1156" s="34">
        <v>1155</v>
      </c>
      <c r="B1156" s="46" t="s">
        <v>67</v>
      </c>
      <c r="C1156" s="58">
        <v>46081.353425925918</v>
      </c>
      <c r="D1156" s="55" t="s">
        <v>12</v>
      </c>
      <c r="E1156" s="58">
        <v>46081.374293981477</v>
      </c>
      <c r="F1156" s="46" t="s">
        <v>2291</v>
      </c>
      <c r="G1156" s="46" t="s">
        <v>2292</v>
      </c>
      <c r="H1156" s="49">
        <v>3</v>
      </c>
    </row>
    <row r="1157" spans="1:8" x14ac:dyDescent="0.3">
      <c r="A1157" s="34">
        <v>1156</v>
      </c>
      <c r="B1157" s="46" t="s">
        <v>59</v>
      </c>
      <c r="C1157" s="58">
        <v>46081.372939814813</v>
      </c>
      <c r="D1157" s="55" t="s">
        <v>12</v>
      </c>
      <c r="E1157" s="58">
        <v>46081.393784722219</v>
      </c>
      <c r="F1157" s="46" t="s">
        <v>2293</v>
      </c>
      <c r="G1157" s="46" t="s">
        <v>2294</v>
      </c>
      <c r="H1157" s="49">
        <v>3</v>
      </c>
    </row>
    <row r="1158" spans="1:8" x14ac:dyDescent="0.3">
      <c r="A1158" s="34">
        <v>1157</v>
      </c>
      <c r="B1158" s="46" t="s">
        <v>55</v>
      </c>
      <c r="C1158" s="58">
        <v>46081.34783564815</v>
      </c>
      <c r="D1158" s="55" t="s">
        <v>12</v>
      </c>
      <c r="E1158" s="58">
        <v>46081.368680555563</v>
      </c>
      <c r="F1158" s="46" t="s">
        <v>2295</v>
      </c>
      <c r="G1158" s="46" t="s">
        <v>2296</v>
      </c>
      <c r="H1158" s="49">
        <v>4</v>
      </c>
    </row>
    <row r="1159" spans="1:8" x14ac:dyDescent="0.3">
      <c r="A1159" s="34">
        <v>1158</v>
      </c>
      <c r="B1159" s="46" t="s">
        <v>49</v>
      </c>
      <c r="C1159" s="58">
        <v>46081.354050925933</v>
      </c>
      <c r="D1159" s="55" t="s">
        <v>12</v>
      </c>
      <c r="E1159" s="58">
        <v>46081.374942129631</v>
      </c>
      <c r="F1159" s="46" t="s">
        <v>2297</v>
      </c>
      <c r="G1159" s="46" t="s">
        <v>2298</v>
      </c>
      <c r="H1159" s="49">
        <v>4</v>
      </c>
    </row>
    <row r="1160" spans="1:8" x14ac:dyDescent="0.3">
      <c r="A1160" s="34">
        <v>1159</v>
      </c>
      <c r="B1160" s="46" t="s">
        <v>68</v>
      </c>
      <c r="C1160" s="58">
        <v>46081.35083333333</v>
      </c>
      <c r="D1160" s="55" t="s">
        <v>12</v>
      </c>
      <c r="E1160" s="58">
        <v>46081.371689814812</v>
      </c>
      <c r="F1160" s="46" t="s">
        <v>2299</v>
      </c>
      <c r="G1160" s="46" t="s">
        <v>2300</v>
      </c>
      <c r="H1160" s="49">
        <v>4</v>
      </c>
    </row>
    <row r="1161" spans="1:8" x14ac:dyDescent="0.3">
      <c r="A1161" s="34">
        <v>1160</v>
      </c>
      <c r="B1161" s="46" t="s">
        <v>52</v>
      </c>
      <c r="C1161" s="58">
        <v>46081.389409722222</v>
      </c>
      <c r="D1161" s="55" t="s">
        <v>12</v>
      </c>
      <c r="E1161" s="58">
        <v>46081.410254629627</v>
      </c>
      <c r="F1161" s="46" t="s">
        <v>2301</v>
      </c>
      <c r="G1161" s="46" t="s">
        <v>2302</v>
      </c>
      <c r="H1161" s="49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1"/>
  <sheetViews>
    <sheetView workbookViewId="0">
      <pane ySplit="1" topLeftCell="A284" activePane="bottomLeft" state="frozen"/>
      <selection pane="bottomLeft" activeCell="E304" sqref="E304:E311"/>
    </sheetView>
  </sheetViews>
  <sheetFormatPr defaultColWidth="8.88671875" defaultRowHeight="13.2" x14ac:dyDescent="0.3"/>
  <cols>
    <col min="1" max="1" width="4.77734375" style="6" customWidth="1"/>
    <col min="2" max="2" width="8.77734375" style="6" bestFit="1" customWidth="1"/>
    <col min="3" max="3" width="14.33203125" style="61" bestFit="1" customWidth="1"/>
    <col min="4" max="4" width="14" style="60" bestFit="1" customWidth="1"/>
    <col min="5" max="5" width="27.21875" style="6" bestFit="1" customWidth="1"/>
    <col min="6" max="6" width="142.44140625" style="6" bestFit="1" customWidth="1"/>
    <col min="7" max="7" width="67.109375" style="6" bestFit="1" customWidth="1"/>
    <col min="8" max="8" width="17.5546875" style="6" bestFit="1" customWidth="1"/>
    <col min="9" max="11" width="8.88671875" style="6" customWidth="1"/>
    <col min="12" max="16384" width="8.88671875" style="6"/>
  </cols>
  <sheetData>
    <row r="1" spans="1:8" x14ac:dyDescent="0.3">
      <c r="A1" s="42" t="s">
        <v>74</v>
      </c>
      <c r="B1" s="43" t="s">
        <v>18</v>
      </c>
      <c r="C1" s="57" t="s">
        <v>76</v>
      </c>
      <c r="D1" s="54" t="s">
        <v>11</v>
      </c>
      <c r="E1" s="43" t="s">
        <v>2303</v>
      </c>
      <c r="F1" s="43" t="s">
        <v>78</v>
      </c>
      <c r="G1" s="43" t="s">
        <v>79</v>
      </c>
      <c r="H1" s="44" t="s">
        <v>2304</v>
      </c>
    </row>
    <row r="2" spans="1:8" x14ac:dyDescent="0.3">
      <c r="A2" s="46">
        <v>1</v>
      </c>
      <c r="B2" s="46" t="s">
        <v>60</v>
      </c>
      <c r="C2" s="58">
        <v>46054.491712962961</v>
      </c>
      <c r="D2" s="55" t="s">
        <v>82</v>
      </c>
      <c r="E2" s="45" t="str">
        <f>VLOOKUP(Table2[[#This Row],[Row Labels]],[1]Sheet2!$B:$E,4,0)</f>
        <v>OMAR SWALEH CHANINGA</v>
      </c>
      <c r="F2" s="46" t="s">
        <v>2305</v>
      </c>
      <c r="G2" s="46" t="s">
        <v>2306</v>
      </c>
      <c r="H2" s="46">
        <v>3</v>
      </c>
    </row>
    <row r="3" spans="1:8" x14ac:dyDescent="0.3">
      <c r="A3" s="46">
        <v>2</v>
      </c>
      <c r="B3" s="46" t="s">
        <v>502</v>
      </c>
      <c r="C3" s="58">
        <v>46054.71</v>
      </c>
      <c r="D3" s="55" t="s">
        <v>82</v>
      </c>
      <c r="E3" s="45" t="str">
        <f>VLOOKUP(Table2[[#This Row],[Row Labels]],[1]Sheet2!$B:$E,4,0)</f>
        <v>ISAYA MSHUKURU MMBANDO</v>
      </c>
      <c r="F3" s="46" t="s">
        <v>2307</v>
      </c>
      <c r="G3" s="46" t="s">
        <v>2308</v>
      </c>
      <c r="H3" s="46">
        <v>3</v>
      </c>
    </row>
    <row r="4" spans="1:8" x14ac:dyDescent="0.3">
      <c r="A4" s="46">
        <v>3</v>
      </c>
      <c r="B4" s="46" t="s">
        <v>2309</v>
      </c>
      <c r="C4" s="58">
        <v>46054.275671296287</v>
      </c>
      <c r="D4" s="55" t="s">
        <v>82</v>
      </c>
      <c r="E4" s="45" t="str">
        <f>VLOOKUP(Table2[[#This Row],[Row Labels]],[1]Sheet2!$B:$E,4,0)</f>
        <v>SAID RAJABU RAJABU</v>
      </c>
      <c r="F4" s="46" t="s">
        <v>2310</v>
      </c>
      <c r="G4" s="46" t="s">
        <v>2311</v>
      </c>
      <c r="H4" s="46">
        <v>4</v>
      </c>
    </row>
    <row r="5" spans="1:8" x14ac:dyDescent="0.3">
      <c r="A5" s="46">
        <v>4</v>
      </c>
      <c r="B5" s="46" t="s">
        <v>120</v>
      </c>
      <c r="C5" s="58">
        <v>46054.558229166672</v>
      </c>
      <c r="D5" s="55" t="s">
        <v>82</v>
      </c>
      <c r="E5" s="45" t="str">
        <f>VLOOKUP(Table2[[#This Row],[Row Labels]],[1]Sheet2!$B:$E,4,0)</f>
        <v>YUSUFU  SAMSON NICODEMUS</v>
      </c>
      <c r="F5" s="46" t="s">
        <v>2312</v>
      </c>
      <c r="G5" s="46" t="s">
        <v>2313</v>
      </c>
      <c r="H5" s="46">
        <v>3</v>
      </c>
    </row>
    <row r="6" spans="1:8" x14ac:dyDescent="0.3">
      <c r="A6" s="46">
        <v>5</v>
      </c>
      <c r="B6" s="46" t="s">
        <v>1157</v>
      </c>
      <c r="C6" s="58">
        <v>46054.393576388888</v>
      </c>
      <c r="D6" s="55" t="s">
        <v>82</v>
      </c>
      <c r="E6" s="45" t="str">
        <f>VLOOKUP(Table2[[#This Row],[Row Labels]],[1]Sheet2!$B:$E,4,0)</f>
        <v>JAMES JOSEPH NJAU</v>
      </c>
      <c r="F6" s="46" t="s">
        <v>2314</v>
      </c>
      <c r="G6" s="46" t="s">
        <v>2315</v>
      </c>
      <c r="H6" s="46">
        <v>4</v>
      </c>
    </row>
    <row r="7" spans="1:8" x14ac:dyDescent="0.3">
      <c r="A7" s="46">
        <v>6</v>
      </c>
      <c r="B7" s="46" t="s">
        <v>130</v>
      </c>
      <c r="C7" s="58">
        <v>46054.524224537039</v>
      </c>
      <c r="D7" s="55" t="s">
        <v>82</v>
      </c>
      <c r="E7" s="45" t="str">
        <f>VLOOKUP(Table2[[#This Row],[Row Labels]],[1]Sheet2!$B:$E,4,0)</f>
        <v>RAJABU MOHAMED MATUA</v>
      </c>
      <c r="F7" s="46" t="s">
        <v>2316</v>
      </c>
      <c r="G7" s="46" t="s">
        <v>2317</v>
      </c>
      <c r="H7" s="46">
        <v>11</v>
      </c>
    </row>
    <row r="8" spans="1:8" x14ac:dyDescent="0.3">
      <c r="A8" s="46">
        <v>7</v>
      </c>
      <c r="B8" s="46" t="s">
        <v>135</v>
      </c>
      <c r="C8" s="58">
        <v>46054.531412037039</v>
      </c>
      <c r="D8" s="55" t="s">
        <v>82</v>
      </c>
      <c r="E8" s="45" t="str">
        <f>VLOOKUP(Table2[[#This Row],[Row Labels]],[1]Sheet2!$B:$E,4,0)</f>
        <v>BASHIRU ABDALLA HUSSEIN</v>
      </c>
      <c r="F8" s="46" t="s">
        <v>2318</v>
      </c>
      <c r="G8" s="46" t="s">
        <v>2319</v>
      </c>
      <c r="H8" s="46">
        <v>6</v>
      </c>
    </row>
    <row r="9" spans="1:8" x14ac:dyDescent="0.3">
      <c r="A9" s="46">
        <v>8</v>
      </c>
      <c r="B9" s="46" t="s">
        <v>2320</v>
      </c>
      <c r="C9" s="58">
        <v>46054.389317129629</v>
      </c>
      <c r="D9" s="55" t="s">
        <v>82</v>
      </c>
      <c r="E9" s="45" t="str">
        <f>VLOOKUP(Table2[[#This Row],[Row Labels]],[1]Sheet2!$B:$E,4,0)</f>
        <v>RAMADHANI SHABANI WAGAMOYO</v>
      </c>
      <c r="F9" s="46" t="s">
        <v>2321</v>
      </c>
      <c r="G9" s="46" t="s">
        <v>2322</v>
      </c>
      <c r="H9" s="46">
        <v>3</v>
      </c>
    </row>
    <row r="10" spans="1:8" x14ac:dyDescent="0.3">
      <c r="A10" s="46">
        <v>9</v>
      </c>
      <c r="B10" s="46" t="s">
        <v>155</v>
      </c>
      <c r="C10" s="58">
        <v>46054.601898148147</v>
      </c>
      <c r="D10" s="55" t="s">
        <v>82</v>
      </c>
      <c r="E10" s="45" t="str">
        <f>VLOOKUP(Table2[[#This Row],[Row Labels]],[1]Sheet2!$B:$E,4,0)</f>
        <v>GABRIEL SHIJA MAHONA</v>
      </c>
      <c r="F10" s="46" t="s">
        <v>2323</v>
      </c>
      <c r="G10" s="46" t="s">
        <v>2324</v>
      </c>
      <c r="H10" s="46">
        <v>5</v>
      </c>
    </row>
    <row r="11" spans="1:8" x14ac:dyDescent="0.3">
      <c r="A11" s="46">
        <v>10</v>
      </c>
      <c r="B11" s="46" t="s">
        <v>440</v>
      </c>
      <c r="C11" s="58">
        <v>46054.548136574071</v>
      </c>
      <c r="D11" s="55" t="s">
        <v>82</v>
      </c>
      <c r="E11" s="45" t="str">
        <f>VLOOKUP(Table2[[#This Row],[Row Labels]],[1]Sheet2!$B:$E,4,0)</f>
        <v>RAMADHANI MBEZI OMARY</v>
      </c>
      <c r="F11" s="46" t="s">
        <v>2325</v>
      </c>
      <c r="G11" s="46" t="s">
        <v>2326</v>
      </c>
      <c r="H11" s="46">
        <v>3</v>
      </c>
    </row>
    <row r="12" spans="1:8" x14ac:dyDescent="0.3">
      <c r="A12" s="46">
        <v>11</v>
      </c>
      <c r="B12" s="46" t="s">
        <v>838</v>
      </c>
      <c r="C12" s="58">
        <v>46054.37568287037</v>
      </c>
      <c r="D12" s="55" t="s">
        <v>82</v>
      </c>
      <c r="E12" s="45" t="str">
        <f>VLOOKUP(Table2[[#This Row],[Row Labels]],[1]Sheet2!$B:$E,4,0)</f>
        <v>RAJABU HUSSEIN AHMAD</v>
      </c>
      <c r="F12" s="46" t="s">
        <v>2327</v>
      </c>
      <c r="G12" s="46" t="s">
        <v>2313</v>
      </c>
      <c r="H12" s="46">
        <v>4</v>
      </c>
    </row>
    <row r="13" spans="1:8" x14ac:dyDescent="0.3">
      <c r="A13" s="46">
        <v>12</v>
      </c>
      <c r="B13" s="46" t="s">
        <v>99</v>
      </c>
      <c r="C13" s="58">
        <v>46055.48170138889</v>
      </c>
      <c r="D13" s="55" t="s">
        <v>284</v>
      </c>
      <c r="E13" s="45" t="str">
        <f>VLOOKUP(Table2[[#This Row],[Row Labels]],[1]Sheet2!$B:$E,4,0)</f>
        <v>FRANCIS ERNEST KIBULA</v>
      </c>
      <c r="F13" s="46" t="s">
        <v>2328</v>
      </c>
      <c r="G13" s="46" t="s">
        <v>2329</v>
      </c>
      <c r="H13" s="46">
        <v>27</v>
      </c>
    </row>
    <row r="14" spans="1:8" x14ac:dyDescent="0.3">
      <c r="A14" s="46">
        <v>13</v>
      </c>
      <c r="B14" s="46" t="s">
        <v>1597</v>
      </c>
      <c r="C14" s="58">
        <v>46055.566435185188</v>
      </c>
      <c r="D14" s="55" t="s">
        <v>284</v>
      </c>
      <c r="E14" s="45" t="str">
        <f>VLOOKUP(Table2[[#This Row],[Row Labels]],[1]Sheet2!$B:$E,4,0)</f>
        <v>JUMA KOBA SAID</v>
      </c>
      <c r="F14" s="46" t="s">
        <v>2330</v>
      </c>
      <c r="G14" s="46" t="s">
        <v>2331</v>
      </c>
      <c r="H14" s="46">
        <v>3</v>
      </c>
    </row>
    <row r="15" spans="1:8" x14ac:dyDescent="0.3">
      <c r="A15" s="46">
        <v>14</v>
      </c>
      <c r="B15" s="46" t="s">
        <v>120</v>
      </c>
      <c r="C15" s="58">
        <v>46055.395787037043</v>
      </c>
      <c r="D15" s="55" t="s">
        <v>284</v>
      </c>
      <c r="E15" s="45" t="str">
        <f>VLOOKUP(Table2[[#This Row],[Row Labels]],[1]Sheet2!$B:$E,4,0)</f>
        <v>YUSUFU  SAMSON NICODEMUS</v>
      </c>
      <c r="F15" s="46" t="s">
        <v>2332</v>
      </c>
      <c r="G15" s="46" t="s">
        <v>2311</v>
      </c>
      <c r="H15" s="46">
        <v>4</v>
      </c>
    </row>
    <row r="16" spans="1:8" x14ac:dyDescent="0.3">
      <c r="A16" s="46">
        <v>15</v>
      </c>
      <c r="B16" s="46" t="s">
        <v>1767</v>
      </c>
      <c r="C16" s="58">
        <v>46055.61241898148</v>
      </c>
      <c r="D16" s="55" t="s">
        <v>284</v>
      </c>
      <c r="E16" s="45" t="str">
        <f>VLOOKUP(Table2[[#This Row],[Row Labels]],[1]Sheet2!$B:$E,4,0)</f>
        <v>CHARLES LONGIN MASESA</v>
      </c>
      <c r="F16" s="46" t="s">
        <v>2333</v>
      </c>
      <c r="G16" s="46" t="s">
        <v>2334</v>
      </c>
      <c r="H16" s="46">
        <v>3</v>
      </c>
    </row>
    <row r="17" spans="1:8" x14ac:dyDescent="0.3">
      <c r="A17" s="46">
        <v>16</v>
      </c>
      <c r="B17" s="46" t="s">
        <v>161</v>
      </c>
      <c r="C17" s="58">
        <v>46055.324791666673</v>
      </c>
      <c r="D17" s="55" t="s">
        <v>284</v>
      </c>
      <c r="E17" s="45" t="str">
        <f>VLOOKUP(Table2[[#This Row],[Row Labels]],[1]Sheet2!$B:$E,4,0)</f>
        <v>FRENK PETER SIMBEYE</v>
      </c>
      <c r="F17" s="46" t="s">
        <v>2335</v>
      </c>
      <c r="G17" s="46" t="s">
        <v>2336</v>
      </c>
      <c r="H17" s="46">
        <v>3</v>
      </c>
    </row>
    <row r="18" spans="1:8" x14ac:dyDescent="0.3">
      <c r="A18" s="46">
        <v>17</v>
      </c>
      <c r="B18" s="46" t="s">
        <v>214</v>
      </c>
      <c r="C18" s="58">
        <v>46055.335127314807</v>
      </c>
      <c r="D18" s="55" t="s">
        <v>284</v>
      </c>
      <c r="E18" s="45" t="str">
        <f>VLOOKUP(Table2[[#This Row],[Row Labels]],[1]Sheet2!$B:$E,4,0)</f>
        <v>KHALIDY MOHAMEDY KIDOMO</v>
      </c>
      <c r="F18" s="46" t="s">
        <v>2337</v>
      </c>
      <c r="G18" s="46" t="s">
        <v>2338</v>
      </c>
      <c r="H18" s="46">
        <v>4</v>
      </c>
    </row>
    <row r="19" spans="1:8" x14ac:dyDescent="0.3">
      <c r="A19" s="46">
        <v>18</v>
      </c>
      <c r="B19" s="46" t="s">
        <v>355</v>
      </c>
      <c r="C19" s="58">
        <v>46055.264201388891</v>
      </c>
      <c r="D19" s="55" t="s">
        <v>284</v>
      </c>
      <c r="E19" s="45" t="str">
        <f>VLOOKUP(Table2[[#This Row],[Row Labels]],[1]Sheet2!$B:$E,4,0)</f>
        <v>ELIA JUMA NZOWA</v>
      </c>
      <c r="F19" s="46" t="s">
        <v>2339</v>
      </c>
      <c r="G19" s="46" t="s">
        <v>2340</v>
      </c>
      <c r="H19" s="46">
        <v>31</v>
      </c>
    </row>
    <row r="20" spans="1:8" x14ac:dyDescent="0.3">
      <c r="A20" s="46">
        <v>19</v>
      </c>
      <c r="B20" s="46" t="s">
        <v>1480</v>
      </c>
      <c r="C20" s="58">
        <v>46055.411805555559</v>
      </c>
      <c r="D20" s="55" t="s">
        <v>284</v>
      </c>
      <c r="E20" s="45" t="str">
        <f>VLOOKUP(Table2[[#This Row],[Row Labels]],[1]Sheet2!$B:$E,4,0)</f>
        <v>MAKERE GACHUMA MAKERE</v>
      </c>
      <c r="F20" s="46" t="s">
        <v>2341</v>
      </c>
      <c r="G20" s="46" t="s">
        <v>2342</v>
      </c>
      <c r="H20" s="46">
        <v>3</v>
      </c>
    </row>
    <row r="21" spans="1:8" x14ac:dyDescent="0.3">
      <c r="A21" s="46">
        <v>20</v>
      </c>
      <c r="B21" s="46" t="s">
        <v>491</v>
      </c>
      <c r="C21" s="58">
        <v>46056.499178240738</v>
      </c>
      <c r="D21" s="55" t="s">
        <v>386</v>
      </c>
      <c r="E21" s="45" t="str">
        <f>VLOOKUP(Table2[[#This Row],[Row Labels]],[1]Sheet2!$B:$E,4,0)</f>
        <v>GODFREY JOHN ANTHONY KUNDI</v>
      </c>
      <c r="F21" s="46" t="s">
        <v>2343</v>
      </c>
      <c r="G21" s="46" t="s">
        <v>2344</v>
      </c>
      <c r="H21" s="46">
        <v>4</v>
      </c>
    </row>
    <row r="22" spans="1:8" x14ac:dyDescent="0.3">
      <c r="A22" s="46">
        <v>21</v>
      </c>
      <c r="B22" s="46" t="s">
        <v>1843</v>
      </c>
      <c r="C22" s="58">
        <v>46056.338009259263</v>
      </c>
      <c r="D22" s="55" t="s">
        <v>386</v>
      </c>
      <c r="E22" s="45" t="str">
        <f>VLOOKUP(Table2[[#This Row],[Row Labels]],[1]Sheet2!$B:$E,4,0)</f>
        <v>ISAYA JOHN MSENA</v>
      </c>
      <c r="F22" s="46"/>
      <c r="G22" s="46" t="s">
        <v>2345</v>
      </c>
      <c r="H22" s="46">
        <v>4</v>
      </c>
    </row>
    <row r="23" spans="1:8" x14ac:dyDescent="0.3">
      <c r="A23" s="46">
        <v>22</v>
      </c>
      <c r="B23" s="46" t="s">
        <v>292</v>
      </c>
      <c r="C23" s="58">
        <v>46056.362534722219</v>
      </c>
      <c r="D23" s="55" t="s">
        <v>386</v>
      </c>
      <c r="E23" s="45" t="str">
        <f>VLOOKUP(Table2[[#This Row],[Row Labels]],[1]Sheet2!$B:$E,4,0)</f>
        <v>ELIAH YUSUPH MPANGO</v>
      </c>
      <c r="F23" s="46" t="s">
        <v>2346</v>
      </c>
      <c r="G23" s="46" t="s">
        <v>2347</v>
      </c>
      <c r="H23" s="46">
        <v>5</v>
      </c>
    </row>
    <row r="24" spans="1:8" x14ac:dyDescent="0.3">
      <c r="A24" s="46">
        <v>23</v>
      </c>
      <c r="B24" s="46" t="s">
        <v>1597</v>
      </c>
      <c r="C24" s="58">
        <v>46056.374780092592</v>
      </c>
      <c r="D24" s="55" t="s">
        <v>386</v>
      </c>
      <c r="E24" s="45" t="str">
        <f>VLOOKUP(Table2[[#This Row],[Row Labels]],[1]Sheet2!$B:$E,4,0)</f>
        <v>JUMA KOBA SAID</v>
      </c>
      <c r="F24" s="46" t="s">
        <v>2348</v>
      </c>
      <c r="G24" s="46" t="s">
        <v>2349</v>
      </c>
      <c r="H24" s="46">
        <v>5</v>
      </c>
    </row>
    <row r="25" spans="1:8" x14ac:dyDescent="0.3">
      <c r="A25" s="46">
        <v>24</v>
      </c>
      <c r="B25" s="46" t="s">
        <v>1767</v>
      </c>
      <c r="C25" s="58">
        <v>46056.314201388886</v>
      </c>
      <c r="D25" s="55" t="s">
        <v>386</v>
      </c>
      <c r="E25" s="45" t="str">
        <f>VLOOKUP(Table2[[#This Row],[Row Labels]],[1]Sheet2!$B:$E,4,0)</f>
        <v>CHARLES LONGIN MASESA</v>
      </c>
      <c r="F25" s="46" t="s">
        <v>2348</v>
      </c>
      <c r="G25" s="46" t="s">
        <v>2350</v>
      </c>
      <c r="H25" s="46">
        <v>3</v>
      </c>
    </row>
    <row r="26" spans="1:8" x14ac:dyDescent="0.3">
      <c r="A26" s="46">
        <v>25</v>
      </c>
      <c r="B26" s="46" t="s">
        <v>186</v>
      </c>
      <c r="C26" s="58">
        <v>46056.266273148147</v>
      </c>
      <c r="D26" s="55" t="s">
        <v>386</v>
      </c>
      <c r="E26" s="45" t="str">
        <f>VLOOKUP(Table2[[#This Row],[Row Labels]],[1]Sheet2!$B:$E,4,0)</f>
        <v>ISMAIL KISANDU RUBASHA</v>
      </c>
      <c r="F26" s="46" t="s">
        <v>2351</v>
      </c>
      <c r="G26" s="46" t="s">
        <v>2352</v>
      </c>
      <c r="H26" s="46">
        <v>3</v>
      </c>
    </row>
    <row r="27" spans="1:8" x14ac:dyDescent="0.3">
      <c r="A27" s="46">
        <v>26</v>
      </c>
      <c r="B27" s="46" t="s">
        <v>355</v>
      </c>
      <c r="C27" s="58">
        <v>46056.272337962961</v>
      </c>
      <c r="D27" s="55" t="s">
        <v>386</v>
      </c>
      <c r="E27" s="45" t="str">
        <f>VLOOKUP(Table2[[#This Row],[Row Labels]],[1]Sheet2!$B:$E,4,0)</f>
        <v>ELIA JUMA NZOWA</v>
      </c>
      <c r="F27" s="46" t="s">
        <v>2353</v>
      </c>
      <c r="G27" s="46" t="s">
        <v>2354</v>
      </c>
      <c r="H27" s="46">
        <v>4</v>
      </c>
    </row>
    <row r="28" spans="1:8" x14ac:dyDescent="0.3">
      <c r="A28" s="46">
        <v>27</v>
      </c>
      <c r="B28" s="46" t="s">
        <v>478</v>
      </c>
      <c r="C28" s="58">
        <v>46056.484664351847</v>
      </c>
      <c r="D28" s="55" t="s">
        <v>386</v>
      </c>
      <c r="E28" s="45" t="str">
        <f>VLOOKUP(Table2[[#This Row],[Row Labels]],[1]Sheet2!$B:$E,4,0)</f>
        <v>OMARY SAID MTAJI</v>
      </c>
      <c r="F28" s="46" t="s">
        <v>2355</v>
      </c>
      <c r="G28" s="46" t="s">
        <v>2356</v>
      </c>
      <c r="H28" s="46">
        <v>4</v>
      </c>
    </row>
    <row r="29" spans="1:8" x14ac:dyDescent="0.3">
      <c r="A29" s="46">
        <v>28</v>
      </c>
      <c r="B29" s="46" t="s">
        <v>1814</v>
      </c>
      <c r="C29" s="58">
        <v>46056.316643518519</v>
      </c>
      <c r="D29" s="55" t="s">
        <v>386</v>
      </c>
      <c r="E29" s="45" t="str">
        <f>VLOOKUP(Table2[[#This Row],[Row Labels]],[1]Sheet2!$B:$E,4,0)</f>
        <v>ABDULHAFIDH RADMAN ALLY</v>
      </c>
      <c r="F29" s="46" t="s">
        <v>2357</v>
      </c>
      <c r="G29" s="46" t="s">
        <v>2358</v>
      </c>
      <c r="H29" s="46">
        <v>3</v>
      </c>
    </row>
    <row r="30" spans="1:8" x14ac:dyDescent="0.3">
      <c r="A30" s="46">
        <v>29</v>
      </c>
      <c r="B30" s="46" t="s">
        <v>1059</v>
      </c>
      <c r="C30" s="58">
        <v>46056.423043981478</v>
      </c>
      <c r="D30" s="55" t="s">
        <v>386</v>
      </c>
      <c r="E30" s="45" t="str">
        <f>VLOOKUP(Table2[[#This Row],[Row Labels]],[1]Sheet2!$B:$E,4,0)</f>
        <v>ALLY RASHID SAID</v>
      </c>
      <c r="F30" s="46" t="s">
        <v>2357</v>
      </c>
      <c r="G30" s="46" t="s">
        <v>2359</v>
      </c>
      <c r="H30" s="46">
        <v>4</v>
      </c>
    </row>
    <row r="31" spans="1:8" x14ac:dyDescent="0.3">
      <c r="A31" s="46">
        <v>30</v>
      </c>
      <c r="B31" s="46" t="s">
        <v>621</v>
      </c>
      <c r="C31" s="58">
        <v>46056.512604166674</v>
      </c>
      <c r="D31" s="55" t="s">
        <v>386</v>
      </c>
      <c r="E31" s="45" t="str">
        <f>VLOOKUP(Table2[[#This Row],[Row Labels]],[1]Sheet2!$B:$E,4,0)</f>
        <v>SALIMU SAIDI KIANDIKO</v>
      </c>
      <c r="F31" s="46" t="s">
        <v>2357</v>
      </c>
      <c r="G31" s="46" t="s">
        <v>2360</v>
      </c>
      <c r="H31" s="46">
        <v>3</v>
      </c>
    </row>
    <row r="32" spans="1:8" x14ac:dyDescent="0.3">
      <c r="A32" s="46">
        <v>31</v>
      </c>
      <c r="B32" s="46" t="s">
        <v>752</v>
      </c>
      <c r="C32" s="58">
        <v>46057.310682870368</v>
      </c>
      <c r="D32" s="55" t="s">
        <v>492</v>
      </c>
      <c r="E32" s="45" t="str">
        <f>VLOOKUP(Table2[[#This Row],[Row Labels]],[1]Sheet2!$B:$E,4,0)</f>
        <v>BAHATI ATHUMANI MDOE</v>
      </c>
      <c r="F32" s="46" t="s">
        <v>2361</v>
      </c>
      <c r="G32" s="46" t="s">
        <v>2362</v>
      </c>
      <c r="H32" s="46">
        <v>4</v>
      </c>
    </row>
    <row r="33" spans="1:8" x14ac:dyDescent="0.3">
      <c r="A33" s="46">
        <v>32</v>
      </c>
      <c r="B33" s="46" t="s">
        <v>500</v>
      </c>
      <c r="C33" s="58">
        <v>46057.261400462958</v>
      </c>
      <c r="D33" s="55" t="s">
        <v>492</v>
      </c>
      <c r="E33" s="45" t="str">
        <f>VLOOKUP(Table2[[#This Row],[Row Labels]],[1]Sheet2!$B:$E,4,0)</f>
        <v>BAKARI MOHAMEDI SAIDI</v>
      </c>
      <c r="F33" s="46" t="s">
        <v>2363</v>
      </c>
      <c r="G33" s="46" t="s">
        <v>2364</v>
      </c>
      <c r="H33" s="46">
        <v>4</v>
      </c>
    </row>
    <row r="34" spans="1:8" x14ac:dyDescent="0.3">
      <c r="A34" s="46">
        <v>33</v>
      </c>
      <c r="B34" s="46" t="s">
        <v>502</v>
      </c>
      <c r="C34" s="58">
        <v>46057.326331018521</v>
      </c>
      <c r="D34" s="55" t="s">
        <v>492</v>
      </c>
      <c r="E34" s="45" t="str">
        <f>VLOOKUP(Table2[[#This Row],[Row Labels]],[1]Sheet2!$B:$E,4,0)</f>
        <v>ISAYA MSHUKURU MMBANDO</v>
      </c>
      <c r="F34" s="46" t="s">
        <v>2365</v>
      </c>
      <c r="G34" s="46" t="s">
        <v>2366</v>
      </c>
      <c r="H34" s="46">
        <v>3</v>
      </c>
    </row>
    <row r="35" spans="1:8" x14ac:dyDescent="0.3">
      <c r="A35" s="46">
        <v>34</v>
      </c>
      <c r="B35" s="46" t="s">
        <v>656</v>
      </c>
      <c r="C35" s="58">
        <v>46057.386921296304</v>
      </c>
      <c r="D35" s="55" t="s">
        <v>492</v>
      </c>
      <c r="E35" s="45" t="str">
        <f>VLOOKUP(Table2[[#This Row],[Row Labels]],[1]Sheet2!$B:$E,4,0)</f>
        <v>HAMADI RASHID DOWILE</v>
      </c>
      <c r="F35" s="46" t="s">
        <v>2367</v>
      </c>
      <c r="G35" s="46" t="s">
        <v>2368</v>
      </c>
      <c r="H35" s="46">
        <v>3</v>
      </c>
    </row>
    <row r="36" spans="1:8" x14ac:dyDescent="0.3">
      <c r="A36" s="46">
        <v>35</v>
      </c>
      <c r="B36" s="46" t="s">
        <v>2320</v>
      </c>
      <c r="C36" s="58">
        <v>46057.263831018521</v>
      </c>
      <c r="D36" s="55" t="s">
        <v>492</v>
      </c>
      <c r="E36" s="45" t="str">
        <f>VLOOKUP(Table2[[#This Row],[Row Labels]],[1]Sheet2!$B:$E,4,0)</f>
        <v>RAMADHANI SHABANI WAGAMOYO</v>
      </c>
      <c r="F36" s="46" t="s">
        <v>2369</v>
      </c>
      <c r="G36" s="46" t="s">
        <v>2370</v>
      </c>
      <c r="H36" s="46">
        <v>4</v>
      </c>
    </row>
    <row r="37" spans="1:8" x14ac:dyDescent="0.3">
      <c r="A37" s="46">
        <v>36</v>
      </c>
      <c r="B37" s="46" t="s">
        <v>58</v>
      </c>
      <c r="C37" s="58">
        <v>46057.775520833333</v>
      </c>
      <c r="D37" s="55" t="s">
        <v>492</v>
      </c>
      <c r="E37" s="45" t="str">
        <f>VLOOKUP(Table2[[#This Row],[Row Labels]],[1]Sheet2!$B:$E,4,0)</f>
        <v>EZEKIEL AIZACK KIHANZA</v>
      </c>
      <c r="F37" s="46" t="s">
        <v>2371</v>
      </c>
      <c r="G37" s="46" t="s">
        <v>2372</v>
      </c>
      <c r="H37" s="46">
        <v>3</v>
      </c>
    </row>
    <row r="38" spans="1:8" x14ac:dyDescent="0.3">
      <c r="A38" s="46">
        <v>37</v>
      </c>
      <c r="B38" s="46" t="s">
        <v>1798</v>
      </c>
      <c r="C38" s="58">
        <v>46057.362696759257</v>
      </c>
      <c r="D38" s="55" t="s">
        <v>492</v>
      </c>
      <c r="E38" s="45" t="str">
        <f>VLOOKUP(Table2[[#This Row],[Row Labels]],[1]Sheet2!$B:$E,4,0)</f>
        <v>GERALD RAPHAEL SALAMALA</v>
      </c>
      <c r="F38" s="46" t="s">
        <v>2373</v>
      </c>
      <c r="G38" s="46" t="s">
        <v>2374</v>
      </c>
      <c r="H38" s="46">
        <v>3</v>
      </c>
    </row>
    <row r="39" spans="1:8" x14ac:dyDescent="0.3">
      <c r="A39" s="46">
        <v>38</v>
      </c>
      <c r="B39" s="46" t="s">
        <v>1042</v>
      </c>
      <c r="C39" s="58">
        <v>46057.458981481483</v>
      </c>
      <c r="D39" s="55" t="s">
        <v>492</v>
      </c>
      <c r="E39" s="45" t="str">
        <f>VLOOKUP(Table2[[#This Row],[Row Labels]],[1]Sheet2!$B:$E,4,0)</f>
        <v>ATHUMANI SHABAN KAUNDU</v>
      </c>
      <c r="F39" s="46" t="s">
        <v>2375</v>
      </c>
      <c r="G39" s="46" t="s">
        <v>2376</v>
      </c>
      <c r="H39" s="46">
        <v>3</v>
      </c>
    </row>
    <row r="40" spans="1:8" x14ac:dyDescent="0.3">
      <c r="A40" s="46">
        <v>39</v>
      </c>
      <c r="B40" s="46" t="s">
        <v>598</v>
      </c>
      <c r="C40" s="58">
        <v>46057.640162037038</v>
      </c>
      <c r="D40" s="55" t="s">
        <v>492</v>
      </c>
      <c r="E40" s="45" t="str">
        <f>VLOOKUP(Table2[[#This Row],[Row Labels]],[1]Sheet2!$B:$E,4,0)</f>
        <v>NIZAR HASHAM TIMBILI</v>
      </c>
      <c r="F40" s="46" t="s">
        <v>2377</v>
      </c>
      <c r="G40" s="46" t="s">
        <v>2378</v>
      </c>
      <c r="H40" s="46">
        <v>3</v>
      </c>
    </row>
    <row r="41" spans="1:8" x14ac:dyDescent="0.3">
      <c r="A41" s="46">
        <v>40</v>
      </c>
      <c r="B41" s="46" t="s">
        <v>261</v>
      </c>
      <c r="C41" s="58">
        <v>46057.439212962963</v>
      </c>
      <c r="D41" s="55" t="s">
        <v>492</v>
      </c>
      <c r="E41" s="45" t="str">
        <f>VLOOKUP(Table2[[#This Row],[Row Labels]],[1]Sheet2!$B:$E,4,0)</f>
        <v>ABDUL HASSAN SADICK</v>
      </c>
      <c r="F41" s="46" t="s">
        <v>2379</v>
      </c>
      <c r="G41" s="46" t="s">
        <v>2380</v>
      </c>
      <c r="H41" s="46">
        <v>3</v>
      </c>
    </row>
    <row r="42" spans="1:8" x14ac:dyDescent="0.3">
      <c r="A42" s="46">
        <v>41</v>
      </c>
      <c r="B42" s="46" t="s">
        <v>478</v>
      </c>
      <c r="C42" s="58">
        <v>46057.469375000001</v>
      </c>
      <c r="D42" s="55" t="s">
        <v>492</v>
      </c>
      <c r="E42" s="45" t="str">
        <f>VLOOKUP(Table2[[#This Row],[Row Labels]],[1]Sheet2!$B:$E,4,0)</f>
        <v>OMARY SAID MTAJI</v>
      </c>
      <c r="F42" s="46" t="s">
        <v>2381</v>
      </c>
      <c r="G42" s="46" t="s">
        <v>2311</v>
      </c>
      <c r="H42" s="46">
        <v>3</v>
      </c>
    </row>
    <row r="43" spans="1:8" x14ac:dyDescent="0.3">
      <c r="A43" s="46">
        <v>42</v>
      </c>
      <c r="B43" s="46" t="s">
        <v>618</v>
      </c>
      <c r="C43" s="58">
        <v>46057.431354166663</v>
      </c>
      <c r="D43" s="55" t="s">
        <v>492</v>
      </c>
      <c r="E43" s="45" t="str">
        <f>VLOOKUP(Table2[[#This Row],[Row Labels]],[1]Sheet2!$B:$E,4,0)</f>
        <v>PATRICK MSONGWA MWANJIBILI</v>
      </c>
      <c r="F43" s="46" t="s">
        <v>2382</v>
      </c>
      <c r="G43" s="46" t="s">
        <v>2383</v>
      </c>
      <c r="H43" s="46">
        <v>4</v>
      </c>
    </row>
    <row r="44" spans="1:8" x14ac:dyDescent="0.3">
      <c r="A44" s="46">
        <v>43</v>
      </c>
      <c r="B44" s="46" t="s">
        <v>377</v>
      </c>
      <c r="C44" s="58">
        <v>46057.380590277768</v>
      </c>
      <c r="D44" s="55" t="s">
        <v>492</v>
      </c>
      <c r="E44" s="45" t="str">
        <f>VLOOKUP(Table2[[#This Row],[Row Labels]],[1]Sheet2!$B:$E,4,0)</f>
        <v>ELIBAS EZEKIEL KITUNGWA</v>
      </c>
      <c r="F44" s="46" t="s">
        <v>2384</v>
      </c>
      <c r="G44" s="46" t="s">
        <v>2385</v>
      </c>
      <c r="H44" s="46">
        <v>8</v>
      </c>
    </row>
    <row r="45" spans="1:8" x14ac:dyDescent="0.3">
      <c r="A45" s="46">
        <v>44</v>
      </c>
      <c r="B45" s="46" t="s">
        <v>38</v>
      </c>
      <c r="C45" s="58">
        <v>46057.413530092592</v>
      </c>
      <c r="D45" s="55" t="s">
        <v>492</v>
      </c>
      <c r="E45" s="45" t="str">
        <f>VLOOKUP(Table2[[#This Row],[Row Labels]],[1]Sheet2!$B:$E,4,0)</f>
        <v>GODFREY FRANK MBOJA</v>
      </c>
      <c r="F45" s="46" t="s">
        <v>2386</v>
      </c>
      <c r="G45" s="46" t="s">
        <v>2387</v>
      </c>
      <c r="H45" s="46">
        <v>5</v>
      </c>
    </row>
    <row r="46" spans="1:8" x14ac:dyDescent="0.3">
      <c r="A46" s="46">
        <v>45</v>
      </c>
      <c r="B46" s="46" t="s">
        <v>885</v>
      </c>
      <c r="C46" s="58">
        <v>46057.741898148153</v>
      </c>
      <c r="D46" s="55" t="s">
        <v>492</v>
      </c>
      <c r="E46" s="45" t="str">
        <f>VLOOKUP(Table2[[#This Row],[Row Labels]],[1]Sheet2!$B:$E,4,0)</f>
        <v xml:space="preserve">CHRISTOPHER SAMWEL TITO </v>
      </c>
      <c r="F46" s="46" t="s">
        <v>2388</v>
      </c>
      <c r="G46" s="46" t="s">
        <v>2389</v>
      </c>
      <c r="H46" s="46">
        <v>3</v>
      </c>
    </row>
    <row r="47" spans="1:8" x14ac:dyDescent="0.3">
      <c r="A47" s="46">
        <v>46</v>
      </c>
      <c r="B47" s="46" t="s">
        <v>752</v>
      </c>
      <c r="C47" s="58">
        <v>46058.395277777781</v>
      </c>
      <c r="D47" s="55" t="s">
        <v>632</v>
      </c>
      <c r="E47" s="45" t="str">
        <f>VLOOKUP(Table2[[#This Row],[Row Labels]],[1]Sheet2!$B:$E,4,0)</f>
        <v>BAHATI ATHUMANI MDOE</v>
      </c>
      <c r="F47" s="46" t="s">
        <v>2390</v>
      </c>
      <c r="G47" s="46" t="s">
        <v>2391</v>
      </c>
      <c r="H47" s="46">
        <v>5</v>
      </c>
    </row>
    <row r="48" spans="1:8" x14ac:dyDescent="0.3">
      <c r="A48" s="46">
        <v>47</v>
      </c>
      <c r="B48" s="46" t="s">
        <v>502</v>
      </c>
      <c r="C48" s="58">
        <v>46058.33189814815</v>
      </c>
      <c r="D48" s="55" t="s">
        <v>632</v>
      </c>
      <c r="E48" s="45" t="str">
        <f>VLOOKUP(Table2[[#This Row],[Row Labels]],[1]Sheet2!$B:$E,4,0)</f>
        <v>ISAYA MSHUKURU MMBANDO</v>
      </c>
      <c r="F48" s="46" t="s">
        <v>2392</v>
      </c>
      <c r="G48" s="46" t="s">
        <v>2393</v>
      </c>
      <c r="H48" s="46">
        <v>8</v>
      </c>
    </row>
    <row r="49" spans="1:8" x14ac:dyDescent="0.3">
      <c r="A49" s="46">
        <v>48</v>
      </c>
      <c r="B49" s="46" t="s">
        <v>2026</v>
      </c>
      <c r="C49" s="58">
        <v>46058.488125000003</v>
      </c>
      <c r="D49" s="55" t="s">
        <v>632</v>
      </c>
      <c r="E49" s="45" t="str">
        <f>VLOOKUP(Table2[[#This Row],[Row Labels]],[1]Sheet2!$B:$E,4,0)</f>
        <v>IDD HUSSEIN KAZUBA</v>
      </c>
      <c r="F49" s="46" t="s">
        <v>2394</v>
      </c>
      <c r="G49" s="46" t="s">
        <v>2395</v>
      </c>
      <c r="H49" s="46">
        <v>3</v>
      </c>
    </row>
    <row r="50" spans="1:8" x14ac:dyDescent="0.3">
      <c r="A50" s="46">
        <v>49</v>
      </c>
      <c r="B50" s="46" t="s">
        <v>1604</v>
      </c>
      <c r="C50" s="58">
        <v>46058.351770833331</v>
      </c>
      <c r="D50" s="55" t="s">
        <v>632</v>
      </c>
      <c r="E50" s="45" t="str">
        <f>VLOOKUP(Table2[[#This Row],[Row Labels]],[1]Sheet2!$B:$E,4,0)</f>
        <v>OMARI SALIMU MOHAMEDI</v>
      </c>
      <c r="F50" s="46" t="s">
        <v>2396</v>
      </c>
      <c r="G50" s="46" t="s">
        <v>2397</v>
      </c>
      <c r="H50" s="46">
        <v>3</v>
      </c>
    </row>
    <row r="51" spans="1:8" x14ac:dyDescent="0.3">
      <c r="A51" s="46">
        <v>50</v>
      </c>
      <c r="B51" s="46" t="s">
        <v>51</v>
      </c>
      <c r="C51" s="58">
        <v>46058.339409722219</v>
      </c>
      <c r="D51" s="55" t="s">
        <v>632</v>
      </c>
      <c r="E51" s="45" t="str">
        <f>VLOOKUP(Table2[[#This Row],[Row Labels]],[1]Sheet2!$B:$E,4,0)</f>
        <v>JUMANNE ALLY NJECHELE</v>
      </c>
      <c r="F51" s="46" t="s">
        <v>2398</v>
      </c>
      <c r="G51" s="46" t="s">
        <v>2399</v>
      </c>
      <c r="H51" s="46">
        <v>3</v>
      </c>
    </row>
    <row r="52" spans="1:8" x14ac:dyDescent="0.3">
      <c r="A52" s="46">
        <v>51</v>
      </c>
      <c r="B52" s="46" t="s">
        <v>138</v>
      </c>
      <c r="C52" s="58">
        <v>46058.409155092602</v>
      </c>
      <c r="D52" s="55" t="s">
        <v>632</v>
      </c>
      <c r="E52" s="45" t="str">
        <f>VLOOKUP(Table2[[#This Row],[Row Labels]],[1]Sheet2!$B:$E,4,0)</f>
        <v>FADHILI SAIDI MTULILA</v>
      </c>
      <c r="F52" s="46" t="s">
        <v>2400</v>
      </c>
      <c r="G52" s="46" t="s">
        <v>2401</v>
      </c>
      <c r="H52" s="46">
        <v>6</v>
      </c>
    </row>
    <row r="53" spans="1:8" x14ac:dyDescent="0.3">
      <c r="A53" s="46">
        <v>52</v>
      </c>
      <c r="B53" s="46" t="s">
        <v>670</v>
      </c>
      <c r="C53" s="58">
        <v>46058.324687499997</v>
      </c>
      <c r="D53" s="55" t="s">
        <v>632</v>
      </c>
      <c r="E53" s="45" t="str">
        <f>VLOOKUP(Table2[[#This Row],[Row Labels]],[1]Sheet2!$B:$E,4,0)</f>
        <v>OMARI ABEDI MOKA</v>
      </c>
      <c r="F53" s="46" t="s">
        <v>2402</v>
      </c>
      <c r="G53" s="46" t="s">
        <v>2403</v>
      </c>
      <c r="H53" s="46">
        <v>3</v>
      </c>
    </row>
    <row r="54" spans="1:8" x14ac:dyDescent="0.3">
      <c r="A54" s="46">
        <v>53</v>
      </c>
      <c r="B54" s="46" t="s">
        <v>835</v>
      </c>
      <c r="C54" s="58">
        <v>46058.437199074076</v>
      </c>
      <c r="D54" s="55" t="s">
        <v>632</v>
      </c>
      <c r="E54" s="45" t="str">
        <f>VLOOKUP(Table2[[#This Row],[Row Labels]],[1]Sheet2!$B:$E,4,0)</f>
        <v>AHMED SAID LUWANDA</v>
      </c>
      <c r="F54" s="46" t="s">
        <v>2404</v>
      </c>
      <c r="G54" s="46" t="s">
        <v>2405</v>
      </c>
      <c r="H54" s="46">
        <v>4</v>
      </c>
    </row>
    <row r="55" spans="1:8" x14ac:dyDescent="0.3">
      <c r="A55" s="46">
        <v>54</v>
      </c>
      <c r="B55" s="46" t="s">
        <v>58</v>
      </c>
      <c r="C55" s="58">
        <v>46058.341365740736</v>
      </c>
      <c r="D55" s="55" t="s">
        <v>632</v>
      </c>
      <c r="E55" s="45" t="str">
        <f>VLOOKUP(Table2[[#This Row],[Row Labels]],[1]Sheet2!$B:$E,4,0)</f>
        <v>EZEKIEL AIZACK KIHANZA</v>
      </c>
      <c r="F55" s="46" t="s">
        <v>2406</v>
      </c>
      <c r="G55" s="46" t="s">
        <v>2407</v>
      </c>
      <c r="H55" s="46">
        <v>3</v>
      </c>
    </row>
    <row r="56" spans="1:8" x14ac:dyDescent="0.3">
      <c r="A56" s="46">
        <v>55</v>
      </c>
      <c r="B56" s="46" t="s">
        <v>598</v>
      </c>
      <c r="C56" s="58">
        <v>46058.373391203713</v>
      </c>
      <c r="D56" s="55" t="s">
        <v>632</v>
      </c>
      <c r="E56" s="45" t="str">
        <f>VLOOKUP(Table2[[#This Row],[Row Labels]],[1]Sheet2!$B:$E,4,0)</f>
        <v>NIZAR HASHAM TIMBILI</v>
      </c>
      <c r="F56" s="46" t="s">
        <v>2408</v>
      </c>
      <c r="G56" s="46" t="s">
        <v>2409</v>
      </c>
      <c r="H56" s="46">
        <v>9</v>
      </c>
    </row>
    <row r="57" spans="1:8" x14ac:dyDescent="0.3">
      <c r="A57" s="46">
        <v>56</v>
      </c>
      <c r="B57" s="46" t="s">
        <v>729</v>
      </c>
      <c r="C57" s="58">
        <v>46058.366053240738</v>
      </c>
      <c r="D57" s="55" t="s">
        <v>632</v>
      </c>
      <c r="E57" s="45" t="str">
        <f>VLOOKUP(Table2[[#This Row],[Row Labels]],[1]Sheet2!$B:$E,4,0)</f>
        <v>ISSACK KONRADI KASIANO</v>
      </c>
      <c r="F57" s="46" t="s">
        <v>2410</v>
      </c>
      <c r="G57" s="46" t="s">
        <v>2411</v>
      </c>
      <c r="H57" s="46">
        <v>5</v>
      </c>
    </row>
    <row r="58" spans="1:8" x14ac:dyDescent="0.3">
      <c r="A58" s="46">
        <v>57</v>
      </c>
      <c r="B58" s="46" t="s">
        <v>1663</v>
      </c>
      <c r="C58" s="58">
        <v>46058.567326388889</v>
      </c>
      <c r="D58" s="55" t="s">
        <v>632</v>
      </c>
      <c r="E58" s="45" t="str">
        <f>VLOOKUP(Table2[[#This Row],[Row Labels]],[1]Sheet2!$B:$E,4,0)</f>
        <v>HAMISI RAMADHANI SULTAN</v>
      </c>
      <c r="F58" s="46" t="s">
        <v>2412</v>
      </c>
      <c r="G58" s="46" t="s">
        <v>2413</v>
      </c>
      <c r="H58" s="46">
        <v>5</v>
      </c>
    </row>
    <row r="59" spans="1:8" x14ac:dyDescent="0.3">
      <c r="A59" s="46">
        <v>58</v>
      </c>
      <c r="B59" s="46" t="s">
        <v>377</v>
      </c>
      <c r="C59" s="58">
        <v>46058.486307870371</v>
      </c>
      <c r="D59" s="55" t="s">
        <v>632</v>
      </c>
      <c r="E59" s="45" t="str">
        <f>VLOOKUP(Table2[[#This Row],[Row Labels]],[1]Sheet2!$B:$E,4,0)</f>
        <v>ELIBAS EZEKIEL KITUNGWA</v>
      </c>
      <c r="F59" s="46" t="s">
        <v>2414</v>
      </c>
      <c r="G59" s="46" t="s">
        <v>2415</v>
      </c>
      <c r="H59" s="46">
        <v>4</v>
      </c>
    </row>
    <row r="60" spans="1:8" x14ac:dyDescent="0.3">
      <c r="A60" s="46">
        <v>59</v>
      </c>
      <c r="B60" s="46" t="s">
        <v>2018</v>
      </c>
      <c r="C60" s="58">
        <v>46058.630671296298</v>
      </c>
      <c r="D60" s="55" t="s">
        <v>632</v>
      </c>
      <c r="E60" s="45" t="str">
        <f>VLOOKUP(Table2[[#This Row],[Row Labels]],[1]Sheet2!$B:$E,4,0)</f>
        <v>YUNUS ABDILLAH SULEIMAN</v>
      </c>
      <c r="F60" s="46" t="s">
        <v>2416</v>
      </c>
      <c r="G60" s="46" t="s">
        <v>2417</v>
      </c>
      <c r="H60" s="46">
        <v>3</v>
      </c>
    </row>
    <row r="61" spans="1:8" x14ac:dyDescent="0.3">
      <c r="A61" s="46">
        <v>60</v>
      </c>
      <c r="B61" s="46" t="s">
        <v>1139</v>
      </c>
      <c r="C61" s="58">
        <v>46058.312025462961</v>
      </c>
      <c r="D61" s="55" t="s">
        <v>632</v>
      </c>
      <c r="E61" s="45" t="str">
        <f>VLOOKUP(Table2[[#This Row],[Row Labels]],[1]Sheet2!$B:$E,4,0)</f>
        <v>RAJABU ISSA OMARI</v>
      </c>
      <c r="F61" s="46" t="s">
        <v>2418</v>
      </c>
      <c r="G61" s="46" t="s">
        <v>2419</v>
      </c>
      <c r="H61" s="46">
        <v>6</v>
      </c>
    </row>
    <row r="62" spans="1:8" x14ac:dyDescent="0.3">
      <c r="A62" s="46">
        <v>61</v>
      </c>
      <c r="B62" s="46" t="s">
        <v>752</v>
      </c>
      <c r="C62" s="58">
        <v>46059.446377314824</v>
      </c>
      <c r="D62" s="55" t="s">
        <v>743</v>
      </c>
      <c r="E62" s="45" t="str">
        <f>VLOOKUP(Table2[[#This Row],[Row Labels]],[1]Sheet2!$B:$E,4,0)</f>
        <v>BAHATI ATHUMANI MDOE</v>
      </c>
      <c r="F62" s="46" t="s">
        <v>2420</v>
      </c>
      <c r="G62" s="46" t="s">
        <v>2421</v>
      </c>
      <c r="H62" s="46">
        <v>3</v>
      </c>
    </row>
    <row r="63" spans="1:8" x14ac:dyDescent="0.3">
      <c r="A63" s="46">
        <v>62</v>
      </c>
      <c r="B63" s="46" t="s">
        <v>1597</v>
      </c>
      <c r="C63" s="58">
        <v>46059.353125000001</v>
      </c>
      <c r="D63" s="55" t="s">
        <v>743</v>
      </c>
      <c r="E63" s="45" t="str">
        <f>VLOOKUP(Table2[[#This Row],[Row Labels]],[1]Sheet2!$B:$E,4,0)</f>
        <v>JUMA KOBA SAID</v>
      </c>
      <c r="F63" s="46" t="s">
        <v>2422</v>
      </c>
      <c r="G63" s="46" t="s">
        <v>2423</v>
      </c>
      <c r="H63" s="46">
        <v>4</v>
      </c>
    </row>
    <row r="64" spans="1:8" x14ac:dyDescent="0.3">
      <c r="A64" s="46">
        <v>63</v>
      </c>
      <c r="B64" s="46" t="s">
        <v>1197</v>
      </c>
      <c r="C64" s="58">
        <v>46059.390717592592</v>
      </c>
      <c r="D64" s="55" t="s">
        <v>743</v>
      </c>
      <c r="E64" s="45" t="str">
        <f>VLOOKUP(Table2[[#This Row],[Row Labels]],[1]Sheet2!$B:$E,4,0)</f>
        <v>MANASE JOHSON YINDI</v>
      </c>
      <c r="F64" s="46" t="s">
        <v>2424</v>
      </c>
      <c r="G64" s="46" t="s">
        <v>2425</v>
      </c>
      <c r="H64" s="46">
        <v>3</v>
      </c>
    </row>
    <row r="65" spans="1:8" x14ac:dyDescent="0.3">
      <c r="A65" s="46">
        <v>64</v>
      </c>
      <c r="B65" s="46" t="s">
        <v>853</v>
      </c>
      <c r="C65" s="58">
        <v>46059.714212962957</v>
      </c>
      <c r="D65" s="55" t="s">
        <v>743</v>
      </c>
      <c r="E65" s="45" t="str">
        <f>VLOOKUP(Table2[[#This Row],[Row Labels]],[1]Sheet2!$B:$E,4,0)</f>
        <v>ABUBAKAR JUMA YUSUPH</v>
      </c>
      <c r="F65" s="46" t="s">
        <v>2426</v>
      </c>
      <c r="G65" s="46" t="s">
        <v>2427</v>
      </c>
      <c r="H65" s="46">
        <v>3</v>
      </c>
    </row>
    <row r="66" spans="1:8" x14ac:dyDescent="0.3">
      <c r="A66" s="46">
        <v>65</v>
      </c>
      <c r="B66" s="46" t="s">
        <v>1814</v>
      </c>
      <c r="C66" s="58">
        <v>46059.359282407408</v>
      </c>
      <c r="D66" s="55" t="s">
        <v>743</v>
      </c>
      <c r="E66" s="45" t="str">
        <f>VLOOKUP(Table2[[#This Row],[Row Labels]],[1]Sheet2!$B:$E,4,0)</f>
        <v>ABDULHAFIDH RADMAN ALLY</v>
      </c>
      <c r="F66" s="46" t="s">
        <v>2428</v>
      </c>
      <c r="G66" s="46" t="s">
        <v>2429</v>
      </c>
      <c r="H66" s="46">
        <v>3</v>
      </c>
    </row>
    <row r="67" spans="1:8" x14ac:dyDescent="0.3">
      <c r="A67" s="46">
        <v>66</v>
      </c>
      <c r="B67" s="46" t="s">
        <v>1052</v>
      </c>
      <c r="C67" s="58">
        <v>46059.382939814823</v>
      </c>
      <c r="D67" s="55" t="s">
        <v>743</v>
      </c>
      <c r="E67" s="45" t="str">
        <f>VLOOKUP(Table2[[#This Row],[Row Labels]],[1]Sheet2!$B:$E,4,0)</f>
        <v>ATHONNY PAULO MDEDE</v>
      </c>
      <c r="F67" s="46" t="s">
        <v>2430</v>
      </c>
      <c r="G67" s="46" t="s">
        <v>2431</v>
      </c>
      <c r="H67" s="46">
        <v>3</v>
      </c>
    </row>
    <row r="68" spans="1:8" x14ac:dyDescent="0.3">
      <c r="A68" s="46">
        <v>67</v>
      </c>
      <c r="B68" s="46" t="s">
        <v>38</v>
      </c>
      <c r="C68" s="58">
        <v>46059.390462962961</v>
      </c>
      <c r="D68" s="55" t="s">
        <v>743</v>
      </c>
      <c r="E68" s="45" t="str">
        <f>VLOOKUP(Table2[[#This Row],[Row Labels]],[1]Sheet2!$B:$E,4,0)</f>
        <v>GODFREY FRANK MBOJA</v>
      </c>
      <c r="F68" s="46" t="s">
        <v>2432</v>
      </c>
      <c r="G68" s="46" t="s">
        <v>2433</v>
      </c>
      <c r="H68" s="46">
        <v>3</v>
      </c>
    </row>
    <row r="69" spans="1:8" x14ac:dyDescent="0.3">
      <c r="A69" s="46">
        <v>68</v>
      </c>
      <c r="B69" s="46" t="s">
        <v>907</v>
      </c>
      <c r="C69" s="58">
        <v>46060.313263888893</v>
      </c>
      <c r="D69" s="55" t="s">
        <v>897</v>
      </c>
      <c r="E69" s="45" t="str">
        <f>VLOOKUP(Table2[[#This Row],[Row Labels]],[1]Sheet2!$B:$E,4,0)</f>
        <v>MOHAMEDI IDDI KULWA</v>
      </c>
      <c r="F69" s="46" t="s">
        <v>2434</v>
      </c>
      <c r="G69" s="46" t="s">
        <v>2435</v>
      </c>
      <c r="H69" s="46">
        <v>8</v>
      </c>
    </row>
    <row r="70" spans="1:8" x14ac:dyDescent="0.3">
      <c r="A70" s="46">
        <v>69</v>
      </c>
      <c r="B70" s="46" t="s">
        <v>117</v>
      </c>
      <c r="C70" s="58">
        <v>46060.655821759261</v>
      </c>
      <c r="D70" s="55" t="s">
        <v>897</v>
      </c>
      <c r="E70" s="45" t="str">
        <f>VLOOKUP(Table2[[#This Row],[Row Labels]],[1]Sheet2!$B:$E,4,0)</f>
        <v>RASUL ZUBERY KAONDO</v>
      </c>
      <c r="F70" s="46" t="s">
        <v>2436</v>
      </c>
      <c r="G70" s="46" t="s">
        <v>2437</v>
      </c>
      <c r="H70" s="46">
        <v>3</v>
      </c>
    </row>
    <row r="71" spans="1:8" x14ac:dyDescent="0.3">
      <c r="A71" s="46">
        <v>70</v>
      </c>
      <c r="B71" s="46" t="s">
        <v>1319</v>
      </c>
      <c r="C71" s="58">
        <v>46060.531921296293</v>
      </c>
      <c r="D71" s="55" t="s">
        <v>897</v>
      </c>
      <c r="E71" s="45" t="str">
        <f>VLOOKUP(Table2[[#This Row],[Row Labels]],[1]Sheet2!$B:$E,4,0)</f>
        <v>SAID ASUMAN MUHOGO</v>
      </c>
      <c r="F71" s="46" t="s">
        <v>2438</v>
      </c>
      <c r="G71" s="46" t="s">
        <v>2439</v>
      </c>
      <c r="H71" s="46">
        <v>4</v>
      </c>
    </row>
    <row r="72" spans="1:8" x14ac:dyDescent="0.3">
      <c r="A72" s="46">
        <v>71</v>
      </c>
      <c r="B72" s="46" t="s">
        <v>924</v>
      </c>
      <c r="C72" s="58">
        <v>46060.552349537043</v>
      </c>
      <c r="D72" s="55" t="s">
        <v>897</v>
      </c>
      <c r="E72" s="45" t="str">
        <f>VLOOKUP(Table2[[#This Row],[Row Labels]],[1]Sheet2!$B:$E,4,0)</f>
        <v>NUHU MOHAMED NTILA</v>
      </c>
      <c r="F72" s="46" t="s">
        <v>2440</v>
      </c>
      <c r="G72" s="46" t="s">
        <v>2441</v>
      </c>
      <c r="H72" s="46">
        <v>6</v>
      </c>
    </row>
    <row r="73" spans="1:8" x14ac:dyDescent="0.3">
      <c r="A73" s="46">
        <v>72</v>
      </c>
      <c r="B73" s="46" t="s">
        <v>1174</v>
      </c>
      <c r="C73" s="58">
        <v>46060.44871527778</v>
      </c>
      <c r="D73" s="55" t="s">
        <v>897</v>
      </c>
      <c r="E73" s="45" t="str">
        <f>VLOOKUP(Table2[[#This Row],[Row Labels]],[1]Sheet2!$B:$E,4,0)</f>
        <v>MRISHO WAZIRI ALLY</v>
      </c>
      <c r="F73" s="46" t="s">
        <v>2442</v>
      </c>
      <c r="G73" s="46" t="s">
        <v>2443</v>
      </c>
      <c r="H73" s="46">
        <v>12</v>
      </c>
    </row>
    <row r="74" spans="1:8" x14ac:dyDescent="0.3">
      <c r="A74" s="46">
        <v>73</v>
      </c>
      <c r="B74" s="46" t="s">
        <v>818</v>
      </c>
      <c r="C74" s="58">
        <v>46060.335196759261</v>
      </c>
      <c r="D74" s="55" t="s">
        <v>897</v>
      </c>
      <c r="E74" s="45" t="str">
        <f>VLOOKUP(Table2[[#This Row],[Row Labels]],[1]Sheet2!$B:$E,4,0)</f>
        <v>HAMUDU MAJID MARUZUKU</v>
      </c>
      <c r="F74" s="46" t="s">
        <v>2444</v>
      </c>
      <c r="G74" s="46" t="s">
        <v>2445</v>
      </c>
      <c r="H74" s="46">
        <v>3</v>
      </c>
    </row>
    <row r="75" spans="1:8" x14ac:dyDescent="0.3">
      <c r="A75" s="46">
        <v>74</v>
      </c>
      <c r="B75" s="46" t="s">
        <v>243</v>
      </c>
      <c r="C75" s="58">
        <v>46060.469618055547</v>
      </c>
      <c r="D75" s="55" t="s">
        <v>897</v>
      </c>
      <c r="E75" s="45" t="str">
        <f>VLOOKUP(Table2[[#This Row],[Row Labels]],[1]Sheet2!$B:$E,4,0)</f>
        <v>ABDALLAH BAKARI ABDALLAH</v>
      </c>
      <c r="F75" s="46" t="s">
        <v>2446</v>
      </c>
      <c r="G75" s="46" t="s">
        <v>2447</v>
      </c>
      <c r="H75" s="46">
        <v>4</v>
      </c>
    </row>
    <row r="76" spans="1:8" x14ac:dyDescent="0.3">
      <c r="A76" s="46">
        <v>75</v>
      </c>
      <c r="B76" s="46" t="s">
        <v>486</v>
      </c>
      <c r="C76" s="58">
        <v>46060.59233796296</v>
      </c>
      <c r="D76" s="55" t="s">
        <v>897</v>
      </c>
      <c r="E76" s="45" t="str">
        <f>VLOOKUP(Table2[[#This Row],[Row Labels]],[1]Sheet2!$B:$E,4,0)</f>
        <v>SELEIMANI MNGODO  SELEMAINI</v>
      </c>
      <c r="F76" s="46" t="s">
        <v>2448</v>
      </c>
      <c r="G76" s="46" t="s">
        <v>2449</v>
      </c>
      <c r="H76" s="46">
        <v>3</v>
      </c>
    </row>
    <row r="77" spans="1:8" x14ac:dyDescent="0.3">
      <c r="A77" s="46">
        <v>76</v>
      </c>
      <c r="B77" s="46" t="s">
        <v>997</v>
      </c>
      <c r="C77" s="58">
        <v>46061.290023148147</v>
      </c>
      <c r="D77" s="55" t="s">
        <v>986</v>
      </c>
      <c r="E77" s="45">
        <f>VLOOKUP(Table2[[#This Row],[Row Labels]],[1]Sheet2!$B:$E,4,0)</f>
        <v>0</v>
      </c>
      <c r="F77" s="46" t="s">
        <v>2450</v>
      </c>
      <c r="G77" s="46" t="s">
        <v>2451</v>
      </c>
      <c r="H77" s="46">
        <v>6</v>
      </c>
    </row>
    <row r="78" spans="1:8" x14ac:dyDescent="0.3">
      <c r="A78" s="46">
        <v>77</v>
      </c>
      <c r="B78" s="46" t="s">
        <v>1719</v>
      </c>
      <c r="C78" s="58">
        <v>46061.313877314817</v>
      </c>
      <c r="D78" s="55" t="s">
        <v>986</v>
      </c>
      <c r="E78" s="45" t="str">
        <f>VLOOKUP(Table2[[#This Row],[Row Labels]],[1]Sheet2!$B:$E,4,0)</f>
        <v>AMIRI HAMISI MIKURU</v>
      </c>
      <c r="F78" s="46" t="s">
        <v>2452</v>
      </c>
      <c r="G78" s="46" t="s">
        <v>2453</v>
      </c>
      <c r="H78" s="46">
        <v>4</v>
      </c>
    </row>
    <row r="79" spans="1:8" x14ac:dyDescent="0.3">
      <c r="A79" s="46">
        <v>78</v>
      </c>
      <c r="B79" s="46" t="s">
        <v>1406</v>
      </c>
      <c r="C79" s="58">
        <v>46061.373425925929</v>
      </c>
      <c r="D79" s="55" t="s">
        <v>986</v>
      </c>
      <c r="E79" s="45" t="str">
        <f>VLOOKUP(Table2[[#This Row],[Row Labels]],[1]Sheet2!$B:$E,4,0)</f>
        <v>ZAKARIA RAJABU KINANA</v>
      </c>
      <c r="F79" s="46" t="s">
        <v>2454</v>
      </c>
      <c r="G79" s="46" t="s">
        <v>2455</v>
      </c>
      <c r="H79" s="46">
        <v>4</v>
      </c>
    </row>
    <row r="80" spans="1:8" x14ac:dyDescent="0.3">
      <c r="A80" s="46">
        <v>79</v>
      </c>
      <c r="B80" s="46" t="s">
        <v>608</v>
      </c>
      <c r="C80" s="58">
        <v>46061.685810185183</v>
      </c>
      <c r="D80" s="55" t="s">
        <v>986</v>
      </c>
      <c r="E80" s="45" t="str">
        <f>VLOOKUP(Table2[[#This Row],[Row Labels]],[1]Sheet2!$B:$E,4,0)</f>
        <v>MUSSA JUMA MOHAMED</v>
      </c>
      <c r="F80" s="46" t="s">
        <v>2456</v>
      </c>
      <c r="G80" s="46" t="s">
        <v>2385</v>
      </c>
      <c r="H80" s="46">
        <v>3</v>
      </c>
    </row>
    <row r="81" spans="1:8" x14ac:dyDescent="0.3">
      <c r="A81" s="46">
        <v>80</v>
      </c>
      <c r="B81" s="46" t="s">
        <v>618</v>
      </c>
      <c r="C81" s="58">
        <v>46061.267962962957</v>
      </c>
      <c r="D81" s="55" t="s">
        <v>986</v>
      </c>
      <c r="E81" s="45" t="str">
        <f>VLOOKUP(Table2[[#This Row],[Row Labels]],[1]Sheet2!$B:$E,4,0)</f>
        <v>PATRICK MSONGWA MWANJIBILI</v>
      </c>
      <c r="F81" s="46" t="s">
        <v>2457</v>
      </c>
      <c r="G81" s="46" t="s">
        <v>2458</v>
      </c>
      <c r="H81" s="46">
        <v>3</v>
      </c>
    </row>
    <row r="82" spans="1:8" x14ac:dyDescent="0.3">
      <c r="A82" s="46">
        <v>81</v>
      </c>
      <c r="B82" s="46" t="s">
        <v>1059</v>
      </c>
      <c r="C82" s="58">
        <v>46061.415810185194</v>
      </c>
      <c r="D82" s="55" t="s">
        <v>986</v>
      </c>
      <c r="E82" s="45" t="str">
        <f>VLOOKUP(Table2[[#This Row],[Row Labels]],[1]Sheet2!$B:$E,4,0)</f>
        <v>ALLY RASHID SAID</v>
      </c>
      <c r="F82" s="46" t="s">
        <v>2459</v>
      </c>
      <c r="G82" s="46" t="s">
        <v>2460</v>
      </c>
      <c r="H82" s="46">
        <v>3</v>
      </c>
    </row>
    <row r="83" spans="1:8" x14ac:dyDescent="0.3">
      <c r="A83" s="46">
        <v>82</v>
      </c>
      <c r="B83" s="46" t="s">
        <v>377</v>
      </c>
      <c r="C83" s="58">
        <v>46061.621574074074</v>
      </c>
      <c r="D83" s="55" t="s">
        <v>986</v>
      </c>
      <c r="E83" s="45" t="str">
        <f>VLOOKUP(Table2[[#This Row],[Row Labels]],[1]Sheet2!$B:$E,4,0)</f>
        <v>ELIBAS EZEKIEL KITUNGWA</v>
      </c>
      <c r="F83" s="46" t="s">
        <v>2461</v>
      </c>
      <c r="G83" s="46" t="s">
        <v>2462</v>
      </c>
      <c r="H83" s="46">
        <v>4</v>
      </c>
    </row>
    <row r="84" spans="1:8" x14ac:dyDescent="0.3">
      <c r="A84" s="46">
        <v>83</v>
      </c>
      <c r="B84" s="46" t="s">
        <v>2062</v>
      </c>
      <c r="C84" s="58">
        <v>46062.455104166656</v>
      </c>
      <c r="D84" s="55" t="s">
        <v>1072</v>
      </c>
      <c r="E84" s="45" t="str">
        <f>VLOOKUP(Table2[[#This Row],[Row Labels]],[1]Sheet2!$B:$E,4,0)</f>
        <v>HASSAN ABDALLAH JUMA</v>
      </c>
      <c r="F84" s="46" t="s">
        <v>2463</v>
      </c>
      <c r="G84" s="46" t="s">
        <v>2464</v>
      </c>
      <c r="H84" s="46">
        <v>6</v>
      </c>
    </row>
    <row r="85" spans="1:8" x14ac:dyDescent="0.3">
      <c r="A85" s="46">
        <v>84</v>
      </c>
      <c r="B85" s="46" t="s">
        <v>1418</v>
      </c>
      <c r="C85" s="58">
        <v>46062.501493055563</v>
      </c>
      <c r="D85" s="55" t="s">
        <v>1072</v>
      </c>
      <c r="E85" s="45" t="str">
        <f>VLOOKUP(Table2[[#This Row],[Row Labels]],[1]Sheet2!$B:$E,4,0)</f>
        <v>JOEL SAMSON MANDAGO</v>
      </c>
      <c r="F85" s="46" t="s">
        <v>2465</v>
      </c>
      <c r="G85" s="46" t="s">
        <v>2466</v>
      </c>
      <c r="H85" s="46">
        <v>5</v>
      </c>
    </row>
    <row r="86" spans="1:8" x14ac:dyDescent="0.3">
      <c r="A86" s="46">
        <v>85</v>
      </c>
      <c r="B86" s="46" t="s">
        <v>502</v>
      </c>
      <c r="C86" s="58">
        <v>46062.25990740741</v>
      </c>
      <c r="D86" s="55" t="s">
        <v>1072</v>
      </c>
      <c r="E86" s="45" t="str">
        <f>VLOOKUP(Table2[[#This Row],[Row Labels]],[1]Sheet2!$B:$E,4,0)</f>
        <v>ISAYA MSHUKURU MMBANDO</v>
      </c>
      <c r="F86" s="46" t="s">
        <v>2467</v>
      </c>
      <c r="G86" s="46" t="s">
        <v>2468</v>
      </c>
      <c r="H86" s="46">
        <v>4</v>
      </c>
    </row>
    <row r="87" spans="1:8" x14ac:dyDescent="0.3">
      <c r="A87" s="46">
        <v>86</v>
      </c>
      <c r="B87" s="46" t="s">
        <v>1095</v>
      </c>
      <c r="C87" s="58">
        <v>46062.478159722217</v>
      </c>
      <c r="D87" s="55" t="s">
        <v>1072</v>
      </c>
      <c r="E87" s="45" t="str">
        <f>VLOOKUP(Table2[[#This Row],[Row Labels]],[1]Sheet2!$B:$E,4,0)</f>
        <v xml:space="preserve">HOSEA MRINGI MACHA </v>
      </c>
      <c r="F87" s="46" t="s">
        <v>2469</v>
      </c>
      <c r="G87" s="46" t="s">
        <v>2470</v>
      </c>
      <c r="H87" s="46">
        <v>13</v>
      </c>
    </row>
    <row r="88" spans="1:8" x14ac:dyDescent="0.3">
      <c r="A88" s="46">
        <v>87</v>
      </c>
      <c r="B88" s="46" t="s">
        <v>1011</v>
      </c>
      <c r="C88" s="58">
        <v>46062.437326388892</v>
      </c>
      <c r="D88" s="55" t="s">
        <v>1072</v>
      </c>
      <c r="E88" s="45" t="str">
        <f>VLOOKUP(Table2[[#This Row],[Row Labels]],[1]Sheet2!$B:$E,4,0)</f>
        <v>SAID SALUM MOHAMED</v>
      </c>
      <c r="F88" s="46" t="s">
        <v>2471</v>
      </c>
      <c r="G88" s="46" t="s">
        <v>2472</v>
      </c>
      <c r="H88" s="46">
        <v>3</v>
      </c>
    </row>
    <row r="89" spans="1:8" x14ac:dyDescent="0.3">
      <c r="A89" s="46">
        <v>88</v>
      </c>
      <c r="B89" s="46" t="s">
        <v>1462</v>
      </c>
      <c r="C89" s="58">
        <v>46062.303784722222</v>
      </c>
      <c r="D89" s="55" t="s">
        <v>1072</v>
      </c>
      <c r="E89" s="45" t="str">
        <f>VLOOKUP(Table2[[#This Row],[Row Labels]],[1]Sheet2!$B:$E,4,0)</f>
        <v>MISTWAHI AMRI SAID</v>
      </c>
      <c r="F89" s="46" t="s">
        <v>2473</v>
      </c>
      <c r="G89" s="46" t="s">
        <v>2474</v>
      </c>
      <c r="H89" s="46">
        <v>3</v>
      </c>
    </row>
    <row r="90" spans="1:8" x14ac:dyDescent="0.3">
      <c r="A90" s="46">
        <v>89</v>
      </c>
      <c r="B90" s="46" t="s">
        <v>608</v>
      </c>
      <c r="C90" s="58">
        <v>46062.641458333332</v>
      </c>
      <c r="D90" s="55" t="s">
        <v>1072</v>
      </c>
      <c r="E90" s="45" t="str">
        <f>VLOOKUP(Table2[[#This Row],[Row Labels]],[1]Sheet2!$B:$E,4,0)</f>
        <v>MUSSA JUMA MOHAMED</v>
      </c>
      <c r="F90" s="46" t="s">
        <v>2475</v>
      </c>
      <c r="G90" s="46" t="s">
        <v>2476</v>
      </c>
      <c r="H90" s="46">
        <v>3</v>
      </c>
    </row>
    <row r="91" spans="1:8" x14ac:dyDescent="0.3">
      <c r="A91" s="46">
        <v>90</v>
      </c>
      <c r="B91" s="46" t="s">
        <v>478</v>
      </c>
      <c r="C91" s="58">
        <v>46062.339930555558</v>
      </c>
      <c r="D91" s="55" t="s">
        <v>1072</v>
      </c>
      <c r="E91" s="45" t="str">
        <f>VLOOKUP(Table2[[#This Row],[Row Labels]],[1]Sheet2!$B:$E,4,0)</f>
        <v>OMARY SAID MTAJI</v>
      </c>
      <c r="F91" s="46" t="s">
        <v>2477</v>
      </c>
      <c r="G91" s="46" t="s">
        <v>2478</v>
      </c>
      <c r="H91" s="46">
        <v>3</v>
      </c>
    </row>
    <row r="92" spans="1:8" x14ac:dyDescent="0.3">
      <c r="A92" s="46">
        <v>91</v>
      </c>
      <c r="B92" s="46" t="s">
        <v>1573</v>
      </c>
      <c r="C92" s="58">
        <v>46062.577430555553</v>
      </c>
      <c r="D92" s="55" t="s">
        <v>1072</v>
      </c>
      <c r="E92" s="45" t="str">
        <f>VLOOKUP(Table2[[#This Row],[Row Labels]],[1]Sheet2!$B:$E,4,0)</f>
        <v>YAHAYA MWINCHUMU ZUBERI</v>
      </c>
      <c r="F92" s="46" t="s">
        <v>2479</v>
      </c>
      <c r="G92" s="46" t="s">
        <v>2480</v>
      </c>
      <c r="H92" s="46">
        <v>3</v>
      </c>
    </row>
    <row r="93" spans="1:8" x14ac:dyDescent="0.3">
      <c r="A93" s="46">
        <v>92</v>
      </c>
      <c r="B93" s="46" t="s">
        <v>377</v>
      </c>
      <c r="C93" s="58">
        <v>46062.442094907397</v>
      </c>
      <c r="D93" s="55" t="s">
        <v>1072</v>
      </c>
      <c r="E93" s="45" t="str">
        <f>VLOOKUP(Table2[[#This Row],[Row Labels]],[1]Sheet2!$B:$E,4,0)</f>
        <v>ELIBAS EZEKIEL KITUNGWA</v>
      </c>
      <c r="F93" s="46" t="s">
        <v>2481</v>
      </c>
      <c r="G93" s="46" t="s">
        <v>2482</v>
      </c>
      <c r="H93" s="46">
        <v>9</v>
      </c>
    </row>
    <row r="94" spans="1:8" x14ac:dyDescent="0.3">
      <c r="A94" s="46">
        <v>93</v>
      </c>
      <c r="B94" s="46" t="s">
        <v>41</v>
      </c>
      <c r="C94" s="58">
        <v>46062.524548611109</v>
      </c>
      <c r="D94" s="55" t="s">
        <v>1072</v>
      </c>
      <c r="E94" s="45" t="str">
        <f>VLOOKUP(Table2[[#This Row],[Row Labels]],[1]Sheet2!$B:$E,4,0)</f>
        <v>OMARI ATHUMANI SELEMANI</v>
      </c>
      <c r="F94" s="46" t="s">
        <v>2483</v>
      </c>
      <c r="G94" s="46" t="s">
        <v>2484</v>
      </c>
      <c r="H94" s="46">
        <v>8</v>
      </c>
    </row>
    <row r="95" spans="1:8" x14ac:dyDescent="0.3">
      <c r="A95" s="46">
        <v>94</v>
      </c>
      <c r="B95" s="46" t="s">
        <v>1066</v>
      </c>
      <c r="C95" s="58">
        <v>46062.422083333331</v>
      </c>
      <c r="D95" s="55" t="s">
        <v>1072</v>
      </c>
      <c r="E95" s="45" t="str">
        <f>VLOOKUP(Table2[[#This Row],[Row Labels]],[1]Sheet2!$B:$E,4,0)</f>
        <v>SHABANI HARUNA SEMENTA</v>
      </c>
      <c r="F95" s="46" t="s">
        <v>2485</v>
      </c>
      <c r="G95" s="46" t="s">
        <v>2423</v>
      </c>
      <c r="H95" s="46">
        <v>5</v>
      </c>
    </row>
    <row r="96" spans="1:8" x14ac:dyDescent="0.3">
      <c r="A96" s="46">
        <v>95</v>
      </c>
      <c r="B96" s="46" t="s">
        <v>653</v>
      </c>
      <c r="C96" s="58">
        <v>46063.418634259258</v>
      </c>
      <c r="D96" s="55" t="s">
        <v>1142</v>
      </c>
      <c r="E96" s="45" t="str">
        <f>VLOOKUP(Table2[[#This Row],[Row Labels]],[1]Sheet2!$B:$E,4,0)</f>
        <v>MANENO MOHAMED KAKIMA</v>
      </c>
      <c r="F96" s="46" t="s">
        <v>2486</v>
      </c>
      <c r="G96" s="46" t="s">
        <v>2487</v>
      </c>
      <c r="H96" s="46">
        <v>5</v>
      </c>
    </row>
    <row r="97" spans="1:8" x14ac:dyDescent="0.3">
      <c r="A97" s="46">
        <v>96</v>
      </c>
      <c r="B97" s="46" t="s">
        <v>1181</v>
      </c>
      <c r="C97" s="58">
        <v>46063.508842592593</v>
      </c>
      <c r="D97" s="55" t="s">
        <v>1142</v>
      </c>
      <c r="E97" s="45" t="str">
        <f>VLOOKUP(Table2[[#This Row],[Row Labels]],[1]Sheet2!$B:$E,4,0)</f>
        <v>MANDELA WILSON MANYILIZU</v>
      </c>
      <c r="F97" s="46" t="s">
        <v>2488</v>
      </c>
      <c r="G97" s="46" t="s">
        <v>2489</v>
      </c>
      <c r="H97" s="46">
        <v>6</v>
      </c>
    </row>
    <row r="98" spans="1:8" x14ac:dyDescent="0.3">
      <c r="A98" s="46">
        <v>97</v>
      </c>
      <c r="B98" s="46" t="s">
        <v>355</v>
      </c>
      <c r="C98" s="58">
        <v>46063.797060185178</v>
      </c>
      <c r="D98" s="55" t="s">
        <v>1142</v>
      </c>
      <c r="E98" s="45" t="str">
        <f>VLOOKUP(Table2[[#This Row],[Row Labels]],[1]Sheet2!$B:$E,4,0)</f>
        <v>ELIA JUMA NZOWA</v>
      </c>
      <c r="F98" s="46" t="s">
        <v>2490</v>
      </c>
      <c r="G98" s="46" t="s">
        <v>2491</v>
      </c>
      <c r="H98" s="46">
        <v>3</v>
      </c>
    </row>
    <row r="99" spans="1:8" x14ac:dyDescent="0.3">
      <c r="A99" s="46">
        <v>98</v>
      </c>
      <c r="B99" s="46" t="s">
        <v>55</v>
      </c>
      <c r="C99" s="58">
        <v>46063.448692129627</v>
      </c>
      <c r="D99" s="55" t="s">
        <v>1142</v>
      </c>
      <c r="E99" s="45" t="str">
        <f>VLOOKUP(Table2[[#This Row],[Row Labels]],[1]Sheet2!$B:$E,4,0)</f>
        <v>YUSUPH ZIAGA SANGA</v>
      </c>
      <c r="F99" s="46" t="s">
        <v>2492</v>
      </c>
      <c r="G99" s="46" t="s">
        <v>2493</v>
      </c>
      <c r="H99" s="46">
        <v>10</v>
      </c>
    </row>
    <row r="100" spans="1:8" x14ac:dyDescent="0.3">
      <c r="A100" s="46">
        <v>99</v>
      </c>
      <c r="B100" s="46" t="s">
        <v>478</v>
      </c>
      <c r="C100" s="58">
        <v>46063.312048611107</v>
      </c>
      <c r="D100" s="55" t="s">
        <v>1142</v>
      </c>
      <c r="E100" s="45" t="str">
        <f>VLOOKUP(Table2[[#This Row],[Row Labels]],[1]Sheet2!$B:$E,4,0)</f>
        <v>OMARY SAID MTAJI</v>
      </c>
      <c r="F100" s="46" t="s">
        <v>2494</v>
      </c>
      <c r="G100" s="46" t="s">
        <v>2495</v>
      </c>
      <c r="H100" s="46">
        <v>3</v>
      </c>
    </row>
    <row r="101" spans="1:8" x14ac:dyDescent="0.3">
      <c r="A101" s="46">
        <v>100</v>
      </c>
      <c r="B101" s="46" t="s">
        <v>729</v>
      </c>
      <c r="C101" s="58">
        <v>46063.284085648149</v>
      </c>
      <c r="D101" s="55" t="s">
        <v>1142</v>
      </c>
      <c r="E101" s="45" t="str">
        <f>VLOOKUP(Table2[[#This Row],[Row Labels]],[1]Sheet2!$B:$E,4,0)</f>
        <v>ISSACK KONRADI KASIANO</v>
      </c>
      <c r="F101" s="46" t="s">
        <v>2496</v>
      </c>
      <c r="G101" s="46" t="s">
        <v>2311</v>
      </c>
      <c r="H101" s="46">
        <v>3</v>
      </c>
    </row>
    <row r="102" spans="1:8" x14ac:dyDescent="0.3">
      <c r="A102" s="46">
        <v>101</v>
      </c>
      <c r="B102" s="46" t="s">
        <v>26</v>
      </c>
      <c r="C102" s="58">
        <v>46063.308993055558</v>
      </c>
      <c r="D102" s="55" t="s">
        <v>1142</v>
      </c>
      <c r="E102" s="45" t="str">
        <f>VLOOKUP(Table2[[#This Row],[Row Labels]],[1]Sheet2!$B:$E,4,0)</f>
        <v>MADENGE SALUM SHOMARI</v>
      </c>
      <c r="F102" s="46" t="s">
        <v>2497</v>
      </c>
      <c r="G102" s="46" t="s">
        <v>2498</v>
      </c>
      <c r="H102" s="46">
        <v>5</v>
      </c>
    </row>
    <row r="103" spans="1:8" x14ac:dyDescent="0.3">
      <c r="A103" s="46">
        <v>102</v>
      </c>
      <c r="B103" s="46" t="s">
        <v>491</v>
      </c>
      <c r="C103" s="58">
        <v>46064.555636574078</v>
      </c>
      <c r="D103" s="55" t="s">
        <v>1231</v>
      </c>
      <c r="E103" s="45" t="str">
        <f>VLOOKUP(Table2[[#This Row],[Row Labels]],[1]Sheet2!$B:$E,4,0)</f>
        <v>GODFREY JOHN ANTHONY KUNDI</v>
      </c>
      <c r="F103" s="46" t="s">
        <v>2499</v>
      </c>
      <c r="G103" s="46" t="s">
        <v>2500</v>
      </c>
      <c r="H103" s="46">
        <v>7</v>
      </c>
    </row>
    <row r="104" spans="1:8" x14ac:dyDescent="0.3">
      <c r="A104" s="46">
        <v>103</v>
      </c>
      <c r="B104" s="46" t="s">
        <v>752</v>
      </c>
      <c r="C104" s="58">
        <v>46064.57671296296</v>
      </c>
      <c r="D104" s="55" t="s">
        <v>1231</v>
      </c>
      <c r="E104" s="45" t="str">
        <f>VLOOKUP(Table2[[#This Row],[Row Labels]],[1]Sheet2!$B:$E,4,0)</f>
        <v>BAHATI ATHUMANI MDOE</v>
      </c>
      <c r="F104" s="46" t="s">
        <v>2501</v>
      </c>
      <c r="G104" s="46" t="s">
        <v>2502</v>
      </c>
      <c r="H104" s="46">
        <v>4</v>
      </c>
    </row>
    <row r="105" spans="1:8" x14ac:dyDescent="0.3">
      <c r="A105" s="46">
        <v>104</v>
      </c>
      <c r="B105" s="46" t="s">
        <v>766</v>
      </c>
      <c r="C105" s="58">
        <v>46064.592037037037</v>
      </c>
      <c r="D105" s="55" t="s">
        <v>1231</v>
      </c>
      <c r="E105" s="45" t="str">
        <f>VLOOKUP(Table2[[#This Row],[Row Labels]],[1]Sheet2!$B:$E,4,0)</f>
        <v>MOHAMEDI MOSHI NYANZA</v>
      </c>
      <c r="F105" s="46" t="s">
        <v>2503</v>
      </c>
      <c r="G105" s="46" t="s">
        <v>2504</v>
      </c>
      <c r="H105" s="46">
        <v>3</v>
      </c>
    </row>
    <row r="106" spans="1:8" x14ac:dyDescent="0.3">
      <c r="A106" s="46">
        <v>105</v>
      </c>
      <c r="B106" s="46" t="s">
        <v>1866</v>
      </c>
      <c r="C106" s="58">
        <v>46064.332731481481</v>
      </c>
      <c r="D106" s="55" t="s">
        <v>1231</v>
      </c>
      <c r="E106" s="45" t="str">
        <f>VLOOKUP(Table2[[#This Row],[Row Labels]],[1]Sheet2!$B:$E,4,0)</f>
        <v>JEREMIAHY SIMONE MWALUKO</v>
      </c>
      <c r="F106" s="46" t="s">
        <v>2505</v>
      </c>
      <c r="G106" s="46" t="s">
        <v>2506</v>
      </c>
      <c r="H106" s="46">
        <v>3</v>
      </c>
    </row>
    <row r="107" spans="1:8" x14ac:dyDescent="0.3">
      <c r="A107" s="46">
        <v>106</v>
      </c>
      <c r="B107" s="46" t="s">
        <v>51</v>
      </c>
      <c r="C107" s="58">
        <v>46064.508622685193</v>
      </c>
      <c r="D107" s="55" t="s">
        <v>1231</v>
      </c>
      <c r="E107" s="45" t="str">
        <f>VLOOKUP(Table2[[#This Row],[Row Labels]],[1]Sheet2!$B:$E,4,0)</f>
        <v>JUMANNE ALLY NJECHELE</v>
      </c>
      <c r="F107" s="46" t="s">
        <v>2507</v>
      </c>
      <c r="G107" s="46" t="s">
        <v>2508</v>
      </c>
      <c r="H107" s="46">
        <v>3</v>
      </c>
    </row>
    <row r="108" spans="1:8" x14ac:dyDescent="0.3">
      <c r="A108" s="46">
        <v>107</v>
      </c>
      <c r="B108" s="46" t="s">
        <v>1253</v>
      </c>
      <c r="C108" s="58">
        <v>46064.322939814818</v>
      </c>
      <c r="D108" s="55" t="s">
        <v>1231</v>
      </c>
      <c r="E108" s="45" t="str">
        <f>VLOOKUP(Table2[[#This Row],[Row Labels]],[1]Sheet2!$B:$E,4,0)</f>
        <v>LAMECK CHARLES ROMAN</v>
      </c>
      <c r="F108" s="46" t="s">
        <v>2509</v>
      </c>
      <c r="G108" s="46" t="s">
        <v>2510</v>
      </c>
      <c r="H108" s="46">
        <v>5</v>
      </c>
    </row>
    <row r="109" spans="1:8" x14ac:dyDescent="0.3">
      <c r="A109" s="46">
        <v>108</v>
      </c>
      <c r="B109" s="46" t="s">
        <v>1996</v>
      </c>
      <c r="C109" s="58">
        <v>46064.483807870369</v>
      </c>
      <c r="D109" s="55" t="s">
        <v>1231</v>
      </c>
      <c r="E109" s="45" t="str">
        <f>VLOOKUP(Table2[[#This Row],[Row Labels]],[1]Sheet2!$B:$E,4,0)</f>
        <v>GASPER ELICHILIA KINYAHA</v>
      </c>
      <c r="F109" s="46" t="s">
        <v>2511</v>
      </c>
      <c r="G109" s="46" t="s">
        <v>2512</v>
      </c>
      <c r="H109" s="46">
        <v>3</v>
      </c>
    </row>
    <row r="110" spans="1:8" x14ac:dyDescent="0.3">
      <c r="A110" s="46">
        <v>109</v>
      </c>
      <c r="B110" s="46" t="s">
        <v>186</v>
      </c>
      <c r="C110" s="58">
        <v>46064.378032407411</v>
      </c>
      <c r="D110" s="55" t="s">
        <v>1231</v>
      </c>
      <c r="E110" s="45" t="str">
        <f>VLOOKUP(Table2[[#This Row],[Row Labels]],[1]Sheet2!$B:$E,4,0)</f>
        <v>ISMAIL KISANDU RUBASHA</v>
      </c>
      <c r="F110" s="46" t="s">
        <v>2513</v>
      </c>
      <c r="G110" s="46" t="s">
        <v>2514</v>
      </c>
      <c r="H110" s="46">
        <v>4</v>
      </c>
    </row>
    <row r="111" spans="1:8" x14ac:dyDescent="0.3">
      <c r="A111" s="46">
        <v>110</v>
      </c>
      <c r="B111" s="46" t="s">
        <v>1181</v>
      </c>
      <c r="C111" s="58">
        <v>46064.38385416667</v>
      </c>
      <c r="D111" s="55" t="s">
        <v>1231</v>
      </c>
      <c r="E111" s="45" t="str">
        <f>VLOOKUP(Table2[[#This Row],[Row Labels]],[1]Sheet2!$B:$E,4,0)</f>
        <v>MANDELA WILSON MANYILIZU</v>
      </c>
      <c r="F111" s="46" t="s">
        <v>2515</v>
      </c>
      <c r="G111" s="46" t="s">
        <v>2311</v>
      </c>
      <c r="H111" s="46">
        <v>3</v>
      </c>
    </row>
    <row r="112" spans="1:8" x14ac:dyDescent="0.3">
      <c r="A112" s="46">
        <v>111</v>
      </c>
      <c r="B112" s="46" t="s">
        <v>58</v>
      </c>
      <c r="C112" s="58">
        <v>46064.445590277777</v>
      </c>
      <c r="D112" s="55" t="s">
        <v>1231</v>
      </c>
      <c r="E112" s="45" t="str">
        <f>VLOOKUP(Table2[[#This Row],[Row Labels]],[1]Sheet2!$B:$E,4,0)</f>
        <v>EZEKIEL AIZACK KIHANZA</v>
      </c>
      <c r="F112" s="46" t="s">
        <v>2516</v>
      </c>
      <c r="G112" s="46" t="s">
        <v>2517</v>
      </c>
      <c r="H112" s="46">
        <v>7</v>
      </c>
    </row>
    <row r="113" spans="1:8" x14ac:dyDescent="0.3">
      <c r="A113" s="46">
        <v>112</v>
      </c>
      <c r="B113" s="46" t="s">
        <v>1798</v>
      </c>
      <c r="C113" s="58">
        <v>46064.451203703713</v>
      </c>
      <c r="D113" s="55" t="s">
        <v>1231</v>
      </c>
      <c r="E113" s="45" t="str">
        <f>VLOOKUP(Table2[[#This Row],[Row Labels]],[1]Sheet2!$B:$E,4,0)</f>
        <v>GERALD RAPHAEL SALAMALA</v>
      </c>
      <c r="F113" s="46" t="s">
        <v>2518</v>
      </c>
      <c r="G113" s="46" t="s">
        <v>2519</v>
      </c>
      <c r="H113" s="46">
        <v>6</v>
      </c>
    </row>
    <row r="114" spans="1:8" x14ac:dyDescent="0.3">
      <c r="A114" s="46">
        <v>113</v>
      </c>
      <c r="B114" s="46" t="s">
        <v>2520</v>
      </c>
      <c r="C114" s="58">
        <v>46064.39534722222</v>
      </c>
      <c r="D114" s="55" t="s">
        <v>1231</v>
      </c>
      <c r="E114" s="45" t="str">
        <f>VLOOKUP(Table2[[#This Row],[Row Labels]],[1]Sheet2!$B:$E,4,0)</f>
        <v>SUNDAY EDWIN SOKA</v>
      </c>
      <c r="F114" s="46" t="s">
        <v>2521</v>
      </c>
      <c r="G114" s="46" t="s">
        <v>2522</v>
      </c>
      <c r="H114" s="46">
        <v>5</v>
      </c>
    </row>
    <row r="115" spans="1:8" x14ac:dyDescent="0.3">
      <c r="A115" s="46">
        <v>114</v>
      </c>
      <c r="B115" s="46" t="s">
        <v>853</v>
      </c>
      <c r="C115" s="58">
        <v>46064.377268518518</v>
      </c>
      <c r="D115" s="55" t="s">
        <v>1231</v>
      </c>
      <c r="E115" s="45" t="str">
        <f>VLOOKUP(Table2[[#This Row],[Row Labels]],[1]Sheet2!$B:$E,4,0)</f>
        <v>ABUBAKAR JUMA YUSUPH</v>
      </c>
      <c r="F115" s="46" t="s">
        <v>2523</v>
      </c>
      <c r="G115" s="46" t="s">
        <v>2524</v>
      </c>
      <c r="H115" s="46">
        <v>4</v>
      </c>
    </row>
    <row r="116" spans="1:8" x14ac:dyDescent="0.3">
      <c r="A116" s="46">
        <v>115</v>
      </c>
      <c r="B116" s="46" t="s">
        <v>593</v>
      </c>
      <c r="C116" s="58">
        <v>46064.400543981479</v>
      </c>
      <c r="D116" s="55" t="s">
        <v>1231</v>
      </c>
      <c r="E116" s="45" t="str">
        <f>VLOOKUP(Table2[[#This Row],[Row Labels]],[1]Sheet2!$B:$E,4,0)</f>
        <v>JAPHARY NASSORO JAPHARY</v>
      </c>
      <c r="F116" s="46" t="s">
        <v>2525</v>
      </c>
      <c r="G116" s="46" t="s">
        <v>2526</v>
      </c>
      <c r="H116" s="46">
        <v>3</v>
      </c>
    </row>
    <row r="117" spans="1:8" x14ac:dyDescent="0.3">
      <c r="A117" s="46">
        <v>116</v>
      </c>
      <c r="B117" s="46" t="s">
        <v>55</v>
      </c>
      <c r="C117" s="58">
        <v>46064.340775462973</v>
      </c>
      <c r="D117" s="55" t="s">
        <v>1231</v>
      </c>
      <c r="E117" s="45" t="str">
        <f>VLOOKUP(Table2[[#This Row],[Row Labels]],[1]Sheet2!$B:$E,4,0)</f>
        <v>YUSUPH ZIAGA SANGA</v>
      </c>
      <c r="F117" s="46" t="s">
        <v>2527</v>
      </c>
      <c r="G117" s="46" t="s">
        <v>2528</v>
      </c>
      <c r="H117" s="46">
        <v>21</v>
      </c>
    </row>
    <row r="118" spans="1:8" x14ac:dyDescent="0.3">
      <c r="A118" s="46">
        <v>117</v>
      </c>
      <c r="B118" s="46" t="s">
        <v>2529</v>
      </c>
      <c r="C118" s="58">
        <v>46064.344328703701</v>
      </c>
      <c r="D118" s="55" t="s">
        <v>1231</v>
      </c>
      <c r="E118" s="45" t="str">
        <f>VLOOKUP(Table2[[#This Row],[Row Labels]],[1]Sheet2!$B:$E,4,0)</f>
        <v>ATANASI PETRO MAGOHE</v>
      </c>
      <c r="F118" s="46" t="s">
        <v>2530</v>
      </c>
      <c r="G118" s="46" t="s">
        <v>2531</v>
      </c>
      <c r="H118" s="46">
        <v>3</v>
      </c>
    </row>
    <row r="119" spans="1:8" x14ac:dyDescent="0.3">
      <c r="A119" s="46">
        <v>118</v>
      </c>
      <c r="B119" s="46" t="s">
        <v>621</v>
      </c>
      <c r="C119" s="58">
        <v>46064.572916666657</v>
      </c>
      <c r="D119" s="55" t="s">
        <v>1231</v>
      </c>
      <c r="E119" s="45" t="str">
        <f>VLOOKUP(Table2[[#This Row],[Row Labels]],[1]Sheet2!$B:$E,4,0)</f>
        <v>SALIMU SAIDI KIANDIKO</v>
      </c>
      <c r="F119" s="46" t="s">
        <v>2532</v>
      </c>
      <c r="G119" s="46" t="s">
        <v>2533</v>
      </c>
      <c r="H119" s="46">
        <v>3</v>
      </c>
    </row>
    <row r="120" spans="1:8" x14ac:dyDescent="0.3">
      <c r="A120" s="46">
        <v>119</v>
      </c>
      <c r="B120" s="46" t="s">
        <v>497</v>
      </c>
      <c r="C120" s="58">
        <v>46065.38349537037</v>
      </c>
      <c r="D120" s="55" t="s">
        <v>1291</v>
      </c>
      <c r="E120" s="45" t="str">
        <f>VLOOKUP(Table2[[#This Row],[Row Labels]],[1]Sheet2!$B:$E,4,0)</f>
        <v>DAVID CHRISTOPHER KESSY</v>
      </c>
      <c r="F120" s="46" t="s">
        <v>2534</v>
      </c>
      <c r="G120" s="46" t="s">
        <v>2535</v>
      </c>
      <c r="H120" s="46">
        <v>5</v>
      </c>
    </row>
    <row r="121" spans="1:8" x14ac:dyDescent="0.3">
      <c r="A121" s="46">
        <v>120</v>
      </c>
      <c r="B121" s="46" t="s">
        <v>768</v>
      </c>
      <c r="C121" s="58">
        <v>46065.327581018522</v>
      </c>
      <c r="D121" s="55" t="s">
        <v>1291</v>
      </c>
      <c r="E121" s="45" t="str">
        <f>VLOOKUP(Table2[[#This Row],[Row Labels]],[1]Sheet2!$B:$E,4,0)</f>
        <v>RAMADHANI NASSORO KILUA</v>
      </c>
      <c r="F121" s="46" t="s">
        <v>2536</v>
      </c>
      <c r="G121" s="46" t="s">
        <v>2537</v>
      </c>
      <c r="H121" s="46">
        <v>3</v>
      </c>
    </row>
    <row r="122" spans="1:8" x14ac:dyDescent="0.3">
      <c r="A122" s="46">
        <v>121</v>
      </c>
      <c r="B122" s="46" t="s">
        <v>51</v>
      </c>
      <c r="C122" s="58">
        <v>46065.297280092593</v>
      </c>
      <c r="D122" s="55" t="s">
        <v>1291</v>
      </c>
      <c r="E122" s="45" t="str">
        <f>VLOOKUP(Table2[[#This Row],[Row Labels]],[1]Sheet2!$B:$E,4,0)</f>
        <v>JUMANNE ALLY NJECHELE</v>
      </c>
      <c r="F122" s="46" t="s">
        <v>2538</v>
      </c>
      <c r="G122" s="46" t="s">
        <v>2539</v>
      </c>
      <c r="H122" s="46">
        <v>9</v>
      </c>
    </row>
    <row r="123" spans="1:8" x14ac:dyDescent="0.3">
      <c r="A123" s="46">
        <v>122</v>
      </c>
      <c r="B123" s="46" t="s">
        <v>130</v>
      </c>
      <c r="C123" s="58">
        <v>46065.27380787037</v>
      </c>
      <c r="D123" s="55" t="s">
        <v>1291</v>
      </c>
      <c r="E123" s="45" t="str">
        <f>VLOOKUP(Table2[[#This Row],[Row Labels]],[1]Sheet2!$B:$E,4,0)</f>
        <v>RAJABU MOHAMED MATUA</v>
      </c>
      <c r="F123" s="46" t="s">
        <v>2540</v>
      </c>
      <c r="G123" s="46" t="s">
        <v>2541</v>
      </c>
      <c r="H123" s="46">
        <v>6</v>
      </c>
    </row>
    <row r="124" spans="1:8" x14ac:dyDescent="0.3">
      <c r="A124" s="46">
        <v>123</v>
      </c>
      <c r="B124" s="46" t="s">
        <v>531</v>
      </c>
      <c r="C124" s="58">
        <v>46065.360254629632</v>
      </c>
      <c r="D124" s="55" t="s">
        <v>1291</v>
      </c>
      <c r="E124" s="45" t="str">
        <f>VLOOKUP(Table2[[#This Row],[Row Labels]],[1]Sheet2!$B:$E,4,0)</f>
        <v>MFAUME SALUM LWAUPA</v>
      </c>
      <c r="F124" s="46" t="s">
        <v>2542</v>
      </c>
      <c r="G124" s="46" t="s">
        <v>2543</v>
      </c>
      <c r="H124" s="46">
        <v>3</v>
      </c>
    </row>
    <row r="125" spans="1:8" x14ac:dyDescent="0.3">
      <c r="A125" s="46">
        <v>124</v>
      </c>
      <c r="B125" s="46" t="s">
        <v>938</v>
      </c>
      <c r="C125" s="58">
        <v>46065.365162037036</v>
      </c>
      <c r="D125" s="55" t="s">
        <v>1291</v>
      </c>
      <c r="E125" s="45" t="str">
        <f>VLOOKUP(Table2[[#This Row],[Row Labels]],[1]Sheet2!$B:$E,4,0)</f>
        <v>ABUBAKARY OMARY KABAKA</v>
      </c>
      <c r="F125" s="46" t="s">
        <v>2544</v>
      </c>
      <c r="G125" s="46" t="s">
        <v>2545</v>
      </c>
      <c r="H125" s="46">
        <v>4</v>
      </c>
    </row>
    <row r="126" spans="1:8" x14ac:dyDescent="0.3">
      <c r="A126" s="46">
        <v>125</v>
      </c>
      <c r="B126" s="46" t="s">
        <v>2091</v>
      </c>
      <c r="C126" s="58">
        <v>46065.317060185182</v>
      </c>
      <c r="D126" s="55" t="s">
        <v>1291</v>
      </c>
      <c r="E126" s="45" t="str">
        <f>VLOOKUP(Table2[[#This Row],[Row Labels]],[1]Sheet2!$B:$E,4,0)</f>
        <v>EZEKIEL MASANJA LUGANDU</v>
      </c>
      <c r="F126" s="46" t="s">
        <v>2546</v>
      </c>
      <c r="G126" s="46" t="s">
        <v>2349</v>
      </c>
      <c r="H126" s="46">
        <v>3</v>
      </c>
    </row>
    <row r="127" spans="1:8" x14ac:dyDescent="0.3">
      <c r="A127" s="46">
        <v>126</v>
      </c>
      <c r="B127" s="46" t="s">
        <v>1798</v>
      </c>
      <c r="C127" s="58">
        <v>46065.360150462962</v>
      </c>
      <c r="D127" s="55" t="s">
        <v>1291</v>
      </c>
      <c r="E127" s="45" t="str">
        <f>VLOOKUP(Table2[[#This Row],[Row Labels]],[1]Sheet2!$B:$E,4,0)</f>
        <v>GERALD RAPHAEL SALAMALA</v>
      </c>
      <c r="F127" s="46" t="s">
        <v>2547</v>
      </c>
      <c r="G127" s="46" t="s">
        <v>2548</v>
      </c>
      <c r="H127" s="46">
        <v>4</v>
      </c>
    </row>
    <row r="128" spans="1:8" x14ac:dyDescent="0.3">
      <c r="A128" s="46">
        <v>127</v>
      </c>
      <c r="B128" s="46" t="s">
        <v>1560</v>
      </c>
      <c r="C128" s="58">
        <v>46065.380844907413</v>
      </c>
      <c r="D128" s="55" t="s">
        <v>1291</v>
      </c>
      <c r="E128" s="45" t="str">
        <f>VLOOKUP(Table2[[#This Row],[Row Labels]],[1]Sheet2!$B:$E,4,0)</f>
        <v>JABU RASHIDI ISSA</v>
      </c>
      <c r="F128" s="46" t="s">
        <v>2549</v>
      </c>
      <c r="G128" s="46" t="s">
        <v>2550</v>
      </c>
      <c r="H128" s="46">
        <v>5</v>
      </c>
    </row>
    <row r="129" spans="1:8" x14ac:dyDescent="0.3">
      <c r="A129" s="46">
        <v>128</v>
      </c>
      <c r="B129" s="46" t="s">
        <v>2520</v>
      </c>
      <c r="C129" s="58">
        <v>46065.523796296293</v>
      </c>
      <c r="D129" s="55" t="s">
        <v>1291</v>
      </c>
      <c r="E129" s="45" t="str">
        <f>VLOOKUP(Table2[[#This Row],[Row Labels]],[1]Sheet2!$B:$E,4,0)</f>
        <v>SUNDAY EDWIN SOKA</v>
      </c>
      <c r="F129" s="46" t="s">
        <v>2551</v>
      </c>
      <c r="G129" s="46" t="s">
        <v>2552</v>
      </c>
      <c r="H129" s="46">
        <v>9</v>
      </c>
    </row>
    <row r="130" spans="1:8" x14ac:dyDescent="0.3">
      <c r="A130" s="46">
        <v>129</v>
      </c>
      <c r="B130" s="46" t="s">
        <v>55</v>
      </c>
      <c r="C130" s="58">
        <v>46065.687708333331</v>
      </c>
      <c r="D130" s="55" t="s">
        <v>1291</v>
      </c>
      <c r="E130" s="45" t="str">
        <f>VLOOKUP(Table2[[#This Row],[Row Labels]],[1]Sheet2!$B:$E,4,0)</f>
        <v>YUSUPH ZIAGA SANGA</v>
      </c>
      <c r="F130" s="46" t="s">
        <v>2553</v>
      </c>
      <c r="G130" s="46" t="s">
        <v>2554</v>
      </c>
      <c r="H130" s="46">
        <v>12</v>
      </c>
    </row>
    <row r="131" spans="1:8" x14ac:dyDescent="0.3">
      <c r="A131" s="46">
        <v>130</v>
      </c>
      <c r="B131" s="46" t="s">
        <v>1818</v>
      </c>
      <c r="C131" s="58">
        <v>46065.477916666663</v>
      </c>
      <c r="D131" s="55" t="s">
        <v>1291</v>
      </c>
      <c r="E131" s="45" t="str">
        <f>VLOOKUP(Table2[[#This Row],[Row Labels]],[1]Sheet2!$B:$E,4,0)</f>
        <v>STEPHANO ABINELI ULOMI</v>
      </c>
      <c r="F131" s="46" t="s">
        <v>2555</v>
      </c>
      <c r="G131" s="46" t="s">
        <v>2556</v>
      </c>
      <c r="H131" s="46">
        <v>3</v>
      </c>
    </row>
    <row r="132" spans="1:8" x14ac:dyDescent="0.3">
      <c r="A132" s="46">
        <v>131</v>
      </c>
      <c r="B132" s="46" t="s">
        <v>2557</v>
      </c>
      <c r="C132" s="58">
        <v>46065.589004629634</v>
      </c>
      <c r="D132" s="55" t="s">
        <v>1291</v>
      </c>
      <c r="E132" s="45" t="str">
        <f>VLOOKUP(Table2[[#This Row],[Row Labels]],[1]Sheet2!$B:$E,4,0)</f>
        <v>RAMADHAN RAHIBU SULEIMAN</v>
      </c>
      <c r="F132" s="46" t="s">
        <v>2558</v>
      </c>
      <c r="G132" s="46" t="s">
        <v>2559</v>
      </c>
      <c r="H132" s="46">
        <v>3</v>
      </c>
    </row>
    <row r="133" spans="1:8" x14ac:dyDescent="0.3">
      <c r="A133" s="46">
        <v>132</v>
      </c>
      <c r="B133" s="46" t="s">
        <v>2560</v>
      </c>
      <c r="C133" s="58">
        <v>46066.596377314818</v>
      </c>
      <c r="D133" s="55" t="s">
        <v>1360</v>
      </c>
      <c r="E133" s="45" t="str">
        <f>VLOOKUP(Table2[[#This Row],[Row Labels]],[1]Sheet2!$B:$E,4,0)</f>
        <v>NASSIBU MSENGESI MLASA</v>
      </c>
      <c r="F133" s="46" t="s">
        <v>2561</v>
      </c>
      <c r="G133" s="46" t="s">
        <v>2562</v>
      </c>
      <c r="H133" s="46">
        <v>3</v>
      </c>
    </row>
    <row r="134" spans="1:8" x14ac:dyDescent="0.3">
      <c r="A134" s="46">
        <v>133</v>
      </c>
      <c r="B134" s="46" t="s">
        <v>1359</v>
      </c>
      <c r="C134" s="58">
        <v>46066.41233796296</v>
      </c>
      <c r="D134" s="55" t="s">
        <v>1360</v>
      </c>
      <c r="E134" s="45" t="str">
        <f>VLOOKUP(Table2[[#This Row],[Row Labels]],[1]Sheet2!$B:$E,4,0)</f>
        <v>ABDUL SWEDI URASA</v>
      </c>
      <c r="F134" s="46" t="s">
        <v>2563</v>
      </c>
      <c r="G134" s="46" t="s">
        <v>2564</v>
      </c>
      <c r="H134" s="46">
        <v>3</v>
      </c>
    </row>
    <row r="135" spans="1:8" x14ac:dyDescent="0.3">
      <c r="A135" s="46">
        <v>134</v>
      </c>
      <c r="B135" s="46" t="s">
        <v>2119</v>
      </c>
      <c r="C135" s="58">
        <v>46066.4452662037</v>
      </c>
      <c r="D135" s="55" t="s">
        <v>1360</v>
      </c>
      <c r="E135" s="45" t="str">
        <f>VLOOKUP(Table2[[#This Row],[Row Labels]],[1]Sheet2!$B:$E,4,0)</f>
        <v>RICHARD ALOYCE MAKYAO</v>
      </c>
      <c r="F135" s="46" t="s">
        <v>2565</v>
      </c>
      <c r="G135" s="46" t="s">
        <v>2566</v>
      </c>
      <c r="H135" s="46">
        <v>3</v>
      </c>
    </row>
    <row r="136" spans="1:8" x14ac:dyDescent="0.3">
      <c r="A136" s="46">
        <v>135</v>
      </c>
      <c r="B136" s="46" t="s">
        <v>292</v>
      </c>
      <c r="C136" s="58">
        <v>46066.382337962961</v>
      </c>
      <c r="D136" s="55" t="s">
        <v>1360</v>
      </c>
      <c r="E136" s="45" t="str">
        <f>VLOOKUP(Table2[[#This Row],[Row Labels]],[1]Sheet2!$B:$E,4,0)</f>
        <v>ELIAH YUSUPH MPANGO</v>
      </c>
      <c r="F136" s="46" t="s">
        <v>2567</v>
      </c>
      <c r="G136" s="46" t="s">
        <v>2568</v>
      </c>
      <c r="H136" s="46">
        <v>7</v>
      </c>
    </row>
    <row r="137" spans="1:8" x14ac:dyDescent="0.3">
      <c r="A137" s="46">
        <v>136</v>
      </c>
      <c r="B137" s="46" t="s">
        <v>907</v>
      </c>
      <c r="C137" s="58">
        <v>46066.55369212963</v>
      </c>
      <c r="D137" s="55" t="s">
        <v>1360</v>
      </c>
      <c r="E137" s="45" t="str">
        <f>VLOOKUP(Table2[[#This Row],[Row Labels]],[1]Sheet2!$B:$E,4,0)</f>
        <v>MOHAMEDI IDDI KULWA</v>
      </c>
      <c r="F137" s="46" t="s">
        <v>2569</v>
      </c>
      <c r="G137" s="46" t="s">
        <v>2311</v>
      </c>
      <c r="H137" s="46">
        <v>5</v>
      </c>
    </row>
    <row r="138" spans="1:8" x14ac:dyDescent="0.3">
      <c r="A138" s="46">
        <v>137</v>
      </c>
      <c r="B138" s="46" t="s">
        <v>1592</v>
      </c>
      <c r="C138" s="58">
        <v>46066.678298611107</v>
      </c>
      <c r="D138" s="55" t="s">
        <v>1360</v>
      </c>
      <c r="E138" s="45" t="str">
        <f>VLOOKUP(Table2[[#This Row],[Row Labels]],[1]Sheet2!$B:$E,4,0)</f>
        <v>SALUM ALLY MAYANGA</v>
      </c>
      <c r="F138" s="46" t="s">
        <v>2570</v>
      </c>
      <c r="G138" s="46" t="s">
        <v>2571</v>
      </c>
      <c r="H138" s="46">
        <v>7</v>
      </c>
    </row>
    <row r="139" spans="1:8" x14ac:dyDescent="0.3">
      <c r="A139" s="46">
        <v>138</v>
      </c>
      <c r="B139" s="46" t="s">
        <v>1770</v>
      </c>
      <c r="C139" s="58">
        <v>46066.394918981481</v>
      </c>
      <c r="D139" s="55" t="s">
        <v>1360</v>
      </c>
      <c r="E139" s="45" t="str">
        <f>VLOOKUP(Table2[[#This Row],[Row Labels]],[1]Sheet2!$B:$E,4,0)</f>
        <v>DAUD JOSEPH GINATIO</v>
      </c>
      <c r="F139" s="46" t="s">
        <v>2572</v>
      </c>
      <c r="G139" s="46" t="s">
        <v>2573</v>
      </c>
      <c r="H139" s="46">
        <v>3</v>
      </c>
    </row>
    <row r="140" spans="1:8" x14ac:dyDescent="0.3">
      <c r="A140" s="46">
        <v>139</v>
      </c>
      <c r="B140" s="46" t="s">
        <v>2574</v>
      </c>
      <c r="C140" s="58">
        <v>46066.341446759259</v>
      </c>
      <c r="D140" s="55" t="s">
        <v>1360</v>
      </c>
      <c r="E140" s="45" t="str">
        <f>VLOOKUP(Table2[[#This Row],[Row Labels]],[1]Sheet2!$B:$E,4,0)</f>
        <v>OMARY IDDY MACHUPPA</v>
      </c>
      <c r="F140" s="46" t="s">
        <v>2575</v>
      </c>
      <c r="G140" s="46" t="s">
        <v>2576</v>
      </c>
      <c r="H140" s="46">
        <v>3</v>
      </c>
    </row>
    <row r="141" spans="1:8" x14ac:dyDescent="0.3">
      <c r="A141" s="46">
        <v>140</v>
      </c>
      <c r="B141" s="46" t="s">
        <v>1790</v>
      </c>
      <c r="C141" s="58">
        <v>46066.523888888893</v>
      </c>
      <c r="D141" s="55" t="s">
        <v>1360</v>
      </c>
      <c r="E141" s="45" t="str">
        <f>VLOOKUP(Table2[[#This Row],[Row Labels]],[1]Sheet2!$B:$E,4,0)</f>
        <v>PASTOR GASPER MCHAU</v>
      </c>
      <c r="F141" s="46" t="s">
        <v>2577</v>
      </c>
      <c r="G141" s="46" t="s">
        <v>2578</v>
      </c>
      <c r="H141" s="46">
        <v>4</v>
      </c>
    </row>
    <row r="142" spans="1:8" x14ac:dyDescent="0.3">
      <c r="A142" s="46">
        <v>141</v>
      </c>
      <c r="B142" s="46" t="s">
        <v>1470</v>
      </c>
      <c r="C142" s="58">
        <v>46066.449803240743</v>
      </c>
      <c r="D142" s="55" t="s">
        <v>1360</v>
      </c>
      <c r="E142" s="45" t="str">
        <f>VLOOKUP(Table2[[#This Row],[Row Labels]],[1]Sheet2!$B:$E,4,0)</f>
        <v>HARFANI MANENO MGAWE</v>
      </c>
      <c r="F142" s="46" t="s">
        <v>2579</v>
      </c>
      <c r="G142" s="46" t="s">
        <v>2580</v>
      </c>
      <c r="H142" s="46">
        <v>4</v>
      </c>
    </row>
    <row r="143" spans="1:8" x14ac:dyDescent="0.3">
      <c r="A143" s="46">
        <v>142</v>
      </c>
      <c r="B143" s="46" t="s">
        <v>1389</v>
      </c>
      <c r="C143" s="58">
        <v>46066.333124999997</v>
      </c>
      <c r="D143" s="55" t="s">
        <v>1360</v>
      </c>
      <c r="E143" s="45" t="str">
        <f>VLOOKUP(Table2[[#This Row],[Row Labels]],[1]Sheet2!$B:$E,4,0)</f>
        <v>MUMBA YASSINI KHAMISI</v>
      </c>
      <c r="F143" s="46" t="s">
        <v>2581</v>
      </c>
      <c r="G143" s="46" t="s">
        <v>2582</v>
      </c>
      <c r="H143" s="46">
        <v>3</v>
      </c>
    </row>
    <row r="144" spans="1:8" x14ac:dyDescent="0.3">
      <c r="A144" s="46">
        <v>143</v>
      </c>
      <c r="B144" s="46" t="s">
        <v>1560</v>
      </c>
      <c r="C144" s="58">
        <v>46066.489733796298</v>
      </c>
      <c r="D144" s="55" t="s">
        <v>1360</v>
      </c>
      <c r="E144" s="45" t="str">
        <f>VLOOKUP(Table2[[#This Row],[Row Labels]],[1]Sheet2!$B:$E,4,0)</f>
        <v>JABU RASHIDI ISSA</v>
      </c>
      <c r="F144" s="46" t="s">
        <v>2583</v>
      </c>
      <c r="G144" s="46" t="s">
        <v>2584</v>
      </c>
      <c r="H144" s="46">
        <v>4</v>
      </c>
    </row>
    <row r="145" spans="1:8" x14ac:dyDescent="0.3">
      <c r="A145" s="46">
        <v>144</v>
      </c>
      <c r="B145" s="46" t="s">
        <v>1346</v>
      </c>
      <c r="C145" s="58">
        <v>46066.45417824074</v>
      </c>
      <c r="D145" s="55" t="s">
        <v>1360</v>
      </c>
      <c r="E145" s="45">
        <f>VLOOKUP(Table2[[#This Row],[Row Labels]],[1]Sheet2!$B:$E,4,0)</f>
        <v>0</v>
      </c>
      <c r="F145" s="46" t="s">
        <v>2585</v>
      </c>
      <c r="G145" s="46" t="s">
        <v>2586</v>
      </c>
      <c r="H145" s="46">
        <v>3</v>
      </c>
    </row>
    <row r="146" spans="1:8" x14ac:dyDescent="0.3">
      <c r="A146" s="46">
        <v>145</v>
      </c>
      <c r="B146" s="46" t="s">
        <v>868</v>
      </c>
      <c r="C146" s="58">
        <v>46066.6878125</v>
      </c>
      <c r="D146" s="55" t="s">
        <v>1360</v>
      </c>
      <c r="E146" s="45" t="str">
        <f>VLOOKUP(Table2[[#This Row],[Row Labels]],[1]Sheet2!$B:$E,4,0)</f>
        <v>REVOCATUS LAUREAN ANATORY</v>
      </c>
      <c r="F146" s="46" t="s">
        <v>2587</v>
      </c>
      <c r="G146" s="46" t="s">
        <v>2588</v>
      </c>
      <c r="H146" s="46">
        <v>5</v>
      </c>
    </row>
    <row r="147" spans="1:8" x14ac:dyDescent="0.3">
      <c r="A147" s="46">
        <v>146</v>
      </c>
      <c r="B147" s="46" t="s">
        <v>1046</v>
      </c>
      <c r="C147" s="58">
        <v>46066.348009259258</v>
      </c>
      <c r="D147" s="55" t="s">
        <v>1360</v>
      </c>
      <c r="E147" s="45" t="str">
        <f>VLOOKUP(Table2[[#This Row],[Row Labels]],[1]Sheet2!$B:$E,4,0)</f>
        <v>HAMISI SELEMAN ZITTO</v>
      </c>
      <c r="F147" s="46" t="s">
        <v>2589</v>
      </c>
      <c r="G147" s="46" t="s">
        <v>2590</v>
      </c>
      <c r="H147" s="46">
        <v>3</v>
      </c>
    </row>
    <row r="148" spans="1:8" x14ac:dyDescent="0.3">
      <c r="A148" s="46">
        <v>147</v>
      </c>
      <c r="B148" s="46" t="s">
        <v>726</v>
      </c>
      <c r="C148" s="58">
        <v>46066.498344907413</v>
      </c>
      <c r="D148" s="55" t="s">
        <v>1360</v>
      </c>
      <c r="E148" s="45" t="str">
        <f>VLOOKUP(Table2[[#This Row],[Row Labels]],[1]Sheet2!$B:$E,4,0)</f>
        <v>SULEIMAN RAMADHANI KILIMWENGU</v>
      </c>
      <c r="F148" s="46" t="s">
        <v>2591</v>
      </c>
      <c r="G148" s="46" t="s">
        <v>2592</v>
      </c>
      <c r="H148" s="46">
        <v>4</v>
      </c>
    </row>
    <row r="149" spans="1:8" x14ac:dyDescent="0.3">
      <c r="A149" s="46">
        <v>148</v>
      </c>
      <c r="B149" s="46" t="s">
        <v>1818</v>
      </c>
      <c r="C149" s="58">
        <v>46066.311331018522</v>
      </c>
      <c r="D149" s="55" t="s">
        <v>1360</v>
      </c>
      <c r="E149" s="45" t="str">
        <f>VLOOKUP(Table2[[#This Row],[Row Labels]],[1]Sheet2!$B:$E,4,0)</f>
        <v>STEPHANO ABINELI ULOMI</v>
      </c>
      <c r="F149" s="46" t="s">
        <v>2593</v>
      </c>
      <c r="G149" s="46" t="s">
        <v>2594</v>
      </c>
      <c r="H149" s="46">
        <v>3</v>
      </c>
    </row>
    <row r="150" spans="1:8" x14ac:dyDescent="0.3">
      <c r="A150" s="46">
        <v>149</v>
      </c>
      <c r="B150" s="46" t="s">
        <v>1221</v>
      </c>
      <c r="C150" s="58">
        <v>46066.39634259259</v>
      </c>
      <c r="D150" s="55" t="s">
        <v>1360</v>
      </c>
      <c r="E150" s="45" t="str">
        <f>VLOOKUP(Table2[[#This Row],[Row Labels]],[1]Sheet2!$B:$E,4,0)</f>
        <v>ISSA MOHAMED KIMWAGA</v>
      </c>
      <c r="F150" s="46" t="s">
        <v>2595</v>
      </c>
      <c r="G150" s="46" t="s">
        <v>2596</v>
      </c>
      <c r="H150" s="46">
        <v>8</v>
      </c>
    </row>
    <row r="151" spans="1:8" x14ac:dyDescent="0.3">
      <c r="A151" s="46">
        <v>150</v>
      </c>
      <c r="B151" s="46" t="s">
        <v>2557</v>
      </c>
      <c r="C151" s="58">
        <v>46066.70952546296</v>
      </c>
      <c r="D151" s="55" t="s">
        <v>1360</v>
      </c>
      <c r="E151" s="45" t="str">
        <f>VLOOKUP(Table2[[#This Row],[Row Labels]],[1]Sheet2!$B:$E,4,0)</f>
        <v>RAMADHAN RAHIBU SULEIMAN</v>
      </c>
      <c r="F151" s="46" t="s">
        <v>2597</v>
      </c>
      <c r="G151" s="46" t="s">
        <v>2598</v>
      </c>
      <c r="H151" s="46">
        <v>5</v>
      </c>
    </row>
    <row r="152" spans="1:8" x14ac:dyDescent="0.3">
      <c r="A152" s="46">
        <v>151</v>
      </c>
      <c r="B152" s="46" t="s">
        <v>1825</v>
      </c>
      <c r="C152" s="58">
        <v>46066.627349537041</v>
      </c>
      <c r="D152" s="55" t="s">
        <v>1360</v>
      </c>
      <c r="E152" s="45" t="str">
        <f>VLOOKUP(Table2[[#This Row],[Row Labels]],[1]Sheet2!$B:$E,4,0)</f>
        <v>HASSANI MABROUCK TUNZA</v>
      </c>
      <c r="F152" s="46" t="s">
        <v>2599</v>
      </c>
      <c r="G152" s="46" t="s">
        <v>2600</v>
      </c>
      <c r="H152" s="46">
        <v>3</v>
      </c>
    </row>
    <row r="153" spans="1:8" x14ac:dyDescent="0.3">
      <c r="A153" s="46">
        <v>152</v>
      </c>
      <c r="B153" s="46" t="s">
        <v>1082</v>
      </c>
      <c r="C153" s="58">
        <v>46067.28702546296</v>
      </c>
      <c r="D153" s="55" t="s">
        <v>1414</v>
      </c>
      <c r="E153" s="45" t="str">
        <f>VLOOKUP(Table2[[#This Row],[Row Labels]],[1]Sheet2!$B:$E,4,0)</f>
        <v>JUMANNE ALLY MUHINA</v>
      </c>
      <c r="F153" s="46" t="s">
        <v>2601</v>
      </c>
      <c r="G153" s="46" t="s">
        <v>2602</v>
      </c>
      <c r="H153" s="46">
        <v>7</v>
      </c>
    </row>
    <row r="154" spans="1:8" x14ac:dyDescent="0.3">
      <c r="A154" s="46">
        <v>153</v>
      </c>
      <c r="B154" s="46" t="s">
        <v>2574</v>
      </c>
      <c r="C154" s="58">
        <v>46067.336041666669</v>
      </c>
      <c r="D154" s="55" t="s">
        <v>1414</v>
      </c>
      <c r="E154" s="45" t="str">
        <f>VLOOKUP(Table2[[#This Row],[Row Labels]],[1]Sheet2!$B:$E,4,0)</f>
        <v>OMARY IDDY MACHUPPA</v>
      </c>
      <c r="F154" s="46" t="s">
        <v>2603</v>
      </c>
      <c r="G154" s="46" t="s">
        <v>2604</v>
      </c>
      <c r="H154" s="46">
        <v>6</v>
      </c>
    </row>
    <row r="155" spans="1:8" x14ac:dyDescent="0.3">
      <c r="A155" s="46">
        <v>154</v>
      </c>
      <c r="B155" s="46" t="s">
        <v>155</v>
      </c>
      <c r="C155" s="58">
        <v>46067.480451388888</v>
      </c>
      <c r="D155" s="55" t="s">
        <v>1414</v>
      </c>
      <c r="E155" s="45" t="str">
        <f>VLOOKUP(Table2[[#This Row],[Row Labels]],[1]Sheet2!$B:$E,4,0)</f>
        <v>GABRIEL SHIJA MAHONA</v>
      </c>
      <c r="F155" s="46" t="s">
        <v>2605</v>
      </c>
      <c r="G155" s="46" t="s">
        <v>2606</v>
      </c>
      <c r="H155" s="46">
        <v>10</v>
      </c>
    </row>
    <row r="156" spans="1:8" x14ac:dyDescent="0.3">
      <c r="A156" s="46">
        <v>155</v>
      </c>
      <c r="B156" s="46" t="s">
        <v>164</v>
      </c>
      <c r="C156" s="58">
        <v>46067.326249999998</v>
      </c>
      <c r="D156" s="55" t="s">
        <v>1414</v>
      </c>
      <c r="E156" s="45" t="str">
        <f>VLOOKUP(Table2[[#This Row],[Row Labels]],[1]Sheet2!$B:$E,4,0)</f>
        <v>ERASTO CHARLES MTWEVE</v>
      </c>
      <c r="F156" s="46" t="s">
        <v>2607</v>
      </c>
      <c r="G156" s="46" t="s">
        <v>2608</v>
      </c>
      <c r="H156" s="46">
        <v>3</v>
      </c>
    </row>
    <row r="157" spans="1:8" x14ac:dyDescent="0.3">
      <c r="A157" s="46">
        <v>156</v>
      </c>
      <c r="B157" s="46" t="s">
        <v>36</v>
      </c>
      <c r="C157" s="58">
        <v>46067.656817129631</v>
      </c>
      <c r="D157" s="55" t="s">
        <v>1414</v>
      </c>
      <c r="E157" s="45" t="str">
        <f>VLOOKUP(Table2[[#This Row],[Row Labels]],[1]Sheet2!$B:$E,4,0)</f>
        <v>STAN ENISON LULANDALA</v>
      </c>
      <c r="F157" s="46" t="s">
        <v>2609</v>
      </c>
      <c r="G157" s="46" t="s">
        <v>2610</v>
      </c>
      <c r="H157" s="46">
        <v>5</v>
      </c>
    </row>
    <row r="158" spans="1:8" x14ac:dyDescent="0.3">
      <c r="A158" s="46">
        <v>157</v>
      </c>
      <c r="B158" s="46" t="s">
        <v>929</v>
      </c>
      <c r="C158" s="58">
        <v>46067.340520833342</v>
      </c>
      <c r="D158" s="55" t="s">
        <v>1414</v>
      </c>
      <c r="E158" s="45" t="str">
        <f>VLOOKUP(Table2[[#This Row],[Row Labels]],[1]Sheet2!$B:$E,4,0)</f>
        <v>RAMADHANI SALIMU SHEDAFA</v>
      </c>
      <c r="F158" s="46" t="s">
        <v>2611</v>
      </c>
      <c r="G158" s="46" t="s">
        <v>2612</v>
      </c>
      <c r="H158" s="46">
        <v>3</v>
      </c>
    </row>
    <row r="159" spans="1:8" x14ac:dyDescent="0.3">
      <c r="A159" s="46">
        <v>158</v>
      </c>
      <c r="B159" s="46" t="s">
        <v>1790</v>
      </c>
      <c r="C159" s="58">
        <v>46067.485150462962</v>
      </c>
      <c r="D159" s="55" t="s">
        <v>1414</v>
      </c>
      <c r="E159" s="45" t="str">
        <f>VLOOKUP(Table2[[#This Row],[Row Labels]],[1]Sheet2!$B:$E,4,0)</f>
        <v>PASTOR GASPER MCHAU</v>
      </c>
      <c r="F159" s="46" t="s">
        <v>2613</v>
      </c>
      <c r="G159" s="46" t="s">
        <v>2614</v>
      </c>
      <c r="H159" s="46">
        <v>7</v>
      </c>
    </row>
    <row r="160" spans="1:8" x14ac:dyDescent="0.3">
      <c r="A160" s="46">
        <v>159</v>
      </c>
      <c r="B160" s="46" t="s">
        <v>704</v>
      </c>
      <c r="C160" s="58">
        <v>46067.344224537039</v>
      </c>
      <c r="D160" s="55" t="s">
        <v>1414</v>
      </c>
      <c r="E160" s="45" t="str">
        <f>VLOOKUP(Table2[[#This Row],[Row Labels]],[1]Sheet2!$B:$E,4,0)</f>
        <v>CHRISTIAN NKWELA MAPUNDA</v>
      </c>
      <c r="F160" s="46" t="s">
        <v>2615</v>
      </c>
      <c r="G160" s="46" t="s">
        <v>2616</v>
      </c>
      <c r="H160" s="46">
        <v>4</v>
      </c>
    </row>
    <row r="161" spans="1:8" x14ac:dyDescent="0.3">
      <c r="A161" s="46">
        <v>160</v>
      </c>
      <c r="B161" s="46" t="s">
        <v>2520</v>
      </c>
      <c r="C161" s="58">
        <v>46067.39329861111</v>
      </c>
      <c r="D161" s="55" t="s">
        <v>1414</v>
      </c>
      <c r="E161" s="45" t="str">
        <f>VLOOKUP(Table2[[#This Row],[Row Labels]],[1]Sheet2!$B:$E,4,0)</f>
        <v>SUNDAY EDWIN SOKA</v>
      </c>
      <c r="F161" s="46" t="s">
        <v>2617</v>
      </c>
      <c r="G161" s="46" t="s">
        <v>2618</v>
      </c>
      <c r="H161" s="46">
        <v>4</v>
      </c>
    </row>
    <row r="162" spans="1:8" x14ac:dyDescent="0.3">
      <c r="A162" s="46">
        <v>161</v>
      </c>
      <c r="B162" s="46" t="s">
        <v>55</v>
      </c>
      <c r="C162" s="58">
        <v>46067.390243055554</v>
      </c>
      <c r="D162" s="55" t="s">
        <v>1414</v>
      </c>
      <c r="E162" s="45" t="str">
        <f>VLOOKUP(Table2[[#This Row],[Row Labels]],[1]Sheet2!$B:$E,4,0)</f>
        <v>YUSUPH ZIAGA SANGA</v>
      </c>
      <c r="F162" s="46" t="s">
        <v>2619</v>
      </c>
      <c r="G162" s="46" t="s">
        <v>2620</v>
      </c>
      <c r="H162" s="46">
        <v>22</v>
      </c>
    </row>
    <row r="163" spans="1:8" x14ac:dyDescent="0.3">
      <c r="A163" s="46">
        <v>162</v>
      </c>
      <c r="B163" s="46" t="s">
        <v>478</v>
      </c>
      <c r="C163" s="58">
        <v>46067.396099537043</v>
      </c>
      <c r="D163" s="55" t="s">
        <v>1414</v>
      </c>
      <c r="E163" s="45" t="str">
        <f>VLOOKUP(Table2[[#This Row],[Row Labels]],[1]Sheet2!$B:$E,4,0)</f>
        <v>OMARY SAID MTAJI</v>
      </c>
      <c r="F163" s="46" t="s">
        <v>2621</v>
      </c>
      <c r="G163" s="46" t="s">
        <v>2622</v>
      </c>
      <c r="H163" s="46">
        <v>3</v>
      </c>
    </row>
    <row r="164" spans="1:8" x14ac:dyDescent="0.3">
      <c r="A164" s="46">
        <v>163</v>
      </c>
      <c r="B164" s="46" t="s">
        <v>1221</v>
      </c>
      <c r="C164" s="58">
        <v>46067.440995370373</v>
      </c>
      <c r="D164" s="55" t="s">
        <v>1414</v>
      </c>
      <c r="E164" s="45" t="str">
        <f>VLOOKUP(Table2[[#This Row],[Row Labels]],[1]Sheet2!$B:$E,4,0)</f>
        <v>ISSA MOHAMED KIMWAGA</v>
      </c>
      <c r="F164" s="46" t="s">
        <v>2623</v>
      </c>
      <c r="G164" s="46" t="s">
        <v>2624</v>
      </c>
      <c r="H164" s="46">
        <v>10</v>
      </c>
    </row>
    <row r="165" spans="1:8" x14ac:dyDescent="0.3">
      <c r="A165" s="46">
        <v>164</v>
      </c>
      <c r="B165" s="46" t="s">
        <v>41</v>
      </c>
      <c r="C165" s="58">
        <v>46067.301608796297</v>
      </c>
      <c r="D165" s="55" t="s">
        <v>1414</v>
      </c>
      <c r="E165" s="45" t="str">
        <f>VLOOKUP(Table2[[#This Row],[Row Labels]],[1]Sheet2!$B:$E,4,0)</f>
        <v>OMARI ATHUMANI SELEMANI</v>
      </c>
      <c r="F165" s="46" t="s">
        <v>2625</v>
      </c>
      <c r="G165" s="46" t="s">
        <v>2626</v>
      </c>
      <c r="H165" s="46">
        <v>5</v>
      </c>
    </row>
    <row r="166" spans="1:8" x14ac:dyDescent="0.3">
      <c r="A166" s="46">
        <v>165</v>
      </c>
      <c r="B166" s="46" t="s">
        <v>876</v>
      </c>
      <c r="C166" s="58">
        <v>46067.313692129632</v>
      </c>
      <c r="D166" s="55" t="s">
        <v>1414</v>
      </c>
      <c r="E166" s="45" t="str">
        <f>VLOOKUP(Table2[[#This Row],[Row Labels]],[1]Sheet2!$B:$E,4,0)</f>
        <v>JOSEPHAT ALOYCE KAHEMELE</v>
      </c>
      <c r="F166" s="46" t="s">
        <v>2627</v>
      </c>
      <c r="G166" s="46" t="s">
        <v>2628</v>
      </c>
      <c r="H166" s="46">
        <v>4</v>
      </c>
    </row>
    <row r="167" spans="1:8" x14ac:dyDescent="0.3">
      <c r="A167" s="46">
        <v>166</v>
      </c>
      <c r="B167" s="46" t="s">
        <v>1082</v>
      </c>
      <c r="C167" s="58">
        <v>46068.381990740738</v>
      </c>
      <c r="D167" s="55" t="s">
        <v>1502</v>
      </c>
      <c r="E167" s="45" t="str">
        <f>VLOOKUP(Table2[[#This Row],[Row Labels]],[1]Sheet2!$B:$E,4,0)</f>
        <v>JUMANNE ALLY MUHINA</v>
      </c>
      <c r="F167" s="46" t="s">
        <v>2629</v>
      </c>
      <c r="G167" s="46" t="s">
        <v>2630</v>
      </c>
      <c r="H167" s="46">
        <v>3</v>
      </c>
    </row>
    <row r="168" spans="1:8" x14ac:dyDescent="0.3">
      <c r="A168" s="46">
        <v>167</v>
      </c>
      <c r="B168" s="46" t="s">
        <v>2631</v>
      </c>
      <c r="C168" s="58">
        <v>46068.413043981483</v>
      </c>
      <c r="D168" s="55" t="s">
        <v>1502</v>
      </c>
      <c r="E168" s="45" t="str">
        <f>VLOOKUP(Table2[[#This Row],[Row Labels]],[1]Sheet2!$B:$E,4,0)</f>
        <v>WILLIAM RICHARD MACK</v>
      </c>
      <c r="F168" s="46" t="s">
        <v>2632</v>
      </c>
      <c r="G168" s="46" t="s">
        <v>2633</v>
      </c>
      <c r="H168" s="46">
        <v>4</v>
      </c>
    </row>
    <row r="169" spans="1:8" x14ac:dyDescent="0.3">
      <c r="A169" s="46">
        <v>168</v>
      </c>
      <c r="B169" s="46" t="s">
        <v>1089</v>
      </c>
      <c r="C169" s="58">
        <v>46068.494803240741</v>
      </c>
      <c r="D169" s="55" t="s">
        <v>1502</v>
      </c>
      <c r="E169" s="45" t="str">
        <f>VLOOKUP(Table2[[#This Row],[Row Labels]],[1]Sheet2!$B:$E,4,0)</f>
        <v>MARTIN KYEJO MARTIN</v>
      </c>
      <c r="F169" s="46" t="s">
        <v>2634</v>
      </c>
      <c r="G169" s="46" t="s">
        <v>2635</v>
      </c>
      <c r="H169" s="46">
        <v>3</v>
      </c>
    </row>
    <row r="170" spans="1:8" x14ac:dyDescent="0.3">
      <c r="A170" s="46">
        <v>169</v>
      </c>
      <c r="B170" s="46" t="s">
        <v>155</v>
      </c>
      <c r="C170" s="58">
        <v>46068.759270833332</v>
      </c>
      <c r="D170" s="55" t="s">
        <v>1502</v>
      </c>
      <c r="E170" s="45" t="str">
        <f>VLOOKUP(Table2[[#This Row],[Row Labels]],[1]Sheet2!$B:$E,4,0)</f>
        <v>GABRIEL SHIJA MAHONA</v>
      </c>
      <c r="F170" s="46" t="s">
        <v>2636</v>
      </c>
      <c r="G170" s="46" t="s">
        <v>2637</v>
      </c>
      <c r="H170" s="46">
        <v>24</v>
      </c>
    </row>
    <row r="171" spans="1:8" x14ac:dyDescent="0.3">
      <c r="A171" s="46">
        <v>170</v>
      </c>
      <c r="B171" s="46" t="s">
        <v>36</v>
      </c>
      <c r="C171" s="58">
        <v>46068.384953703702</v>
      </c>
      <c r="D171" s="55" t="s">
        <v>1502</v>
      </c>
      <c r="E171" s="45" t="str">
        <f>VLOOKUP(Table2[[#This Row],[Row Labels]],[1]Sheet2!$B:$E,4,0)</f>
        <v>STAN ENISON LULANDALA</v>
      </c>
      <c r="F171" s="46" t="s">
        <v>2638</v>
      </c>
      <c r="G171" s="46" t="s">
        <v>2639</v>
      </c>
      <c r="H171" s="46">
        <v>4</v>
      </c>
    </row>
    <row r="172" spans="1:8" x14ac:dyDescent="0.3">
      <c r="A172" s="46">
        <v>171</v>
      </c>
      <c r="B172" s="46" t="s">
        <v>1457</v>
      </c>
      <c r="C172" s="58">
        <v>46068.665671296287</v>
      </c>
      <c r="D172" s="55" t="s">
        <v>1502</v>
      </c>
      <c r="E172" s="45" t="str">
        <f>VLOOKUP(Table2[[#This Row],[Row Labels]],[1]Sheet2!$B:$E,4,0)</f>
        <v>HASSAN AWADHI TAMIM</v>
      </c>
      <c r="F172" s="46" t="s">
        <v>2640</v>
      </c>
      <c r="G172" s="46" t="s">
        <v>2641</v>
      </c>
      <c r="H172" s="46">
        <v>5</v>
      </c>
    </row>
    <row r="173" spans="1:8" x14ac:dyDescent="0.3">
      <c r="A173" s="46">
        <v>172</v>
      </c>
      <c r="B173" s="46" t="s">
        <v>1462</v>
      </c>
      <c r="C173" s="58">
        <v>46068.753912037027</v>
      </c>
      <c r="D173" s="55" t="s">
        <v>1502</v>
      </c>
      <c r="E173" s="45" t="str">
        <f>VLOOKUP(Table2[[#This Row],[Row Labels]],[1]Sheet2!$B:$E,4,0)</f>
        <v>MISTWAHI AMRI SAID</v>
      </c>
      <c r="F173" s="46" t="s">
        <v>2642</v>
      </c>
      <c r="G173" s="46" t="s">
        <v>2643</v>
      </c>
      <c r="H173" s="46">
        <v>3</v>
      </c>
    </row>
    <row r="174" spans="1:8" x14ac:dyDescent="0.3">
      <c r="A174" s="46">
        <v>173</v>
      </c>
      <c r="B174" s="46" t="s">
        <v>704</v>
      </c>
      <c r="C174" s="58">
        <v>46068.367407407408</v>
      </c>
      <c r="D174" s="55" t="s">
        <v>1502</v>
      </c>
      <c r="E174" s="45" t="str">
        <f>VLOOKUP(Table2[[#This Row],[Row Labels]],[1]Sheet2!$B:$E,4,0)</f>
        <v>CHRISTIAN NKWELA MAPUNDA</v>
      </c>
      <c r="F174" s="46" t="s">
        <v>2644</v>
      </c>
      <c r="G174" s="46" t="s">
        <v>2645</v>
      </c>
      <c r="H174" s="46">
        <v>3</v>
      </c>
    </row>
    <row r="175" spans="1:8" x14ac:dyDescent="0.3">
      <c r="A175" s="46">
        <v>174</v>
      </c>
      <c r="B175" s="46" t="s">
        <v>2520</v>
      </c>
      <c r="C175" s="58">
        <v>46068.354513888888</v>
      </c>
      <c r="D175" s="55" t="s">
        <v>1502</v>
      </c>
      <c r="E175" s="45" t="str">
        <f>VLOOKUP(Table2[[#This Row],[Row Labels]],[1]Sheet2!$B:$E,4,0)</f>
        <v>SUNDAY EDWIN SOKA</v>
      </c>
      <c r="F175" s="46" t="s">
        <v>2646</v>
      </c>
      <c r="G175" s="46" t="s">
        <v>2647</v>
      </c>
      <c r="H175" s="46">
        <v>9</v>
      </c>
    </row>
    <row r="176" spans="1:8" x14ac:dyDescent="0.3">
      <c r="A176" s="46">
        <v>175</v>
      </c>
      <c r="B176" s="46" t="s">
        <v>593</v>
      </c>
      <c r="C176" s="58">
        <v>46068.318865740737</v>
      </c>
      <c r="D176" s="55" t="s">
        <v>1502</v>
      </c>
      <c r="E176" s="45" t="str">
        <f>VLOOKUP(Table2[[#This Row],[Row Labels]],[1]Sheet2!$B:$E,4,0)</f>
        <v>JAPHARY NASSORO JAPHARY</v>
      </c>
      <c r="F176" s="46" t="s">
        <v>2648</v>
      </c>
      <c r="G176" s="46" t="s">
        <v>2649</v>
      </c>
      <c r="H176" s="46">
        <v>3</v>
      </c>
    </row>
    <row r="177" spans="1:8" x14ac:dyDescent="0.3">
      <c r="A177" s="46">
        <v>176</v>
      </c>
      <c r="B177" s="46" t="s">
        <v>55</v>
      </c>
      <c r="C177" s="58">
        <v>46068.393090277779</v>
      </c>
      <c r="D177" s="55" t="s">
        <v>1502</v>
      </c>
      <c r="E177" s="45" t="str">
        <f>VLOOKUP(Table2[[#This Row],[Row Labels]],[1]Sheet2!$B:$E,4,0)</f>
        <v>YUSUPH ZIAGA SANGA</v>
      </c>
      <c r="F177" s="46" t="s">
        <v>2650</v>
      </c>
      <c r="G177" s="46" t="s">
        <v>2651</v>
      </c>
      <c r="H177" s="46">
        <v>21</v>
      </c>
    </row>
    <row r="178" spans="1:8" x14ac:dyDescent="0.3">
      <c r="A178" s="46">
        <v>177</v>
      </c>
      <c r="B178" s="46" t="s">
        <v>26</v>
      </c>
      <c r="C178" s="58">
        <v>46068.345763888887</v>
      </c>
      <c r="D178" s="55" t="s">
        <v>1502</v>
      </c>
      <c r="E178" s="45" t="str">
        <f>VLOOKUP(Table2[[#This Row],[Row Labels]],[1]Sheet2!$B:$E,4,0)</f>
        <v>MADENGE SALUM SHOMARI</v>
      </c>
      <c r="F178" s="46" t="s">
        <v>2652</v>
      </c>
      <c r="G178" s="46" t="s">
        <v>2653</v>
      </c>
      <c r="H178" s="46">
        <v>5</v>
      </c>
    </row>
    <row r="179" spans="1:8" x14ac:dyDescent="0.3">
      <c r="A179" s="46">
        <v>178</v>
      </c>
      <c r="B179" s="46" t="s">
        <v>1418</v>
      </c>
      <c r="C179" s="58">
        <v>46069.380462962959</v>
      </c>
      <c r="D179" s="55" t="s">
        <v>1579</v>
      </c>
      <c r="E179" s="45" t="str">
        <f>VLOOKUP(Table2[[#This Row],[Row Labels]],[1]Sheet2!$B:$E,4,0)</f>
        <v>JOEL SAMSON MANDAGO</v>
      </c>
      <c r="F179" s="46" t="s">
        <v>2654</v>
      </c>
      <c r="G179" s="46" t="s">
        <v>2655</v>
      </c>
      <c r="H179" s="46">
        <v>3</v>
      </c>
    </row>
    <row r="180" spans="1:8" x14ac:dyDescent="0.3">
      <c r="A180" s="46">
        <v>179</v>
      </c>
      <c r="B180" s="46" t="s">
        <v>2631</v>
      </c>
      <c r="C180" s="58">
        <v>46069.415439814817</v>
      </c>
      <c r="D180" s="55" t="s">
        <v>1579</v>
      </c>
      <c r="E180" s="45" t="str">
        <f>VLOOKUP(Table2[[#This Row],[Row Labels]],[1]Sheet2!$B:$E,4,0)</f>
        <v>WILLIAM RICHARD MACK</v>
      </c>
      <c r="F180" s="46" t="s">
        <v>2656</v>
      </c>
      <c r="G180" s="46" t="s">
        <v>2657</v>
      </c>
      <c r="H180" s="46">
        <v>4</v>
      </c>
    </row>
    <row r="181" spans="1:8" x14ac:dyDescent="0.3">
      <c r="A181" s="46">
        <v>180</v>
      </c>
      <c r="B181" s="46" t="s">
        <v>120</v>
      </c>
      <c r="C181" s="58">
        <v>46069.345000000001</v>
      </c>
      <c r="D181" s="55" t="s">
        <v>1579</v>
      </c>
      <c r="E181" s="45" t="str">
        <f>VLOOKUP(Table2[[#This Row],[Row Labels]],[1]Sheet2!$B:$E,4,0)</f>
        <v>YUSUFU  SAMSON NICODEMUS</v>
      </c>
      <c r="F181" s="46" t="s">
        <v>2658</v>
      </c>
      <c r="G181" s="46" t="s">
        <v>2659</v>
      </c>
      <c r="H181" s="46">
        <v>3</v>
      </c>
    </row>
    <row r="182" spans="1:8" x14ac:dyDescent="0.3">
      <c r="A182" s="46">
        <v>181</v>
      </c>
      <c r="B182" s="46" t="s">
        <v>1604</v>
      </c>
      <c r="C182" s="58">
        <v>46069.661562499998</v>
      </c>
      <c r="D182" s="55" t="s">
        <v>1579</v>
      </c>
      <c r="E182" s="45" t="str">
        <f>VLOOKUP(Table2[[#This Row],[Row Labels]],[1]Sheet2!$B:$E,4,0)</f>
        <v>OMARI SALIMU MOHAMEDI</v>
      </c>
      <c r="F182" s="46" t="s">
        <v>2660</v>
      </c>
      <c r="G182" s="46" t="s">
        <v>2661</v>
      </c>
      <c r="H182" s="46">
        <v>6</v>
      </c>
    </row>
    <row r="183" spans="1:8" x14ac:dyDescent="0.3">
      <c r="A183" s="46">
        <v>182</v>
      </c>
      <c r="B183" s="46" t="s">
        <v>1685</v>
      </c>
      <c r="C183" s="58">
        <v>46069.828946759262</v>
      </c>
      <c r="D183" s="55" t="s">
        <v>1579</v>
      </c>
      <c r="E183" s="45" t="str">
        <f>VLOOKUP(Table2[[#This Row],[Row Labels]],[1]Sheet2!$B:$E,4,0)</f>
        <v>JITENGENI YAHYA MZEE</v>
      </c>
      <c r="F183" s="46" t="s">
        <v>2662</v>
      </c>
      <c r="G183" s="46" t="s">
        <v>2663</v>
      </c>
      <c r="H183" s="46">
        <v>3</v>
      </c>
    </row>
    <row r="184" spans="1:8" x14ac:dyDescent="0.3">
      <c r="A184" s="46">
        <v>183</v>
      </c>
      <c r="B184" s="46" t="s">
        <v>1866</v>
      </c>
      <c r="C184" s="58">
        <v>46069.322604166657</v>
      </c>
      <c r="D184" s="55" t="s">
        <v>1579</v>
      </c>
      <c r="E184" s="45" t="str">
        <f>VLOOKUP(Table2[[#This Row],[Row Labels]],[1]Sheet2!$B:$E,4,0)</f>
        <v>JEREMIAHY SIMONE MWALUKO</v>
      </c>
      <c r="F184" s="46" t="s">
        <v>2664</v>
      </c>
      <c r="G184" s="46" t="s">
        <v>2665</v>
      </c>
      <c r="H184" s="46">
        <v>5</v>
      </c>
    </row>
    <row r="185" spans="1:8" x14ac:dyDescent="0.3">
      <c r="A185" s="46">
        <v>184</v>
      </c>
      <c r="B185" s="46" t="s">
        <v>51</v>
      </c>
      <c r="C185" s="58">
        <v>46069.313009259262</v>
      </c>
      <c r="D185" s="55" t="s">
        <v>1579</v>
      </c>
      <c r="E185" s="45" t="str">
        <f>VLOOKUP(Table2[[#This Row],[Row Labels]],[1]Sheet2!$B:$E,4,0)</f>
        <v>JUMANNE ALLY NJECHELE</v>
      </c>
      <c r="F185" s="46" t="s">
        <v>2666</v>
      </c>
      <c r="G185" s="46" t="s">
        <v>2667</v>
      </c>
      <c r="H185" s="46">
        <v>5</v>
      </c>
    </row>
    <row r="186" spans="1:8" x14ac:dyDescent="0.3">
      <c r="A186" s="46">
        <v>185</v>
      </c>
      <c r="B186" s="46" t="s">
        <v>2320</v>
      </c>
      <c r="C186" s="58">
        <v>46069.484409722223</v>
      </c>
      <c r="D186" s="55" t="s">
        <v>1579</v>
      </c>
      <c r="E186" s="45" t="str">
        <f>VLOOKUP(Table2[[#This Row],[Row Labels]],[1]Sheet2!$B:$E,4,0)</f>
        <v>RAMADHANI SHABANI WAGAMOYO</v>
      </c>
      <c r="F186" s="46" t="s">
        <v>2668</v>
      </c>
      <c r="G186" s="46" t="s">
        <v>2669</v>
      </c>
      <c r="H186" s="46">
        <v>3</v>
      </c>
    </row>
    <row r="187" spans="1:8" x14ac:dyDescent="0.3">
      <c r="A187" s="46">
        <v>186</v>
      </c>
      <c r="B187" s="46" t="s">
        <v>1253</v>
      </c>
      <c r="C187" s="58">
        <v>46069.047037037039</v>
      </c>
      <c r="D187" s="55" t="s">
        <v>1579</v>
      </c>
      <c r="E187" s="45" t="str">
        <f>VLOOKUP(Table2[[#This Row],[Row Labels]],[1]Sheet2!$B:$E,4,0)</f>
        <v>LAMECK CHARLES ROMAN</v>
      </c>
      <c r="F187" s="46" t="s">
        <v>2670</v>
      </c>
      <c r="G187" s="46" t="s">
        <v>2671</v>
      </c>
      <c r="H187" s="46">
        <v>3</v>
      </c>
    </row>
    <row r="188" spans="1:8" x14ac:dyDescent="0.3">
      <c r="A188" s="46">
        <v>187</v>
      </c>
      <c r="B188" s="46" t="s">
        <v>155</v>
      </c>
      <c r="C188" s="58">
        <v>46069.472210648149</v>
      </c>
      <c r="D188" s="55" t="s">
        <v>1579</v>
      </c>
      <c r="E188" s="45" t="str">
        <f>VLOOKUP(Table2[[#This Row],[Row Labels]],[1]Sheet2!$B:$E,4,0)</f>
        <v>GABRIEL SHIJA MAHONA</v>
      </c>
      <c r="F188" s="46" t="s">
        <v>2672</v>
      </c>
      <c r="G188" s="46" t="s">
        <v>2673</v>
      </c>
      <c r="H188" s="46">
        <v>3</v>
      </c>
    </row>
    <row r="189" spans="1:8" x14ac:dyDescent="0.3">
      <c r="A189" s="46">
        <v>188</v>
      </c>
      <c r="B189" s="46" t="s">
        <v>2034</v>
      </c>
      <c r="C189" s="58">
        <v>46069.622233796297</v>
      </c>
      <c r="D189" s="55" t="s">
        <v>1579</v>
      </c>
      <c r="E189" s="45" t="str">
        <f>VLOOKUP(Table2[[#This Row],[Row Labels]],[1]Sheet2!$B:$E,4,0)</f>
        <v>DAVID NICHOLAUS MASAKA</v>
      </c>
      <c r="F189" s="46" t="s">
        <v>2674</v>
      </c>
      <c r="G189" s="46" t="s">
        <v>2675</v>
      </c>
      <c r="H189" s="46">
        <v>4</v>
      </c>
    </row>
    <row r="190" spans="1:8" x14ac:dyDescent="0.3">
      <c r="A190" s="46">
        <v>189</v>
      </c>
      <c r="B190" s="46" t="s">
        <v>1449</v>
      </c>
      <c r="C190" s="58">
        <v>46069.585648148153</v>
      </c>
      <c r="D190" s="55" t="s">
        <v>1579</v>
      </c>
      <c r="E190" s="45" t="str">
        <f>VLOOKUP(Table2[[#This Row],[Row Labels]],[1]Sheet2!$B:$E,4,0)</f>
        <v>OMAR RASHID CHIKUNJE</v>
      </c>
      <c r="F190" s="46" t="s">
        <v>2676</v>
      </c>
      <c r="G190" s="46" t="s">
        <v>2677</v>
      </c>
      <c r="H190" s="46">
        <v>4</v>
      </c>
    </row>
    <row r="191" spans="1:8" x14ac:dyDescent="0.3">
      <c r="A191" s="46">
        <v>190</v>
      </c>
      <c r="B191" s="46" t="s">
        <v>36</v>
      </c>
      <c r="C191" s="58">
        <v>46069.322546296287</v>
      </c>
      <c r="D191" s="55" t="s">
        <v>1579</v>
      </c>
      <c r="E191" s="45" t="str">
        <f>VLOOKUP(Table2[[#This Row],[Row Labels]],[1]Sheet2!$B:$E,4,0)</f>
        <v>STAN ENISON LULANDALA</v>
      </c>
      <c r="F191" s="46" t="s">
        <v>2678</v>
      </c>
      <c r="G191" s="46" t="s">
        <v>2679</v>
      </c>
      <c r="H191" s="46">
        <v>4</v>
      </c>
    </row>
    <row r="192" spans="1:8" x14ac:dyDescent="0.3">
      <c r="A192" s="46">
        <v>191</v>
      </c>
      <c r="B192" s="46" t="s">
        <v>539</v>
      </c>
      <c r="C192" s="58">
        <v>46069.496840277781</v>
      </c>
      <c r="D192" s="55" t="s">
        <v>1579</v>
      </c>
      <c r="E192" s="45" t="str">
        <f>VLOOKUP(Table2[[#This Row],[Row Labels]],[1]Sheet2!$B:$E,4,0)</f>
        <v>AHMED CONSTANTINE MAGERE</v>
      </c>
      <c r="F192" s="46" t="s">
        <v>2680</v>
      </c>
      <c r="G192" s="46" t="s">
        <v>2681</v>
      </c>
      <c r="H192" s="46">
        <v>3</v>
      </c>
    </row>
    <row r="193" spans="1:8" x14ac:dyDescent="0.3">
      <c r="A193" s="46">
        <v>192</v>
      </c>
      <c r="B193" s="46" t="s">
        <v>55</v>
      </c>
      <c r="C193" s="58">
        <v>46069.425000000003</v>
      </c>
      <c r="D193" s="55" t="s">
        <v>1579</v>
      </c>
      <c r="E193" s="45" t="str">
        <f>VLOOKUP(Table2[[#This Row],[Row Labels]],[1]Sheet2!$B:$E,4,0)</f>
        <v>YUSUPH ZIAGA SANGA</v>
      </c>
      <c r="F193" s="46" t="s">
        <v>2682</v>
      </c>
      <c r="G193" s="46" t="s">
        <v>2683</v>
      </c>
      <c r="H193" s="46">
        <v>12</v>
      </c>
    </row>
    <row r="194" spans="1:8" x14ac:dyDescent="0.3">
      <c r="A194" s="46">
        <v>193</v>
      </c>
      <c r="B194" s="46" t="s">
        <v>2529</v>
      </c>
      <c r="C194" s="58">
        <v>46069.368020833332</v>
      </c>
      <c r="D194" s="55" t="s">
        <v>1579</v>
      </c>
      <c r="E194" s="45" t="str">
        <f>VLOOKUP(Table2[[#This Row],[Row Labels]],[1]Sheet2!$B:$E,4,0)</f>
        <v>ATANASI PETRO MAGOHE</v>
      </c>
      <c r="F194" s="46" t="s">
        <v>2684</v>
      </c>
      <c r="G194" s="46" t="s">
        <v>2685</v>
      </c>
      <c r="H194" s="46">
        <v>4</v>
      </c>
    </row>
    <row r="195" spans="1:8" x14ac:dyDescent="0.3">
      <c r="A195" s="46">
        <v>194</v>
      </c>
      <c r="B195" s="46" t="s">
        <v>1663</v>
      </c>
      <c r="C195" s="58">
        <v>46069.318819444437</v>
      </c>
      <c r="D195" s="55" t="s">
        <v>1579</v>
      </c>
      <c r="E195" s="45" t="str">
        <f>VLOOKUP(Table2[[#This Row],[Row Labels]],[1]Sheet2!$B:$E,4,0)</f>
        <v>HAMISI RAMADHANI SULTAN</v>
      </c>
      <c r="F195" s="46" t="s">
        <v>2686</v>
      </c>
      <c r="G195" s="46" t="s">
        <v>2687</v>
      </c>
      <c r="H195" s="46">
        <v>3</v>
      </c>
    </row>
    <row r="196" spans="1:8" x14ac:dyDescent="0.3">
      <c r="A196" s="46">
        <v>195</v>
      </c>
      <c r="B196" s="46" t="s">
        <v>1134</v>
      </c>
      <c r="C196" s="58">
        <v>46069.709363425929</v>
      </c>
      <c r="D196" s="55" t="s">
        <v>1579</v>
      </c>
      <c r="E196" s="45" t="str">
        <f>VLOOKUP(Table2[[#This Row],[Row Labels]],[1]Sheet2!$B:$E,4,0)</f>
        <v>MUSSA ABDI OMAR</v>
      </c>
      <c r="F196" s="46" t="s">
        <v>2688</v>
      </c>
      <c r="G196" s="46" t="s">
        <v>2689</v>
      </c>
      <c r="H196" s="46">
        <v>3</v>
      </c>
    </row>
    <row r="197" spans="1:8" x14ac:dyDescent="0.3">
      <c r="A197" s="46">
        <v>196</v>
      </c>
      <c r="B197" s="46" t="s">
        <v>26</v>
      </c>
      <c r="C197" s="58">
        <v>46069.465960648151</v>
      </c>
      <c r="D197" s="55" t="s">
        <v>1579</v>
      </c>
      <c r="E197" s="45" t="str">
        <f>VLOOKUP(Table2[[#This Row],[Row Labels]],[1]Sheet2!$B:$E,4,0)</f>
        <v>MADENGE SALUM SHOMARI</v>
      </c>
      <c r="F197" s="46" t="s">
        <v>2690</v>
      </c>
      <c r="G197" s="46" t="s">
        <v>2311</v>
      </c>
      <c r="H197" s="46">
        <v>5</v>
      </c>
    </row>
    <row r="198" spans="1:8" x14ac:dyDescent="0.3">
      <c r="A198" s="46">
        <v>197</v>
      </c>
      <c r="B198" s="46" t="s">
        <v>1059</v>
      </c>
      <c r="C198" s="58">
        <v>46069.65792824074</v>
      </c>
      <c r="D198" s="55" t="s">
        <v>1579</v>
      </c>
      <c r="E198" s="45" t="str">
        <f>VLOOKUP(Table2[[#This Row],[Row Labels]],[1]Sheet2!$B:$E,4,0)</f>
        <v>ALLY RASHID SAID</v>
      </c>
      <c r="F198" s="46" t="s">
        <v>2691</v>
      </c>
      <c r="G198" s="46" t="s">
        <v>2692</v>
      </c>
      <c r="H198" s="46">
        <v>3</v>
      </c>
    </row>
    <row r="199" spans="1:8" x14ac:dyDescent="0.3">
      <c r="A199" s="46">
        <v>198</v>
      </c>
      <c r="B199" s="46" t="s">
        <v>1141</v>
      </c>
      <c r="C199" s="58">
        <v>46070.317118055558</v>
      </c>
      <c r="D199" s="55" t="s">
        <v>1674</v>
      </c>
      <c r="E199" s="45" t="str">
        <f>VLOOKUP(Table2[[#This Row],[Row Labels]],[1]Sheet2!$B:$E,4,0)</f>
        <v>MOHAMEDI ISSA KIBARATI</v>
      </c>
      <c r="F199" s="46" t="s">
        <v>2693</v>
      </c>
      <c r="G199" s="46" t="s">
        <v>2694</v>
      </c>
      <c r="H199" s="46">
        <v>5</v>
      </c>
    </row>
    <row r="200" spans="1:8" x14ac:dyDescent="0.3">
      <c r="A200" s="46">
        <v>199</v>
      </c>
      <c r="B200" s="46" t="s">
        <v>1418</v>
      </c>
      <c r="C200" s="58">
        <v>46070.425196759257</v>
      </c>
      <c r="D200" s="55" t="s">
        <v>1674</v>
      </c>
      <c r="E200" s="45" t="str">
        <f>VLOOKUP(Table2[[#This Row],[Row Labels]],[1]Sheet2!$B:$E,4,0)</f>
        <v>JOEL SAMSON MANDAGO</v>
      </c>
      <c r="F200" s="46" t="s">
        <v>2695</v>
      </c>
      <c r="G200" s="46" t="s">
        <v>2696</v>
      </c>
      <c r="H200" s="46">
        <v>13</v>
      </c>
    </row>
    <row r="201" spans="1:8" x14ac:dyDescent="0.3">
      <c r="A201" s="46">
        <v>200</v>
      </c>
      <c r="B201" s="46" t="s">
        <v>995</v>
      </c>
      <c r="C201" s="58">
        <v>46070.46947916667</v>
      </c>
      <c r="D201" s="55" t="s">
        <v>1674</v>
      </c>
      <c r="E201" s="45" t="str">
        <f>VLOOKUP(Table2[[#This Row],[Row Labels]],[1]Sheet2!$B:$E,4,0)</f>
        <v>MUSSA RAMADHAN MITEMILIGWA</v>
      </c>
      <c r="F201" s="46" t="s">
        <v>2697</v>
      </c>
      <c r="G201" s="46" t="s">
        <v>2698</v>
      </c>
      <c r="H201" s="46">
        <v>3</v>
      </c>
    </row>
    <row r="202" spans="1:8" x14ac:dyDescent="0.3">
      <c r="A202" s="46">
        <v>201</v>
      </c>
      <c r="B202" s="46" t="s">
        <v>1685</v>
      </c>
      <c r="C202" s="58">
        <v>46070.498749999999</v>
      </c>
      <c r="D202" s="55" t="s">
        <v>1674</v>
      </c>
      <c r="E202" s="45" t="str">
        <f>VLOOKUP(Table2[[#This Row],[Row Labels]],[1]Sheet2!$B:$E,4,0)</f>
        <v>JITENGENI YAHYA MZEE</v>
      </c>
      <c r="F202" s="46" t="s">
        <v>2699</v>
      </c>
      <c r="G202" s="46" t="s">
        <v>2700</v>
      </c>
      <c r="H202" s="46">
        <v>3</v>
      </c>
    </row>
    <row r="203" spans="1:8" x14ac:dyDescent="0.3">
      <c r="A203" s="46">
        <v>202</v>
      </c>
      <c r="B203" s="46" t="s">
        <v>1097</v>
      </c>
      <c r="C203" s="58">
        <v>46070.600092592591</v>
      </c>
      <c r="D203" s="55" t="s">
        <v>1674</v>
      </c>
      <c r="E203" s="45" t="str">
        <f>VLOOKUP(Table2[[#This Row],[Row Labels]],[1]Sheet2!$B:$E,4,0)</f>
        <v>MUSSA OMARY HAMZA</v>
      </c>
      <c r="F203" s="46" t="s">
        <v>2701</v>
      </c>
      <c r="G203" s="46" t="s">
        <v>2702</v>
      </c>
      <c r="H203" s="46">
        <v>3</v>
      </c>
    </row>
    <row r="204" spans="1:8" x14ac:dyDescent="0.3">
      <c r="A204" s="46">
        <v>203</v>
      </c>
      <c r="B204" s="46" t="s">
        <v>164</v>
      </c>
      <c r="C204" s="58">
        <v>46070.413969907408</v>
      </c>
      <c r="D204" s="55" t="s">
        <v>1674</v>
      </c>
      <c r="E204" s="45" t="str">
        <f>VLOOKUP(Table2[[#This Row],[Row Labels]],[1]Sheet2!$B:$E,4,0)</f>
        <v>ERASTO CHARLES MTWEVE</v>
      </c>
      <c r="F204" s="46" t="s">
        <v>2703</v>
      </c>
      <c r="G204" s="46" t="s">
        <v>2704</v>
      </c>
      <c r="H204" s="46">
        <v>11</v>
      </c>
    </row>
    <row r="205" spans="1:8" x14ac:dyDescent="0.3">
      <c r="A205" s="46">
        <v>204</v>
      </c>
      <c r="B205" s="46" t="s">
        <v>1623</v>
      </c>
      <c r="C205" s="58">
        <v>46070.413993055547</v>
      </c>
      <c r="D205" s="55" t="s">
        <v>1674</v>
      </c>
      <c r="E205" s="45" t="str">
        <f>VLOOKUP(Table2[[#This Row],[Row Labels]],[1]Sheet2!$B:$E,4,0)</f>
        <v>HABIBU SELEMANI NTILLA</v>
      </c>
      <c r="F205" s="46" t="s">
        <v>2705</v>
      </c>
      <c r="G205" s="46" t="s">
        <v>2706</v>
      </c>
      <c r="H205" s="46">
        <v>3</v>
      </c>
    </row>
    <row r="206" spans="1:8" x14ac:dyDescent="0.3">
      <c r="A206" s="46">
        <v>205</v>
      </c>
      <c r="B206" s="46" t="s">
        <v>1996</v>
      </c>
      <c r="C206" s="58">
        <v>46070.309178240743</v>
      </c>
      <c r="D206" s="55" t="s">
        <v>1674</v>
      </c>
      <c r="E206" s="45" t="str">
        <f>VLOOKUP(Table2[[#This Row],[Row Labels]],[1]Sheet2!$B:$E,4,0)</f>
        <v>GASPER ELICHILIA KINYAHA</v>
      </c>
      <c r="F206" s="46" t="s">
        <v>2707</v>
      </c>
      <c r="G206" s="46" t="s">
        <v>2708</v>
      </c>
      <c r="H206" s="46">
        <v>3</v>
      </c>
    </row>
    <row r="207" spans="1:8" x14ac:dyDescent="0.3">
      <c r="A207" s="46">
        <v>206</v>
      </c>
      <c r="B207" s="46" t="s">
        <v>36</v>
      </c>
      <c r="C207" s="58">
        <v>46070.559027777781</v>
      </c>
      <c r="D207" s="55" t="s">
        <v>1674</v>
      </c>
      <c r="E207" s="45" t="str">
        <f>VLOOKUP(Table2[[#This Row],[Row Labels]],[1]Sheet2!$B:$E,4,0)</f>
        <v>STAN ENISON LULANDALA</v>
      </c>
      <c r="F207" s="46" t="s">
        <v>2709</v>
      </c>
      <c r="G207" s="46" t="s">
        <v>2710</v>
      </c>
      <c r="H207" s="46">
        <v>3</v>
      </c>
    </row>
    <row r="208" spans="1:8" x14ac:dyDescent="0.3">
      <c r="A208" s="46">
        <v>207</v>
      </c>
      <c r="B208" s="46" t="s">
        <v>1462</v>
      </c>
      <c r="C208" s="58">
        <v>46070.779004629629</v>
      </c>
      <c r="D208" s="55" t="s">
        <v>1674</v>
      </c>
      <c r="E208" s="45" t="str">
        <f>VLOOKUP(Table2[[#This Row],[Row Labels]],[1]Sheet2!$B:$E,4,0)</f>
        <v>MISTWAHI AMRI SAID</v>
      </c>
      <c r="F208" s="46" t="s">
        <v>2711</v>
      </c>
      <c r="G208" s="46" t="s">
        <v>2712</v>
      </c>
      <c r="H208" s="46">
        <v>3</v>
      </c>
    </row>
    <row r="209" spans="1:8" x14ac:dyDescent="0.3">
      <c r="A209" s="46">
        <v>208</v>
      </c>
      <c r="B209" s="46" t="s">
        <v>339</v>
      </c>
      <c r="C209" s="58">
        <v>46070.141979166663</v>
      </c>
      <c r="D209" s="55" t="s">
        <v>1674</v>
      </c>
      <c r="E209" s="45" t="str">
        <f>VLOOKUP(Table2[[#This Row],[Row Labels]],[1]Sheet2!$B:$E,4,0)</f>
        <v>SHOMAR MOHAMED MITAWA</v>
      </c>
      <c r="F209" s="46" t="s">
        <v>2713</v>
      </c>
      <c r="G209" s="46" t="s">
        <v>2714</v>
      </c>
      <c r="H209" s="46">
        <v>3</v>
      </c>
    </row>
    <row r="210" spans="1:8" x14ac:dyDescent="0.3">
      <c r="A210" s="46">
        <v>209</v>
      </c>
      <c r="B210" s="46" t="s">
        <v>56</v>
      </c>
      <c r="C210" s="58">
        <v>46070.634456018517</v>
      </c>
      <c r="D210" s="55" t="s">
        <v>1674</v>
      </c>
      <c r="E210" s="45" t="str">
        <f>VLOOKUP(Table2[[#This Row],[Row Labels]],[1]Sheet2!$B:$E,4,0)</f>
        <v>SAID ATHUMANI NONGWA</v>
      </c>
      <c r="F210" s="46" t="s">
        <v>2715</v>
      </c>
      <c r="G210" s="46" t="s">
        <v>2716</v>
      </c>
      <c r="H210" s="46">
        <v>6</v>
      </c>
    </row>
    <row r="211" spans="1:8" x14ac:dyDescent="0.3">
      <c r="A211" s="46">
        <v>210</v>
      </c>
      <c r="B211" s="46" t="s">
        <v>2557</v>
      </c>
      <c r="C211" s="58">
        <v>46070.424432870372</v>
      </c>
      <c r="D211" s="55" t="s">
        <v>1674</v>
      </c>
      <c r="E211" s="45" t="str">
        <f>VLOOKUP(Table2[[#This Row],[Row Labels]],[1]Sheet2!$B:$E,4,0)</f>
        <v>RAMADHAN RAHIBU SULEIMAN</v>
      </c>
      <c r="F211" s="46" t="s">
        <v>2717</v>
      </c>
      <c r="G211" s="46" t="s">
        <v>2718</v>
      </c>
      <c r="H211" s="46">
        <v>8</v>
      </c>
    </row>
    <row r="212" spans="1:8" x14ac:dyDescent="0.3">
      <c r="A212" s="46">
        <v>211</v>
      </c>
      <c r="B212" s="46" t="s">
        <v>1059</v>
      </c>
      <c r="C212" s="58">
        <v>46070.323263888888</v>
      </c>
      <c r="D212" s="55" t="s">
        <v>1674</v>
      </c>
      <c r="E212" s="45" t="str">
        <f>VLOOKUP(Table2[[#This Row],[Row Labels]],[1]Sheet2!$B:$E,4,0)</f>
        <v>ALLY RASHID SAID</v>
      </c>
      <c r="F212" s="46" t="s">
        <v>2719</v>
      </c>
      <c r="G212" s="46" t="s">
        <v>2720</v>
      </c>
      <c r="H212" s="46">
        <v>4</v>
      </c>
    </row>
    <row r="213" spans="1:8" x14ac:dyDescent="0.3">
      <c r="A213" s="46">
        <v>212</v>
      </c>
      <c r="B213" s="46" t="s">
        <v>377</v>
      </c>
      <c r="C213" s="58">
        <v>46070.394791666673</v>
      </c>
      <c r="D213" s="55" t="s">
        <v>1674</v>
      </c>
      <c r="E213" s="45" t="str">
        <f>VLOOKUP(Table2[[#This Row],[Row Labels]],[1]Sheet2!$B:$E,4,0)</f>
        <v>ELIBAS EZEKIEL KITUNGWA</v>
      </c>
      <c r="F213" s="46" t="s">
        <v>2721</v>
      </c>
      <c r="G213" s="46" t="s">
        <v>2722</v>
      </c>
      <c r="H213" s="46">
        <v>4</v>
      </c>
    </row>
    <row r="214" spans="1:8" x14ac:dyDescent="0.3">
      <c r="A214" s="46">
        <v>213</v>
      </c>
      <c r="B214" s="46" t="s">
        <v>1823</v>
      </c>
      <c r="C214" s="58">
        <v>46070.518842592603</v>
      </c>
      <c r="D214" s="55" t="s">
        <v>1674</v>
      </c>
      <c r="E214" s="45" t="str">
        <f>VLOOKUP(Table2[[#This Row],[Row Labels]],[1]Sheet2!$B:$E,4,0)</f>
        <v>MARCUS AUGUSTIN MBEYA</v>
      </c>
      <c r="F214" s="46" t="s">
        <v>2723</v>
      </c>
      <c r="G214" s="46" t="s">
        <v>2724</v>
      </c>
      <c r="H214" s="46">
        <v>3</v>
      </c>
    </row>
    <row r="215" spans="1:8" x14ac:dyDescent="0.3">
      <c r="A215" s="46">
        <v>214</v>
      </c>
      <c r="B215" s="46" t="s">
        <v>2725</v>
      </c>
      <c r="C215" s="58">
        <v>46070.424224537041</v>
      </c>
      <c r="D215" s="55" t="s">
        <v>1674</v>
      </c>
      <c r="E215" s="45" t="str">
        <f>VLOOKUP(Table2[[#This Row],[Row Labels]],[1]Sheet2!$B:$E,4,0)</f>
        <v>ELIAS SAID MTEBENE</v>
      </c>
      <c r="F215" s="46" t="s">
        <v>2726</v>
      </c>
      <c r="G215" s="46" t="s">
        <v>2727</v>
      </c>
      <c r="H215" s="46">
        <v>5</v>
      </c>
    </row>
    <row r="216" spans="1:8" x14ac:dyDescent="0.3">
      <c r="A216" s="46">
        <v>215</v>
      </c>
      <c r="B216" s="46" t="s">
        <v>1233</v>
      </c>
      <c r="C216" s="58">
        <v>46071.348749999997</v>
      </c>
      <c r="D216" s="55" t="s">
        <v>1753</v>
      </c>
      <c r="E216" s="45" t="str">
        <f>VLOOKUP(Table2[[#This Row],[Row Labels]],[1]Sheet2!$B:$E,4,0)</f>
        <v>OMARY FADHILI MSANGI</v>
      </c>
      <c r="F216" s="46" t="s">
        <v>2728</v>
      </c>
      <c r="G216" s="46" t="s">
        <v>2729</v>
      </c>
      <c r="H216" s="46">
        <v>6</v>
      </c>
    </row>
    <row r="217" spans="1:8" x14ac:dyDescent="0.3">
      <c r="A217" s="46">
        <v>216</v>
      </c>
      <c r="B217" s="46" t="s">
        <v>1236</v>
      </c>
      <c r="C217" s="58">
        <v>46071.324224537027</v>
      </c>
      <c r="D217" s="55" t="s">
        <v>1753</v>
      </c>
      <c r="E217" s="45" t="str">
        <f>VLOOKUP(Table2[[#This Row],[Row Labels]],[1]Sheet2!$B:$E,4,0)</f>
        <v>AMOS KASEKE KUYOKWA</v>
      </c>
      <c r="F217" s="46" t="s">
        <v>2730</v>
      </c>
      <c r="G217" s="46" t="s">
        <v>2731</v>
      </c>
      <c r="H217" s="46">
        <v>5</v>
      </c>
    </row>
    <row r="218" spans="1:8" x14ac:dyDescent="0.3">
      <c r="A218" s="46">
        <v>217</v>
      </c>
      <c r="B218" s="46" t="s">
        <v>292</v>
      </c>
      <c r="C218" s="58">
        <v>46071.55777777778</v>
      </c>
      <c r="D218" s="55" t="s">
        <v>1753</v>
      </c>
      <c r="E218" s="45" t="str">
        <f>VLOOKUP(Table2[[#This Row],[Row Labels]],[1]Sheet2!$B:$E,4,0)</f>
        <v>ELIAH YUSUPH MPANGO</v>
      </c>
      <c r="F218" s="46" t="s">
        <v>2732</v>
      </c>
      <c r="G218" s="46" t="s">
        <v>2733</v>
      </c>
      <c r="H218" s="46">
        <v>5</v>
      </c>
    </row>
    <row r="219" spans="1:8" x14ac:dyDescent="0.3">
      <c r="A219" s="46">
        <v>218</v>
      </c>
      <c r="B219" s="46" t="s">
        <v>1418</v>
      </c>
      <c r="C219" s="58">
        <v>46071.35359953704</v>
      </c>
      <c r="D219" s="55" t="s">
        <v>1753</v>
      </c>
      <c r="E219" s="45" t="str">
        <f>VLOOKUP(Table2[[#This Row],[Row Labels]],[1]Sheet2!$B:$E,4,0)</f>
        <v>JOEL SAMSON MANDAGO</v>
      </c>
      <c r="F219" s="46" t="s">
        <v>2734</v>
      </c>
      <c r="G219" s="46" t="s">
        <v>2735</v>
      </c>
      <c r="H219" s="46">
        <v>4</v>
      </c>
    </row>
    <row r="220" spans="1:8" x14ac:dyDescent="0.3">
      <c r="A220" s="46">
        <v>219</v>
      </c>
      <c r="B220" s="46" t="s">
        <v>502</v>
      </c>
      <c r="C220" s="58">
        <v>46071.527060185188</v>
      </c>
      <c r="D220" s="55" t="s">
        <v>1753</v>
      </c>
      <c r="E220" s="45" t="str">
        <f>VLOOKUP(Table2[[#This Row],[Row Labels]],[1]Sheet2!$B:$E,4,0)</f>
        <v>ISAYA MSHUKURU MMBANDO</v>
      </c>
      <c r="F220" s="46" t="s">
        <v>2736</v>
      </c>
      <c r="G220" s="46" t="s">
        <v>2737</v>
      </c>
      <c r="H220" s="46">
        <v>5</v>
      </c>
    </row>
    <row r="221" spans="1:8" x14ac:dyDescent="0.3">
      <c r="A221" s="46">
        <v>220</v>
      </c>
      <c r="B221" s="46" t="s">
        <v>1685</v>
      </c>
      <c r="C221" s="58">
        <v>46071.570648148147</v>
      </c>
      <c r="D221" s="55" t="s">
        <v>1753</v>
      </c>
      <c r="E221" s="45" t="str">
        <f>VLOOKUP(Table2[[#This Row],[Row Labels]],[1]Sheet2!$B:$E,4,0)</f>
        <v>JITENGENI YAHYA MZEE</v>
      </c>
      <c r="F221" s="46" t="s">
        <v>2738</v>
      </c>
      <c r="G221" s="46" t="s">
        <v>2739</v>
      </c>
      <c r="H221" s="46">
        <v>8</v>
      </c>
    </row>
    <row r="222" spans="1:8" x14ac:dyDescent="0.3">
      <c r="A222" s="46">
        <v>221</v>
      </c>
      <c r="B222" s="46" t="s">
        <v>158</v>
      </c>
      <c r="C222" s="58">
        <v>46071.433530092603</v>
      </c>
      <c r="D222" s="55" t="s">
        <v>1753</v>
      </c>
      <c r="E222" s="45" t="str">
        <f>VLOOKUP(Table2[[#This Row],[Row Labels]],[1]Sheet2!$B:$E,4,0)</f>
        <v>ALLY RAMADHANI ZANDA</v>
      </c>
      <c r="F222" s="46" t="s">
        <v>2740</v>
      </c>
      <c r="G222" s="46" t="s">
        <v>2741</v>
      </c>
      <c r="H222" s="46">
        <v>5</v>
      </c>
    </row>
    <row r="223" spans="1:8" x14ac:dyDescent="0.3">
      <c r="A223" s="46">
        <v>222</v>
      </c>
      <c r="B223" s="46" t="s">
        <v>36</v>
      </c>
      <c r="C223" s="58">
        <v>46071.47215277778</v>
      </c>
      <c r="D223" s="55" t="s">
        <v>1753</v>
      </c>
      <c r="E223" s="45" t="str">
        <f>VLOOKUP(Table2[[#This Row],[Row Labels]],[1]Sheet2!$B:$E,4,0)</f>
        <v>STAN ENISON LULANDALA</v>
      </c>
      <c r="F223" s="46" t="s">
        <v>2742</v>
      </c>
      <c r="G223" s="46" t="s">
        <v>2743</v>
      </c>
      <c r="H223" s="46">
        <v>4</v>
      </c>
    </row>
    <row r="224" spans="1:8" x14ac:dyDescent="0.3">
      <c r="A224" s="46">
        <v>223</v>
      </c>
      <c r="B224" s="46" t="s">
        <v>1457</v>
      </c>
      <c r="C224" s="58">
        <v>46071.320891203701</v>
      </c>
      <c r="D224" s="55" t="s">
        <v>1753</v>
      </c>
      <c r="E224" s="45" t="str">
        <f>VLOOKUP(Table2[[#This Row],[Row Labels]],[1]Sheet2!$B:$E,4,0)</f>
        <v>HASSAN AWADHI TAMIM</v>
      </c>
      <c r="F224" s="46" t="s">
        <v>2744</v>
      </c>
      <c r="G224" s="46" t="s">
        <v>2704</v>
      </c>
      <c r="H224" s="46">
        <v>5</v>
      </c>
    </row>
    <row r="225" spans="1:8" x14ac:dyDescent="0.3">
      <c r="A225" s="46">
        <v>224</v>
      </c>
      <c r="B225" s="46" t="s">
        <v>1459</v>
      </c>
      <c r="C225" s="58">
        <v>46071.490891203714</v>
      </c>
      <c r="D225" s="55" t="s">
        <v>1753</v>
      </c>
      <c r="E225" s="45" t="str">
        <f>VLOOKUP(Table2[[#This Row],[Row Labels]],[1]Sheet2!$B:$E,4,0)</f>
        <v>SAID HATIB KINGODOLO</v>
      </c>
      <c r="F225" s="46" t="s">
        <v>2745</v>
      </c>
      <c r="G225" s="46" t="s">
        <v>2746</v>
      </c>
      <c r="H225" s="46">
        <v>3</v>
      </c>
    </row>
    <row r="226" spans="1:8" x14ac:dyDescent="0.3">
      <c r="A226" s="46">
        <v>225</v>
      </c>
      <c r="B226" s="46" t="s">
        <v>440</v>
      </c>
      <c r="C226" s="58">
        <v>46071.717013888891</v>
      </c>
      <c r="D226" s="55" t="s">
        <v>1753</v>
      </c>
      <c r="E226" s="45" t="str">
        <f>VLOOKUP(Table2[[#This Row],[Row Labels]],[1]Sheet2!$B:$E,4,0)</f>
        <v>RAMADHANI MBEZI OMARY</v>
      </c>
      <c r="F226" s="46" t="s">
        <v>2747</v>
      </c>
      <c r="G226" s="46" t="s">
        <v>2748</v>
      </c>
      <c r="H226" s="46">
        <v>3</v>
      </c>
    </row>
    <row r="227" spans="1:8" x14ac:dyDescent="0.3">
      <c r="A227" s="46">
        <v>226</v>
      </c>
      <c r="B227" s="46" t="s">
        <v>56</v>
      </c>
      <c r="C227" s="58">
        <v>46071.476226851853</v>
      </c>
      <c r="D227" s="55" t="s">
        <v>1753</v>
      </c>
      <c r="E227" s="45" t="str">
        <f>VLOOKUP(Table2[[#This Row],[Row Labels]],[1]Sheet2!$B:$E,4,0)</f>
        <v>SAID ATHUMANI NONGWA</v>
      </c>
      <c r="F227" s="46" t="s">
        <v>2749</v>
      </c>
      <c r="G227" s="46" t="s">
        <v>2750</v>
      </c>
      <c r="H227" s="46">
        <v>3</v>
      </c>
    </row>
    <row r="228" spans="1:8" x14ac:dyDescent="0.3">
      <c r="A228" s="46">
        <v>227</v>
      </c>
      <c r="B228" s="46" t="s">
        <v>955</v>
      </c>
      <c r="C228" s="58">
        <v>46071.775567129633</v>
      </c>
      <c r="D228" s="55" t="s">
        <v>1753</v>
      </c>
      <c r="E228" s="45" t="str">
        <f>VLOOKUP(Table2[[#This Row],[Row Labels]],[1]Sheet2!$B:$E,4,0)</f>
        <v>ZACHALIA JOSEPH SHIMBI</v>
      </c>
      <c r="F228" s="46" t="s">
        <v>2751</v>
      </c>
      <c r="G228" s="46" t="s">
        <v>2752</v>
      </c>
      <c r="H228" s="46">
        <v>3</v>
      </c>
    </row>
    <row r="229" spans="1:8" x14ac:dyDescent="0.3">
      <c r="A229" s="46">
        <v>228</v>
      </c>
      <c r="B229" s="46" t="s">
        <v>715</v>
      </c>
      <c r="C229" s="58">
        <v>46071.629745370366</v>
      </c>
      <c r="D229" s="55" t="s">
        <v>1753</v>
      </c>
      <c r="E229" s="45" t="str">
        <f>VLOOKUP(Table2[[#This Row],[Row Labels]],[1]Sheet2!$B:$E,4,0)</f>
        <v>AMIRI TALIB SHEIN</v>
      </c>
      <c r="F229" s="46" t="s">
        <v>2753</v>
      </c>
      <c r="G229" s="46" t="s">
        <v>2754</v>
      </c>
      <c r="H229" s="46">
        <v>15</v>
      </c>
    </row>
    <row r="230" spans="1:8" x14ac:dyDescent="0.3">
      <c r="A230" s="46">
        <v>229</v>
      </c>
      <c r="B230" s="46" t="s">
        <v>1823</v>
      </c>
      <c r="C230" s="58">
        <v>46071.449155092603</v>
      </c>
      <c r="D230" s="55" t="s">
        <v>1753</v>
      </c>
      <c r="E230" s="45" t="str">
        <f>VLOOKUP(Table2[[#This Row],[Row Labels]],[1]Sheet2!$B:$E,4,0)</f>
        <v>MARCUS AUGUSTIN MBEYA</v>
      </c>
      <c r="F230" s="46" t="s">
        <v>2755</v>
      </c>
      <c r="G230" s="46" t="s">
        <v>2756</v>
      </c>
      <c r="H230" s="46">
        <v>3</v>
      </c>
    </row>
    <row r="231" spans="1:8" x14ac:dyDescent="0.3">
      <c r="A231" s="46">
        <v>230</v>
      </c>
      <c r="B231" s="46" t="s">
        <v>1066</v>
      </c>
      <c r="C231" s="58">
        <v>46071.583784722221</v>
      </c>
      <c r="D231" s="55" t="s">
        <v>1753</v>
      </c>
      <c r="E231" s="45" t="str">
        <f>VLOOKUP(Table2[[#This Row],[Row Labels]],[1]Sheet2!$B:$E,4,0)</f>
        <v>SHABANI HARUNA SEMENTA</v>
      </c>
      <c r="F231" s="46" t="s">
        <v>2757</v>
      </c>
      <c r="G231" s="46" t="s">
        <v>2758</v>
      </c>
      <c r="H231" s="46">
        <v>8</v>
      </c>
    </row>
    <row r="232" spans="1:8" x14ac:dyDescent="0.3">
      <c r="A232" s="46">
        <v>231</v>
      </c>
      <c r="B232" s="46" t="s">
        <v>502</v>
      </c>
      <c r="C232" s="58">
        <v>46072.720381944448</v>
      </c>
      <c r="D232" s="55" t="s">
        <v>1837</v>
      </c>
      <c r="E232" s="45" t="str">
        <f>VLOOKUP(Table2[[#This Row],[Row Labels]],[1]Sheet2!$B:$E,4,0)</f>
        <v>ISAYA MSHUKURU MMBANDO</v>
      </c>
      <c r="F232" s="46" t="s">
        <v>2759</v>
      </c>
      <c r="G232" s="46" t="s">
        <v>2760</v>
      </c>
      <c r="H232" s="46">
        <v>3</v>
      </c>
    </row>
    <row r="233" spans="1:8" x14ac:dyDescent="0.3">
      <c r="A233" s="46">
        <v>232</v>
      </c>
      <c r="B233" s="46" t="s">
        <v>1685</v>
      </c>
      <c r="C233" s="58">
        <v>46072.339409722219</v>
      </c>
      <c r="D233" s="55" t="s">
        <v>1837</v>
      </c>
      <c r="E233" s="45" t="str">
        <f>VLOOKUP(Table2[[#This Row],[Row Labels]],[1]Sheet2!$B:$E,4,0)</f>
        <v>JITENGENI YAHYA MZEE</v>
      </c>
      <c r="F233" s="46" t="s">
        <v>2761</v>
      </c>
      <c r="G233" s="46" t="s">
        <v>2762</v>
      </c>
      <c r="H233" s="46">
        <v>5</v>
      </c>
    </row>
    <row r="234" spans="1:8" x14ac:dyDescent="0.3">
      <c r="A234" s="46">
        <v>233</v>
      </c>
      <c r="B234" s="46" t="s">
        <v>158</v>
      </c>
      <c r="C234" s="58">
        <v>46072.306111111109</v>
      </c>
      <c r="D234" s="55" t="s">
        <v>1837</v>
      </c>
      <c r="E234" s="45" t="str">
        <f>VLOOKUP(Table2[[#This Row],[Row Labels]],[1]Sheet2!$B:$E,4,0)</f>
        <v>ALLY RAMADHANI ZANDA</v>
      </c>
      <c r="F234" s="46" t="s">
        <v>2763</v>
      </c>
      <c r="G234" s="46" t="s">
        <v>2764</v>
      </c>
      <c r="H234" s="46">
        <v>6</v>
      </c>
    </row>
    <row r="235" spans="1:8" x14ac:dyDescent="0.3">
      <c r="A235" s="46">
        <v>234</v>
      </c>
      <c r="B235" s="46" t="s">
        <v>1462</v>
      </c>
      <c r="C235" s="58">
        <v>46072.715138888889</v>
      </c>
      <c r="D235" s="55" t="s">
        <v>1837</v>
      </c>
      <c r="E235" s="45" t="str">
        <f>VLOOKUP(Table2[[#This Row],[Row Labels]],[1]Sheet2!$B:$E,4,0)</f>
        <v>MISTWAHI AMRI SAID</v>
      </c>
      <c r="F235" s="46" t="s">
        <v>2765</v>
      </c>
      <c r="G235" s="46" t="s">
        <v>2766</v>
      </c>
      <c r="H235" s="46">
        <v>4</v>
      </c>
    </row>
    <row r="236" spans="1:8" x14ac:dyDescent="0.3">
      <c r="A236" s="46">
        <v>235</v>
      </c>
      <c r="B236" s="46" t="s">
        <v>1119</v>
      </c>
      <c r="C236" s="58">
        <v>46072.667199074072</v>
      </c>
      <c r="D236" s="55" t="s">
        <v>1837</v>
      </c>
      <c r="E236" s="45" t="str">
        <f>VLOOKUP(Table2[[#This Row],[Row Labels]],[1]Sheet2!$B:$E,4,0)</f>
        <v>MONDI STANSLAUS NDAKI</v>
      </c>
      <c r="F236" s="46" t="s">
        <v>2767</v>
      </c>
      <c r="G236" s="46" t="s">
        <v>2407</v>
      </c>
      <c r="H236" s="46">
        <v>3</v>
      </c>
    </row>
    <row r="237" spans="1:8" x14ac:dyDescent="0.3">
      <c r="A237" s="46">
        <v>236</v>
      </c>
      <c r="B237" s="46" t="s">
        <v>1346</v>
      </c>
      <c r="C237" s="58">
        <v>46072.796307870369</v>
      </c>
      <c r="D237" s="55" t="s">
        <v>1837</v>
      </c>
      <c r="E237" s="45">
        <f>VLOOKUP(Table2[[#This Row],[Row Labels]],[1]Sheet2!$B:$E,4,0)</f>
        <v>0</v>
      </c>
      <c r="F237" s="46" t="s">
        <v>2768</v>
      </c>
      <c r="G237" s="46" t="s">
        <v>2769</v>
      </c>
      <c r="H237" s="46">
        <v>4</v>
      </c>
    </row>
    <row r="238" spans="1:8" x14ac:dyDescent="0.3">
      <c r="A238" s="46">
        <v>237</v>
      </c>
      <c r="B238" s="46" t="s">
        <v>853</v>
      </c>
      <c r="C238" s="58">
        <v>46072.510879629634</v>
      </c>
      <c r="D238" s="55" t="s">
        <v>1837</v>
      </c>
      <c r="E238" s="45" t="str">
        <f>VLOOKUP(Table2[[#This Row],[Row Labels]],[1]Sheet2!$B:$E,4,0)</f>
        <v>ABUBAKAR JUMA YUSUPH</v>
      </c>
      <c r="F238" s="46" t="s">
        <v>2770</v>
      </c>
      <c r="G238" s="46" t="s">
        <v>2771</v>
      </c>
      <c r="H238" s="46">
        <v>4</v>
      </c>
    </row>
    <row r="239" spans="1:8" x14ac:dyDescent="0.3">
      <c r="A239" s="46">
        <v>238</v>
      </c>
      <c r="B239" s="46" t="s">
        <v>715</v>
      </c>
      <c r="C239" s="58">
        <v>46072.003425925926</v>
      </c>
      <c r="D239" s="55" t="s">
        <v>1837</v>
      </c>
      <c r="E239" s="45" t="str">
        <f>VLOOKUP(Table2[[#This Row],[Row Labels]],[1]Sheet2!$B:$E,4,0)</f>
        <v>AMIRI TALIB SHEIN</v>
      </c>
      <c r="F239" s="46" t="s">
        <v>2772</v>
      </c>
      <c r="G239" s="46" t="s">
        <v>2773</v>
      </c>
      <c r="H239" s="46">
        <v>3</v>
      </c>
    </row>
    <row r="240" spans="1:8" x14ac:dyDescent="0.3">
      <c r="A240" s="46">
        <v>239</v>
      </c>
      <c r="B240" s="46" t="s">
        <v>1814</v>
      </c>
      <c r="C240" s="58">
        <v>46072.502824074072</v>
      </c>
      <c r="D240" s="55" t="s">
        <v>1837</v>
      </c>
      <c r="E240" s="45" t="str">
        <f>VLOOKUP(Table2[[#This Row],[Row Labels]],[1]Sheet2!$B:$E,4,0)</f>
        <v>ABDULHAFIDH RADMAN ALLY</v>
      </c>
      <c r="F240" s="46" t="s">
        <v>2774</v>
      </c>
      <c r="G240" s="46" t="s">
        <v>2775</v>
      </c>
      <c r="H240" s="46">
        <v>3</v>
      </c>
    </row>
    <row r="241" spans="1:8" x14ac:dyDescent="0.3">
      <c r="A241" s="46">
        <v>240</v>
      </c>
      <c r="B241" s="46" t="s">
        <v>1825</v>
      </c>
      <c r="C241" s="58">
        <v>46072.421875</v>
      </c>
      <c r="D241" s="55" t="s">
        <v>1837</v>
      </c>
      <c r="E241" s="45" t="str">
        <f>VLOOKUP(Table2[[#This Row],[Row Labels]],[1]Sheet2!$B:$E,4,0)</f>
        <v>HASSANI MABROUCK TUNZA</v>
      </c>
      <c r="F241" s="46" t="s">
        <v>2776</v>
      </c>
      <c r="G241" s="46" t="s">
        <v>2777</v>
      </c>
      <c r="H241" s="46">
        <v>3</v>
      </c>
    </row>
    <row r="242" spans="1:8" x14ac:dyDescent="0.3">
      <c r="A242" s="46">
        <v>241</v>
      </c>
      <c r="B242" s="46" t="s">
        <v>1496</v>
      </c>
      <c r="C242" s="58">
        <v>46072.355428240742</v>
      </c>
      <c r="D242" s="55" t="s">
        <v>1837</v>
      </c>
      <c r="E242" s="45" t="str">
        <f>VLOOKUP(Table2[[#This Row],[Row Labels]],[1]Sheet2!$B:$E,4,0)</f>
        <v>OMARY SAID KITAMBO</v>
      </c>
      <c r="F242" s="46" t="s">
        <v>2778</v>
      </c>
      <c r="G242" s="46" t="s">
        <v>2779</v>
      </c>
      <c r="H242" s="46">
        <v>4</v>
      </c>
    </row>
    <row r="243" spans="1:8" x14ac:dyDescent="0.3">
      <c r="A243" s="46">
        <v>242</v>
      </c>
      <c r="B243" s="46" t="s">
        <v>2018</v>
      </c>
      <c r="C243" s="58">
        <v>46072.291631944441</v>
      </c>
      <c r="D243" s="55" t="s">
        <v>1837</v>
      </c>
      <c r="E243" s="45" t="str">
        <f>VLOOKUP(Table2[[#This Row],[Row Labels]],[1]Sheet2!$B:$E,4,0)</f>
        <v>YUNUS ABDILLAH SULEIMAN</v>
      </c>
      <c r="F243" s="46" t="s">
        <v>2780</v>
      </c>
      <c r="G243" s="46" t="s">
        <v>2781</v>
      </c>
      <c r="H243" s="46">
        <v>3</v>
      </c>
    </row>
    <row r="244" spans="1:8" x14ac:dyDescent="0.3">
      <c r="A244" s="46">
        <v>243</v>
      </c>
      <c r="B244" s="46" t="s">
        <v>2117</v>
      </c>
      <c r="C244" s="58">
        <v>46072.709560185183</v>
      </c>
      <c r="D244" s="55" t="s">
        <v>1837</v>
      </c>
      <c r="E244" s="45" t="str">
        <f>VLOOKUP(Table2[[#This Row],[Row Labels]],[1]Sheet2!$B:$E,4,0)</f>
        <v>RAJABU KONGO LADISLAUS</v>
      </c>
      <c r="F244" s="46" t="s">
        <v>2782</v>
      </c>
      <c r="G244" s="46" t="s">
        <v>2445</v>
      </c>
      <c r="H244" s="46">
        <v>3</v>
      </c>
    </row>
    <row r="245" spans="1:8" x14ac:dyDescent="0.3">
      <c r="A245" s="46">
        <v>244</v>
      </c>
      <c r="B245" s="46" t="s">
        <v>502</v>
      </c>
      <c r="C245" s="58">
        <v>46073.299629629633</v>
      </c>
      <c r="D245" s="55" t="s">
        <v>1925</v>
      </c>
      <c r="E245" s="45" t="str">
        <f>VLOOKUP(Table2[[#This Row],[Row Labels]],[1]Sheet2!$B:$E,4,0)</f>
        <v>ISAYA MSHUKURU MMBANDO</v>
      </c>
      <c r="F245" s="46" t="s">
        <v>2783</v>
      </c>
      <c r="G245" s="46" t="s">
        <v>2784</v>
      </c>
      <c r="H245" s="46">
        <v>10</v>
      </c>
    </row>
    <row r="246" spans="1:8" x14ac:dyDescent="0.3">
      <c r="A246" s="46">
        <v>245</v>
      </c>
      <c r="B246" s="46" t="s">
        <v>1449</v>
      </c>
      <c r="C246" s="58">
        <v>46073.496412037042</v>
      </c>
      <c r="D246" s="55" t="s">
        <v>1925</v>
      </c>
      <c r="E246" s="45" t="str">
        <f>VLOOKUP(Table2[[#This Row],[Row Labels]],[1]Sheet2!$B:$E,4,0)</f>
        <v>OMAR RASHID CHIKUNJE</v>
      </c>
      <c r="F246" s="46" t="s">
        <v>2785</v>
      </c>
      <c r="G246" s="46" t="s">
        <v>2311</v>
      </c>
      <c r="H246" s="46">
        <v>5</v>
      </c>
    </row>
    <row r="247" spans="1:8" x14ac:dyDescent="0.3">
      <c r="A247" s="46">
        <v>246</v>
      </c>
      <c r="B247" s="46" t="s">
        <v>1462</v>
      </c>
      <c r="C247" s="58">
        <v>46073.370775462958</v>
      </c>
      <c r="D247" s="55" t="s">
        <v>1925</v>
      </c>
      <c r="E247" s="45" t="str">
        <f>VLOOKUP(Table2[[#This Row],[Row Labels]],[1]Sheet2!$B:$E,4,0)</f>
        <v>MISTWAHI AMRI SAID</v>
      </c>
      <c r="F247" s="46" t="s">
        <v>2786</v>
      </c>
      <c r="G247" s="46" t="s">
        <v>2423</v>
      </c>
      <c r="H247" s="46">
        <v>3</v>
      </c>
    </row>
    <row r="248" spans="1:8" x14ac:dyDescent="0.3">
      <c r="A248" s="46">
        <v>247</v>
      </c>
      <c r="B248" s="46" t="s">
        <v>1552</v>
      </c>
      <c r="C248" s="58">
        <v>46073.365358796298</v>
      </c>
      <c r="D248" s="55" t="s">
        <v>1925</v>
      </c>
      <c r="E248" s="45" t="str">
        <f>VLOOKUP(Table2[[#This Row],[Row Labels]],[1]Sheet2!$B:$E,4,0)</f>
        <v>AHMAD ABDULRRAHMAN AMIN</v>
      </c>
      <c r="F248" s="46" t="s">
        <v>2787</v>
      </c>
      <c r="G248" s="46" t="s">
        <v>2788</v>
      </c>
      <c r="H248" s="46">
        <v>4</v>
      </c>
    </row>
    <row r="249" spans="1:8" x14ac:dyDescent="0.3">
      <c r="A249" s="46">
        <v>248</v>
      </c>
      <c r="B249" s="46" t="s">
        <v>704</v>
      </c>
      <c r="C249" s="58">
        <v>46073.625856481478</v>
      </c>
      <c r="D249" s="55" t="s">
        <v>1925</v>
      </c>
      <c r="E249" s="45" t="str">
        <f>VLOOKUP(Table2[[#This Row],[Row Labels]],[1]Sheet2!$B:$E,4,0)</f>
        <v>CHRISTIAN NKWELA MAPUNDA</v>
      </c>
      <c r="F249" s="46" t="s">
        <v>2789</v>
      </c>
      <c r="G249" s="46" t="s">
        <v>2790</v>
      </c>
      <c r="H249" s="46">
        <v>3</v>
      </c>
    </row>
    <row r="250" spans="1:8" x14ac:dyDescent="0.3">
      <c r="A250" s="46">
        <v>249</v>
      </c>
      <c r="B250" s="46" t="s">
        <v>1962</v>
      </c>
      <c r="C250" s="58">
        <v>46073.408368055563</v>
      </c>
      <c r="D250" s="55" t="s">
        <v>1925</v>
      </c>
      <c r="E250" s="45" t="str">
        <f>VLOOKUP(Table2[[#This Row],[Row Labels]],[1]Sheet2!$B:$E,4,0)</f>
        <v>KELNALDO MATHIS JUMA</v>
      </c>
      <c r="F250" s="46" t="s">
        <v>2791</v>
      </c>
      <c r="G250" s="46" t="s">
        <v>2792</v>
      </c>
      <c r="H250" s="46">
        <v>3</v>
      </c>
    </row>
    <row r="251" spans="1:8" x14ac:dyDescent="0.3">
      <c r="A251" s="46">
        <v>250</v>
      </c>
      <c r="B251" s="46" t="s">
        <v>40</v>
      </c>
      <c r="C251" s="58">
        <v>46073.454976851863</v>
      </c>
      <c r="D251" s="55" t="s">
        <v>1925</v>
      </c>
      <c r="E251" s="45" t="str">
        <f>VLOOKUP(Table2[[#This Row],[Row Labels]],[1]Sheet2!$B:$E,4,0)</f>
        <v>KHERI HASSAN MILANZI</v>
      </c>
      <c r="F251" s="46" t="s">
        <v>2793</v>
      </c>
      <c r="G251" s="46" t="s">
        <v>2794</v>
      </c>
      <c r="H251" s="46">
        <v>3</v>
      </c>
    </row>
    <row r="252" spans="1:8" x14ac:dyDescent="0.3">
      <c r="A252" s="46">
        <v>251</v>
      </c>
      <c r="B252" s="46" t="s">
        <v>715</v>
      </c>
      <c r="C252" s="58">
        <v>46073.368541666663</v>
      </c>
      <c r="D252" s="55" t="s">
        <v>1925</v>
      </c>
      <c r="E252" s="45" t="str">
        <f>VLOOKUP(Table2[[#This Row],[Row Labels]],[1]Sheet2!$B:$E,4,0)</f>
        <v>AMIRI TALIB SHEIN</v>
      </c>
      <c r="F252" s="46" t="s">
        <v>2795</v>
      </c>
      <c r="G252" s="46" t="s">
        <v>2796</v>
      </c>
      <c r="H252" s="46">
        <v>3</v>
      </c>
    </row>
    <row r="253" spans="1:8" x14ac:dyDescent="0.3">
      <c r="A253" s="46">
        <v>252</v>
      </c>
      <c r="B253" s="46" t="s">
        <v>55</v>
      </c>
      <c r="C253" s="58">
        <v>46073.58</v>
      </c>
      <c r="D253" s="55" t="s">
        <v>1925</v>
      </c>
      <c r="E253" s="45" t="str">
        <f>VLOOKUP(Table2[[#This Row],[Row Labels]],[1]Sheet2!$B:$E,4,0)</f>
        <v>YUSUPH ZIAGA SANGA</v>
      </c>
      <c r="F253" s="46" t="s">
        <v>2797</v>
      </c>
      <c r="G253" s="46" t="s">
        <v>2798</v>
      </c>
      <c r="H253" s="46">
        <v>12</v>
      </c>
    </row>
    <row r="254" spans="1:8" x14ac:dyDescent="0.3">
      <c r="A254" s="46">
        <v>253</v>
      </c>
      <c r="B254" s="46" t="s">
        <v>2799</v>
      </c>
      <c r="C254" s="58">
        <v>46073.413668981477</v>
      </c>
      <c r="D254" s="55" t="s">
        <v>1925</v>
      </c>
      <c r="E254" s="45" t="str">
        <f>VLOOKUP(Table2[[#This Row],[Row Labels]],[1]Sheet2!$B:$E,4,0)</f>
        <v>FREDRICK LAZARO KIMARO</v>
      </c>
      <c r="F254" s="46" t="s">
        <v>2800</v>
      </c>
      <c r="G254" s="46" t="s">
        <v>2801</v>
      </c>
      <c r="H254" s="46">
        <v>3</v>
      </c>
    </row>
    <row r="255" spans="1:8" x14ac:dyDescent="0.3">
      <c r="A255" s="46">
        <v>254</v>
      </c>
      <c r="B255" s="46" t="s">
        <v>57</v>
      </c>
      <c r="C255" s="58">
        <v>46075.379618055558</v>
      </c>
      <c r="D255" s="55" t="s">
        <v>1982</v>
      </c>
      <c r="E255" s="45" t="str">
        <f>VLOOKUP(Table2[[#This Row],[Row Labels]],[1]Sheet2!$B:$E,4,0)</f>
        <v>KITUNDA HUSSEIN KUDEBA</v>
      </c>
      <c r="F255" s="46" t="s">
        <v>2802</v>
      </c>
      <c r="G255" s="46" t="s">
        <v>2803</v>
      </c>
      <c r="H255" s="46">
        <v>3</v>
      </c>
    </row>
    <row r="256" spans="1:8" x14ac:dyDescent="0.3">
      <c r="A256" s="46">
        <v>255</v>
      </c>
      <c r="B256" s="46" t="s">
        <v>704</v>
      </c>
      <c r="C256" s="58">
        <v>46075.510648148149</v>
      </c>
      <c r="D256" s="55" t="s">
        <v>1982</v>
      </c>
      <c r="E256" s="45" t="str">
        <f>VLOOKUP(Table2[[#This Row],[Row Labels]],[1]Sheet2!$B:$E,4,0)</f>
        <v>CHRISTIAN NKWELA MAPUNDA</v>
      </c>
      <c r="F256" s="46" t="s">
        <v>2804</v>
      </c>
      <c r="G256" s="46" t="s">
        <v>2805</v>
      </c>
      <c r="H256" s="46">
        <v>7</v>
      </c>
    </row>
    <row r="257" spans="1:8" x14ac:dyDescent="0.3">
      <c r="A257" s="46">
        <v>256</v>
      </c>
      <c r="B257" s="46" t="s">
        <v>55</v>
      </c>
      <c r="C257" s="58">
        <v>46075.276990740742</v>
      </c>
      <c r="D257" s="55" t="s">
        <v>1982</v>
      </c>
      <c r="E257" s="45" t="str">
        <f>VLOOKUP(Table2[[#This Row],[Row Labels]],[1]Sheet2!$B:$E,4,0)</f>
        <v>YUSUPH ZIAGA SANGA</v>
      </c>
      <c r="F257" s="46" t="s">
        <v>2806</v>
      </c>
      <c r="G257" s="46" t="s">
        <v>2807</v>
      </c>
      <c r="H257" s="46">
        <v>8</v>
      </c>
    </row>
    <row r="258" spans="1:8" x14ac:dyDescent="0.3">
      <c r="A258" s="46">
        <v>257</v>
      </c>
      <c r="B258" s="46" t="s">
        <v>1663</v>
      </c>
      <c r="C258" s="58">
        <v>46075.484918981478</v>
      </c>
      <c r="D258" s="55" t="s">
        <v>1982</v>
      </c>
      <c r="E258" s="45" t="str">
        <f>VLOOKUP(Table2[[#This Row],[Row Labels]],[1]Sheet2!$B:$E,4,0)</f>
        <v>HAMISI RAMADHANI SULTAN</v>
      </c>
      <c r="F258" s="46" t="s">
        <v>2808</v>
      </c>
      <c r="G258" s="46" t="s">
        <v>2809</v>
      </c>
      <c r="H258" s="46">
        <v>4</v>
      </c>
    </row>
    <row r="259" spans="1:8" x14ac:dyDescent="0.3">
      <c r="A259" s="46">
        <v>258</v>
      </c>
      <c r="B259" s="46" t="s">
        <v>2557</v>
      </c>
      <c r="C259" s="58">
        <v>46075.410613425927</v>
      </c>
      <c r="D259" s="55" t="s">
        <v>1982</v>
      </c>
      <c r="E259" s="45" t="str">
        <f>VLOOKUP(Table2[[#This Row],[Row Labels]],[1]Sheet2!$B:$E,4,0)</f>
        <v>RAMADHAN RAHIBU SULEIMAN</v>
      </c>
      <c r="F259" s="46" t="s">
        <v>2810</v>
      </c>
      <c r="G259" s="46" t="s">
        <v>2811</v>
      </c>
      <c r="H259" s="46">
        <v>3</v>
      </c>
    </row>
    <row r="260" spans="1:8" x14ac:dyDescent="0.3">
      <c r="A260" s="46">
        <v>259</v>
      </c>
      <c r="B260" s="46" t="s">
        <v>1066</v>
      </c>
      <c r="C260" s="58">
        <v>46075.645462962973</v>
      </c>
      <c r="D260" s="55" t="s">
        <v>1982</v>
      </c>
      <c r="E260" s="45" t="str">
        <f>VLOOKUP(Table2[[#This Row],[Row Labels]],[1]Sheet2!$B:$E,4,0)</f>
        <v>SHABANI HARUNA SEMENTA</v>
      </c>
      <c r="F260" s="46" t="s">
        <v>2812</v>
      </c>
      <c r="G260" s="46" t="s">
        <v>2813</v>
      </c>
      <c r="H260" s="46">
        <v>11</v>
      </c>
    </row>
    <row r="261" spans="1:8" x14ac:dyDescent="0.3">
      <c r="A261" s="46">
        <v>260</v>
      </c>
      <c r="B261" s="46" t="s">
        <v>1597</v>
      </c>
      <c r="C261" s="58">
        <v>46076.384247685193</v>
      </c>
      <c r="D261" s="55" t="s">
        <v>2024</v>
      </c>
      <c r="E261" s="45" t="str">
        <f>VLOOKUP(Table2[[#This Row],[Row Labels]],[1]Sheet2!$B:$E,4,0)</f>
        <v>JUMA KOBA SAID</v>
      </c>
      <c r="F261" s="46" t="s">
        <v>2814</v>
      </c>
      <c r="G261" s="46" t="s">
        <v>2403</v>
      </c>
      <c r="H261" s="46">
        <v>4</v>
      </c>
    </row>
    <row r="262" spans="1:8" x14ac:dyDescent="0.3">
      <c r="A262" s="46">
        <v>261</v>
      </c>
      <c r="B262" s="46" t="s">
        <v>313</v>
      </c>
      <c r="C262" s="58">
        <v>46076.343807870369</v>
      </c>
      <c r="D262" s="55" t="s">
        <v>2024</v>
      </c>
      <c r="E262" s="45" t="str">
        <f>VLOOKUP(Table2[[#This Row],[Row Labels]],[1]Sheet2!$B:$E,4,0)</f>
        <v>NASSORO BUSHIRI MOHAMED</v>
      </c>
      <c r="F262" s="46" t="s">
        <v>2815</v>
      </c>
      <c r="G262" s="46" t="s">
        <v>2816</v>
      </c>
      <c r="H262" s="46">
        <v>4</v>
      </c>
    </row>
    <row r="263" spans="1:8" x14ac:dyDescent="0.3">
      <c r="A263" s="46">
        <v>262</v>
      </c>
      <c r="B263" s="46" t="s">
        <v>155</v>
      </c>
      <c r="C263" s="58">
        <v>46076.511736111112</v>
      </c>
      <c r="D263" s="55" t="s">
        <v>2024</v>
      </c>
      <c r="E263" s="45" t="str">
        <f>VLOOKUP(Table2[[#This Row],[Row Labels]],[1]Sheet2!$B:$E,4,0)</f>
        <v>GABRIEL SHIJA MAHONA</v>
      </c>
      <c r="F263" s="46" t="s">
        <v>2817</v>
      </c>
      <c r="G263" s="46" t="s">
        <v>2818</v>
      </c>
      <c r="H263" s="46">
        <v>8</v>
      </c>
    </row>
    <row r="264" spans="1:8" x14ac:dyDescent="0.3">
      <c r="A264" s="46">
        <v>263</v>
      </c>
      <c r="B264" s="46" t="s">
        <v>670</v>
      </c>
      <c r="C264" s="58">
        <v>46076.376307870371</v>
      </c>
      <c r="D264" s="55" t="s">
        <v>2024</v>
      </c>
      <c r="E264" s="45" t="str">
        <f>VLOOKUP(Table2[[#This Row],[Row Labels]],[1]Sheet2!$B:$E,4,0)</f>
        <v>OMARI ABEDI MOKA</v>
      </c>
      <c r="F264" s="46" t="s">
        <v>2819</v>
      </c>
      <c r="G264" s="46" t="s">
        <v>2820</v>
      </c>
      <c r="H264" s="46">
        <v>3</v>
      </c>
    </row>
    <row r="265" spans="1:8" x14ac:dyDescent="0.3">
      <c r="A265" s="46">
        <v>264</v>
      </c>
      <c r="B265" s="46" t="s">
        <v>1996</v>
      </c>
      <c r="C265" s="58">
        <v>46076.345266203702</v>
      </c>
      <c r="D265" s="55" t="s">
        <v>2024</v>
      </c>
      <c r="E265" s="45" t="str">
        <f>VLOOKUP(Table2[[#This Row],[Row Labels]],[1]Sheet2!$B:$E,4,0)</f>
        <v>GASPER ELICHILIA KINYAHA</v>
      </c>
      <c r="F265" s="46" t="s">
        <v>2821</v>
      </c>
      <c r="G265" s="46" t="s">
        <v>2822</v>
      </c>
      <c r="H265" s="46">
        <v>4</v>
      </c>
    </row>
    <row r="266" spans="1:8" x14ac:dyDescent="0.3">
      <c r="A266" s="46">
        <v>265</v>
      </c>
      <c r="B266" s="46" t="s">
        <v>1174</v>
      </c>
      <c r="C266" s="58">
        <v>46076.656585648147</v>
      </c>
      <c r="D266" s="55" t="s">
        <v>2024</v>
      </c>
      <c r="E266" s="45" t="str">
        <f>VLOOKUP(Table2[[#This Row],[Row Labels]],[1]Sheet2!$B:$E,4,0)</f>
        <v>MRISHO WAZIRI ALLY</v>
      </c>
      <c r="F266" s="46" t="s">
        <v>2823</v>
      </c>
      <c r="G266" s="46" t="s">
        <v>2824</v>
      </c>
      <c r="H266" s="46">
        <v>4</v>
      </c>
    </row>
    <row r="267" spans="1:8" x14ac:dyDescent="0.3">
      <c r="A267" s="46">
        <v>266</v>
      </c>
      <c r="B267" s="46" t="s">
        <v>1790</v>
      </c>
      <c r="C267" s="58">
        <v>46076.490069444437</v>
      </c>
      <c r="D267" s="55" t="s">
        <v>2024</v>
      </c>
      <c r="E267" s="45" t="str">
        <f>VLOOKUP(Table2[[#This Row],[Row Labels]],[1]Sheet2!$B:$E,4,0)</f>
        <v>PASTOR GASPER MCHAU</v>
      </c>
      <c r="F267" s="46" t="s">
        <v>2825</v>
      </c>
      <c r="G267" s="46" t="s">
        <v>2826</v>
      </c>
      <c r="H267" s="46">
        <v>11</v>
      </c>
    </row>
    <row r="268" spans="1:8" x14ac:dyDescent="0.3">
      <c r="A268" s="46">
        <v>267</v>
      </c>
      <c r="B268" s="46" t="s">
        <v>1336</v>
      </c>
      <c r="C268" s="58">
        <v>46076.4221412037</v>
      </c>
      <c r="D268" s="55" t="s">
        <v>2024</v>
      </c>
      <c r="E268" s="45" t="str">
        <f>VLOOKUP(Table2[[#This Row],[Row Labels]],[1]Sheet2!$B:$E,4,0)</f>
        <v>MICHAEL CHEYO NKINGA</v>
      </c>
      <c r="F268" s="46" t="s">
        <v>2827</v>
      </c>
      <c r="G268" s="46" t="s">
        <v>2828</v>
      </c>
      <c r="H268" s="46">
        <v>3</v>
      </c>
    </row>
    <row r="269" spans="1:8" x14ac:dyDescent="0.3">
      <c r="A269" s="46">
        <v>268</v>
      </c>
      <c r="B269" s="46" t="s">
        <v>214</v>
      </c>
      <c r="C269" s="58">
        <v>46076.460277777784</v>
      </c>
      <c r="D269" s="55" t="s">
        <v>2024</v>
      </c>
      <c r="E269" s="45" t="str">
        <f>VLOOKUP(Table2[[#This Row],[Row Labels]],[1]Sheet2!$B:$E,4,0)</f>
        <v>KHALIDY MOHAMEDY KIDOMO</v>
      </c>
      <c r="F269" s="46" t="s">
        <v>2829</v>
      </c>
      <c r="G269" s="46" t="s">
        <v>2830</v>
      </c>
      <c r="H269" s="46">
        <v>7</v>
      </c>
    </row>
    <row r="270" spans="1:8" x14ac:dyDescent="0.3">
      <c r="A270" s="46">
        <v>269</v>
      </c>
      <c r="B270" s="46" t="s">
        <v>1560</v>
      </c>
      <c r="C270" s="58">
        <v>46076.707418981481</v>
      </c>
      <c r="D270" s="55" t="s">
        <v>2024</v>
      </c>
      <c r="E270" s="45" t="str">
        <f>VLOOKUP(Table2[[#This Row],[Row Labels]],[1]Sheet2!$B:$E,4,0)</f>
        <v>JABU RASHIDI ISSA</v>
      </c>
      <c r="F270" s="46" t="s">
        <v>2831</v>
      </c>
      <c r="G270" s="46" t="s">
        <v>2832</v>
      </c>
      <c r="H270" s="46">
        <v>9</v>
      </c>
    </row>
    <row r="271" spans="1:8" x14ac:dyDescent="0.3">
      <c r="A271" s="46">
        <v>270</v>
      </c>
      <c r="B271" s="46" t="s">
        <v>2557</v>
      </c>
      <c r="C271" s="58">
        <v>46076.292118055557</v>
      </c>
      <c r="D271" s="55" t="s">
        <v>2024</v>
      </c>
      <c r="E271" s="45" t="str">
        <f>VLOOKUP(Table2[[#This Row],[Row Labels]],[1]Sheet2!$B:$E,4,0)</f>
        <v>RAMADHAN RAHIBU SULEIMAN</v>
      </c>
      <c r="F271" s="46" t="s">
        <v>2833</v>
      </c>
      <c r="G271" s="46" t="s">
        <v>2834</v>
      </c>
      <c r="H271" s="46">
        <v>14</v>
      </c>
    </row>
    <row r="272" spans="1:8" x14ac:dyDescent="0.3">
      <c r="A272" s="46">
        <v>271</v>
      </c>
      <c r="B272" s="46" t="s">
        <v>1059</v>
      </c>
      <c r="C272" s="58">
        <v>46076.294074074067</v>
      </c>
      <c r="D272" s="55" t="s">
        <v>2024</v>
      </c>
      <c r="E272" s="45" t="str">
        <f>VLOOKUP(Table2[[#This Row],[Row Labels]],[1]Sheet2!$B:$E,4,0)</f>
        <v>ALLY RASHID SAID</v>
      </c>
      <c r="F272" s="46" t="s">
        <v>2835</v>
      </c>
      <c r="G272" s="46" t="s">
        <v>2836</v>
      </c>
      <c r="H272" s="46">
        <v>6</v>
      </c>
    </row>
    <row r="273" spans="1:8" x14ac:dyDescent="0.3">
      <c r="A273" s="46">
        <v>272</v>
      </c>
      <c r="B273" s="46" t="s">
        <v>377</v>
      </c>
      <c r="C273" s="58">
        <v>46076.432557870372</v>
      </c>
      <c r="D273" s="55" t="s">
        <v>2024</v>
      </c>
      <c r="E273" s="45" t="str">
        <f>VLOOKUP(Table2[[#This Row],[Row Labels]],[1]Sheet2!$B:$E,4,0)</f>
        <v>ELIBAS EZEKIEL KITUNGWA</v>
      </c>
      <c r="F273" s="46" t="s">
        <v>2837</v>
      </c>
      <c r="G273" s="46" t="s">
        <v>2838</v>
      </c>
      <c r="H273" s="46">
        <v>4</v>
      </c>
    </row>
    <row r="274" spans="1:8" x14ac:dyDescent="0.3">
      <c r="A274" s="46">
        <v>273</v>
      </c>
      <c r="B274" s="46" t="s">
        <v>270</v>
      </c>
      <c r="C274" s="58">
        <v>46076.574861111112</v>
      </c>
      <c r="D274" s="55" t="s">
        <v>2024</v>
      </c>
      <c r="E274" s="45" t="str">
        <f>VLOOKUP(Table2[[#This Row],[Row Labels]],[1]Sheet2!$B:$E,4,0)</f>
        <v>ALPHONCE ADRIAN MAIGE</v>
      </c>
      <c r="F274" s="46" t="s">
        <v>2839</v>
      </c>
      <c r="G274" s="46" t="s">
        <v>2840</v>
      </c>
      <c r="H274" s="46">
        <v>4</v>
      </c>
    </row>
    <row r="275" spans="1:8" x14ac:dyDescent="0.3">
      <c r="A275" s="46">
        <v>274</v>
      </c>
      <c r="B275" s="46" t="s">
        <v>1911</v>
      </c>
      <c r="C275" s="58">
        <v>46076.337500000001</v>
      </c>
      <c r="D275" s="55" t="s">
        <v>2024</v>
      </c>
      <c r="E275" s="45" t="str">
        <f>VLOOKUP(Table2[[#This Row],[Row Labels]],[1]Sheet2!$B:$E,4,0)</f>
        <v>ALLY MBARAKA ALLY</v>
      </c>
      <c r="F275" s="46" t="s">
        <v>2841</v>
      </c>
      <c r="G275" s="46" t="s">
        <v>2842</v>
      </c>
      <c r="H275" s="46">
        <v>3</v>
      </c>
    </row>
    <row r="276" spans="1:8" x14ac:dyDescent="0.3">
      <c r="A276" s="46">
        <v>275</v>
      </c>
      <c r="B276" s="46" t="s">
        <v>1416</v>
      </c>
      <c r="C276" s="58">
        <v>46077.624780092592</v>
      </c>
      <c r="D276" s="55" t="s">
        <v>2059</v>
      </c>
      <c r="E276" s="45" t="str">
        <f>VLOOKUP(Table2[[#This Row],[Row Labels]],[1]Sheet2!$B:$E,4,0)</f>
        <v>JOSEPH PETRO JAMES</v>
      </c>
      <c r="F276" s="46" t="s">
        <v>2843</v>
      </c>
      <c r="G276" s="46" t="s">
        <v>2844</v>
      </c>
      <c r="H276" s="46">
        <v>4</v>
      </c>
    </row>
    <row r="277" spans="1:8" x14ac:dyDescent="0.3">
      <c r="A277" s="46">
        <v>276</v>
      </c>
      <c r="B277" s="46" t="s">
        <v>2074</v>
      </c>
      <c r="C277" s="58">
        <v>46077.650393518517</v>
      </c>
      <c r="D277" s="55" t="s">
        <v>2059</v>
      </c>
      <c r="E277" s="45" t="str">
        <f>VLOOKUP(Table2[[#This Row],[Row Labels]],[1]Sheet2!$B:$E,4,0)</f>
        <v>STEVEN OCTAVIAN MILANZI</v>
      </c>
      <c r="F277" s="46" t="s">
        <v>2845</v>
      </c>
      <c r="G277" s="46" t="s">
        <v>2846</v>
      </c>
      <c r="H277" s="46">
        <v>4</v>
      </c>
    </row>
    <row r="278" spans="1:8" x14ac:dyDescent="0.3">
      <c r="A278" s="46">
        <v>277</v>
      </c>
      <c r="B278" s="46" t="s">
        <v>158</v>
      </c>
      <c r="C278" s="58">
        <v>46077.351875</v>
      </c>
      <c r="D278" s="55" t="s">
        <v>2059</v>
      </c>
      <c r="E278" s="45" t="str">
        <f>VLOOKUP(Table2[[#This Row],[Row Labels]],[1]Sheet2!$B:$E,4,0)</f>
        <v>ALLY RAMADHANI ZANDA</v>
      </c>
      <c r="F278" s="46" t="s">
        <v>2847</v>
      </c>
      <c r="G278" s="46" t="s">
        <v>2848</v>
      </c>
      <c r="H278" s="46">
        <v>3</v>
      </c>
    </row>
    <row r="279" spans="1:8" x14ac:dyDescent="0.3">
      <c r="A279" s="46">
        <v>278</v>
      </c>
      <c r="B279" s="46" t="s">
        <v>1560</v>
      </c>
      <c r="C279" s="58">
        <v>46077.527905092589</v>
      </c>
      <c r="D279" s="55" t="s">
        <v>2059</v>
      </c>
      <c r="E279" s="45" t="str">
        <f>VLOOKUP(Table2[[#This Row],[Row Labels]],[1]Sheet2!$B:$E,4,0)</f>
        <v>JABU RASHIDI ISSA</v>
      </c>
      <c r="F279" s="46" t="s">
        <v>2849</v>
      </c>
      <c r="G279" s="46" t="s">
        <v>2850</v>
      </c>
      <c r="H279" s="46">
        <v>5</v>
      </c>
    </row>
    <row r="280" spans="1:8" x14ac:dyDescent="0.3">
      <c r="A280" s="46">
        <v>279</v>
      </c>
      <c r="B280" s="46" t="s">
        <v>729</v>
      </c>
      <c r="C280" s="58">
        <v>46077.312418981477</v>
      </c>
      <c r="D280" s="55" t="s">
        <v>2059</v>
      </c>
      <c r="E280" s="45" t="str">
        <f>VLOOKUP(Table2[[#This Row],[Row Labels]],[1]Sheet2!$B:$E,4,0)</f>
        <v>ISSACK KONRADI KASIANO</v>
      </c>
      <c r="F280" s="46" t="s">
        <v>2851</v>
      </c>
      <c r="G280" s="46" t="s">
        <v>2852</v>
      </c>
      <c r="H280" s="46">
        <v>8</v>
      </c>
    </row>
    <row r="281" spans="1:8" x14ac:dyDescent="0.3">
      <c r="A281" s="46">
        <v>280</v>
      </c>
      <c r="B281" s="46" t="s">
        <v>377</v>
      </c>
      <c r="C281" s="58">
        <v>46077.466666666667</v>
      </c>
      <c r="D281" s="55" t="s">
        <v>2059</v>
      </c>
      <c r="E281" s="45" t="str">
        <f>VLOOKUP(Table2[[#This Row],[Row Labels]],[1]Sheet2!$B:$E,4,0)</f>
        <v>ELIBAS EZEKIEL KITUNGWA</v>
      </c>
      <c r="F281" s="46" t="s">
        <v>2853</v>
      </c>
      <c r="G281" s="46" t="s">
        <v>2389</v>
      </c>
      <c r="H281" s="46">
        <v>3</v>
      </c>
    </row>
    <row r="282" spans="1:8" x14ac:dyDescent="0.3">
      <c r="A282" s="46">
        <v>281</v>
      </c>
      <c r="B282" s="46" t="s">
        <v>94</v>
      </c>
      <c r="C282" s="58">
        <v>46078.445416666669</v>
      </c>
      <c r="D282" s="55" t="s">
        <v>2120</v>
      </c>
      <c r="E282" s="45" t="str">
        <f>VLOOKUP(Table2[[#This Row],[Row Labels]],[1]Sheet2!$B:$E,4,0)</f>
        <v>ALLY MARICK SEIF</v>
      </c>
      <c r="F282" s="46" t="s">
        <v>2854</v>
      </c>
      <c r="G282" s="46" t="s">
        <v>2855</v>
      </c>
      <c r="H282" s="46">
        <v>3</v>
      </c>
    </row>
    <row r="283" spans="1:8" x14ac:dyDescent="0.3">
      <c r="A283" s="46">
        <v>282</v>
      </c>
      <c r="B283" s="46" t="s">
        <v>907</v>
      </c>
      <c r="C283" s="58">
        <v>46078.250659722216</v>
      </c>
      <c r="D283" s="55" t="s">
        <v>2120</v>
      </c>
      <c r="E283" s="45" t="str">
        <f>VLOOKUP(Table2[[#This Row],[Row Labels]],[1]Sheet2!$B:$E,4,0)</f>
        <v>MOHAMEDI IDDI KULWA</v>
      </c>
      <c r="F283" s="46" t="s">
        <v>2856</v>
      </c>
      <c r="G283" s="46" t="s">
        <v>2857</v>
      </c>
      <c r="H283" s="46">
        <v>3</v>
      </c>
    </row>
    <row r="284" spans="1:8" x14ac:dyDescent="0.3">
      <c r="A284" s="46">
        <v>283</v>
      </c>
      <c r="B284" s="46" t="s">
        <v>130</v>
      </c>
      <c r="C284" s="58">
        <v>46078.740300925929</v>
      </c>
      <c r="D284" s="55" t="s">
        <v>2120</v>
      </c>
      <c r="E284" s="45" t="str">
        <f>VLOOKUP(Table2[[#This Row],[Row Labels]],[1]Sheet2!$B:$E,4,0)</f>
        <v>RAJABU MOHAMED MATUA</v>
      </c>
      <c r="F284" s="46" t="s">
        <v>2858</v>
      </c>
      <c r="G284" s="46" t="s">
        <v>2859</v>
      </c>
      <c r="H284" s="46">
        <v>3</v>
      </c>
    </row>
    <row r="285" spans="1:8" x14ac:dyDescent="0.3">
      <c r="A285" s="46">
        <v>284</v>
      </c>
      <c r="B285" s="46" t="s">
        <v>48</v>
      </c>
      <c r="C285" s="58">
        <v>46078.547731481478</v>
      </c>
      <c r="D285" s="55" t="s">
        <v>2120</v>
      </c>
      <c r="E285" s="45" t="str">
        <f>VLOOKUP(Table2[[#This Row],[Row Labels]],[1]Sheet2!$B:$E,4,0)</f>
        <v>MIKIDADI RASHIDI MGEZA</v>
      </c>
      <c r="F285" s="46" t="s">
        <v>2860</v>
      </c>
      <c r="G285" s="46" t="s">
        <v>2861</v>
      </c>
      <c r="H285" s="46">
        <v>4</v>
      </c>
    </row>
    <row r="286" spans="1:8" x14ac:dyDescent="0.3">
      <c r="A286" s="46">
        <v>285</v>
      </c>
      <c r="B286" s="46" t="s">
        <v>1384</v>
      </c>
      <c r="C286" s="58">
        <v>46078.380474537043</v>
      </c>
      <c r="D286" s="55" t="s">
        <v>2120</v>
      </c>
      <c r="E286" s="45" t="str">
        <f>VLOOKUP(Table2[[#This Row],[Row Labels]],[1]Sheet2!$B:$E,4,0)</f>
        <v>EMANUEL AGRICOLA MKENDA</v>
      </c>
      <c r="F286" s="46" t="s">
        <v>2862</v>
      </c>
      <c r="G286" s="46" t="s">
        <v>2863</v>
      </c>
      <c r="H286" s="46">
        <v>5</v>
      </c>
    </row>
    <row r="287" spans="1:8" x14ac:dyDescent="0.3">
      <c r="A287" s="46">
        <v>286</v>
      </c>
      <c r="B287" s="46" t="s">
        <v>57</v>
      </c>
      <c r="C287" s="58">
        <v>46078.395937499998</v>
      </c>
      <c r="D287" s="55" t="s">
        <v>2120</v>
      </c>
      <c r="E287" s="45" t="str">
        <f>VLOOKUP(Table2[[#This Row],[Row Labels]],[1]Sheet2!$B:$E,4,0)</f>
        <v>KITUNDA HUSSEIN KUDEBA</v>
      </c>
      <c r="F287" s="46" t="s">
        <v>2864</v>
      </c>
      <c r="G287" s="46" t="s">
        <v>2865</v>
      </c>
      <c r="H287" s="46">
        <v>3</v>
      </c>
    </row>
    <row r="288" spans="1:8" x14ac:dyDescent="0.3">
      <c r="A288" s="46">
        <v>287</v>
      </c>
      <c r="B288" s="46" t="s">
        <v>729</v>
      </c>
      <c r="C288" s="58">
        <v>46078.351122685177</v>
      </c>
      <c r="D288" s="55" t="s">
        <v>2120</v>
      </c>
      <c r="E288" s="45" t="str">
        <f>VLOOKUP(Table2[[#This Row],[Row Labels]],[1]Sheet2!$B:$E,4,0)</f>
        <v>ISSACK KONRADI KASIANO</v>
      </c>
      <c r="F288" s="46" t="s">
        <v>2866</v>
      </c>
      <c r="G288" s="46" t="s">
        <v>2867</v>
      </c>
      <c r="H288" s="46">
        <v>9</v>
      </c>
    </row>
    <row r="289" spans="1:8" x14ac:dyDescent="0.3">
      <c r="A289" s="46">
        <v>288</v>
      </c>
      <c r="B289" s="46" t="s">
        <v>31</v>
      </c>
      <c r="C289" s="58">
        <v>46078.305787037039</v>
      </c>
      <c r="D289" s="55" t="s">
        <v>2120</v>
      </c>
      <c r="E289" s="45" t="str">
        <f>VLOOKUP(Table2[[#This Row],[Row Labels]],[1]Sheet2!$B:$E,4,0)</f>
        <v>TWAHIR RASHID MSAKA</v>
      </c>
      <c r="F289" s="46" t="s">
        <v>2868</v>
      </c>
      <c r="G289" s="46" t="s">
        <v>2869</v>
      </c>
      <c r="H289" s="46">
        <v>6</v>
      </c>
    </row>
    <row r="290" spans="1:8" x14ac:dyDescent="0.3">
      <c r="A290" s="46">
        <v>289</v>
      </c>
      <c r="B290" s="46" t="s">
        <v>377</v>
      </c>
      <c r="C290" s="58">
        <v>46078.493113425917</v>
      </c>
      <c r="D290" s="55" t="s">
        <v>2120</v>
      </c>
      <c r="E290" s="45" t="str">
        <f>VLOOKUP(Table2[[#This Row],[Row Labels]],[1]Sheet2!$B:$E,4,0)</f>
        <v>ELIBAS EZEKIEL KITUNGWA</v>
      </c>
      <c r="F290" s="46" t="s">
        <v>2870</v>
      </c>
      <c r="G290" s="46" t="s">
        <v>2871</v>
      </c>
      <c r="H290" s="46">
        <v>3</v>
      </c>
    </row>
    <row r="291" spans="1:8" x14ac:dyDescent="0.3">
      <c r="A291" s="46">
        <v>290</v>
      </c>
      <c r="B291" s="46" t="s">
        <v>43</v>
      </c>
      <c r="C291" s="58">
        <v>46078.439884259264</v>
      </c>
      <c r="D291" s="55" t="s">
        <v>2120</v>
      </c>
      <c r="E291" s="45" t="str">
        <f>VLOOKUP(Table2[[#This Row],[Row Labels]],[1]Sheet2!$B:$E,4,0)</f>
        <v>APOLO PETER MSIGWA</v>
      </c>
      <c r="F291" s="46" t="s">
        <v>2872</v>
      </c>
      <c r="G291" s="46" t="s">
        <v>2873</v>
      </c>
      <c r="H291" s="46">
        <v>5</v>
      </c>
    </row>
    <row r="292" spans="1:8" x14ac:dyDescent="0.3">
      <c r="A292" s="46">
        <v>291</v>
      </c>
      <c r="B292" s="46" t="s">
        <v>2874</v>
      </c>
      <c r="C292" s="58">
        <v>46079.308032407411</v>
      </c>
      <c r="D292" s="55" t="s">
        <v>2167</v>
      </c>
      <c r="E292" s="45" t="str">
        <f>VLOOKUP(Table2[[#This Row],[Row Labels]],[1]Sheet2!$B:$E,4,0)</f>
        <v>ABDUL NASSORO SELEMANI</v>
      </c>
      <c r="F292" s="46" t="s">
        <v>2875</v>
      </c>
      <c r="G292" s="46" t="s">
        <v>2445</v>
      </c>
      <c r="H292" s="46">
        <v>3</v>
      </c>
    </row>
    <row r="293" spans="1:8" x14ac:dyDescent="0.3">
      <c r="A293" s="46">
        <v>292</v>
      </c>
      <c r="B293" s="46" t="s">
        <v>656</v>
      </c>
      <c r="C293" s="58">
        <v>46079.538298611107</v>
      </c>
      <c r="D293" s="55" t="s">
        <v>2167</v>
      </c>
      <c r="E293" s="45" t="str">
        <f>VLOOKUP(Table2[[#This Row],[Row Labels]],[1]Sheet2!$B:$E,4,0)</f>
        <v>HAMADI RASHID DOWILE</v>
      </c>
      <c r="F293" s="46" t="s">
        <v>2876</v>
      </c>
      <c r="G293" s="46" t="s">
        <v>2877</v>
      </c>
      <c r="H293" s="46">
        <v>3</v>
      </c>
    </row>
    <row r="294" spans="1:8" x14ac:dyDescent="0.3">
      <c r="A294" s="46">
        <v>293</v>
      </c>
      <c r="B294" s="46" t="s">
        <v>130</v>
      </c>
      <c r="C294" s="58">
        <v>46079.430277777778</v>
      </c>
      <c r="D294" s="55" t="s">
        <v>2167</v>
      </c>
      <c r="E294" s="45" t="str">
        <f>VLOOKUP(Table2[[#This Row],[Row Labels]],[1]Sheet2!$B:$E,4,0)</f>
        <v>RAJABU MOHAMED MATUA</v>
      </c>
      <c r="F294" s="46" t="s">
        <v>2878</v>
      </c>
      <c r="G294" s="46" t="s">
        <v>2879</v>
      </c>
      <c r="H294" s="46">
        <v>3</v>
      </c>
    </row>
    <row r="295" spans="1:8" x14ac:dyDescent="0.3">
      <c r="A295" s="46">
        <v>294</v>
      </c>
      <c r="B295" s="46" t="s">
        <v>54</v>
      </c>
      <c r="C295" s="58">
        <v>46079.371701388889</v>
      </c>
      <c r="D295" s="55" t="s">
        <v>2167</v>
      </c>
      <c r="E295" s="45" t="str">
        <f>VLOOKUP(Table2[[#This Row],[Row Labels]],[1]Sheet2!$B:$E,4,0)</f>
        <v>HASSAN MZEE BOHERO</v>
      </c>
      <c r="F295" s="46" t="s">
        <v>2880</v>
      </c>
      <c r="G295" s="46" t="s">
        <v>2881</v>
      </c>
      <c r="H295" s="46">
        <v>3</v>
      </c>
    </row>
    <row r="296" spans="1:8" x14ac:dyDescent="0.3">
      <c r="A296" s="46">
        <v>295</v>
      </c>
      <c r="B296" s="46" t="s">
        <v>2882</v>
      </c>
      <c r="C296" s="58">
        <v>46079.52616898148</v>
      </c>
      <c r="D296" s="55" t="s">
        <v>2167</v>
      </c>
      <c r="E296" s="45" t="str">
        <f>VLOOKUP(Table2[[#This Row],[Row Labels]],[1]Sheet2!$B:$E,4,0)</f>
        <v>KELVIN JOSEPH MWAMI</v>
      </c>
      <c r="F296" s="46" t="s">
        <v>2883</v>
      </c>
      <c r="G296" s="46" t="s">
        <v>2884</v>
      </c>
      <c r="H296" s="46">
        <v>10</v>
      </c>
    </row>
    <row r="297" spans="1:8" x14ac:dyDescent="0.3">
      <c r="A297" s="46">
        <v>296</v>
      </c>
      <c r="B297" s="46" t="s">
        <v>1818</v>
      </c>
      <c r="C297" s="58">
        <v>46079.427314814813</v>
      </c>
      <c r="D297" s="55" t="s">
        <v>2167</v>
      </c>
      <c r="E297" s="45" t="str">
        <f>VLOOKUP(Table2[[#This Row],[Row Labels]],[1]Sheet2!$B:$E,4,0)</f>
        <v>STEPHANO ABINELI ULOMI</v>
      </c>
      <c r="F297" s="46" t="s">
        <v>2885</v>
      </c>
      <c r="G297" s="46" t="s">
        <v>2886</v>
      </c>
      <c r="H297" s="46">
        <v>3</v>
      </c>
    </row>
    <row r="298" spans="1:8" x14ac:dyDescent="0.3">
      <c r="A298" s="46">
        <v>297</v>
      </c>
      <c r="B298" s="46" t="s">
        <v>2887</v>
      </c>
      <c r="C298" s="58">
        <v>46079.348622685182</v>
      </c>
      <c r="D298" s="55" t="s">
        <v>2167</v>
      </c>
      <c r="E298" s="45" t="str">
        <f>VLOOKUP(Table2[[#This Row],[Row Labels]],[1]Sheet2!$B:$E,4,0)</f>
        <v>BOSCO BONIFACE KOMBA</v>
      </c>
      <c r="F298" s="46" t="s">
        <v>2888</v>
      </c>
      <c r="G298" s="46" t="s">
        <v>2889</v>
      </c>
      <c r="H298" s="46">
        <v>3</v>
      </c>
    </row>
    <row r="299" spans="1:8" x14ac:dyDescent="0.3">
      <c r="A299" s="46">
        <v>298</v>
      </c>
      <c r="B299" s="46" t="s">
        <v>2882</v>
      </c>
      <c r="C299" s="58">
        <v>46080.527905092589</v>
      </c>
      <c r="D299" s="55" t="s">
        <v>2203</v>
      </c>
      <c r="E299" s="45" t="str">
        <f>VLOOKUP(Table2[[#This Row],[Row Labels]],[1]Sheet2!$B:$E,4,0)</f>
        <v>KELVIN JOSEPH MWAMI</v>
      </c>
      <c r="F299" s="46" t="s">
        <v>2890</v>
      </c>
      <c r="G299" s="46" t="s">
        <v>2891</v>
      </c>
      <c r="H299" s="46">
        <v>6</v>
      </c>
    </row>
    <row r="300" spans="1:8" x14ac:dyDescent="0.3">
      <c r="A300" s="46">
        <v>299</v>
      </c>
      <c r="B300" s="46" t="s">
        <v>1174</v>
      </c>
      <c r="C300" s="58">
        <v>46080.408900462957</v>
      </c>
      <c r="D300" s="55" t="s">
        <v>2203</v>
      </c>
      <c r="E300" s="45" t="str">
        <f>VLOOKUP(Table2[[#This Row],[Row Labels]],[1]Sheet2!$B:$E,4,0)</f>
        <v>MRISHO WAZIRI ALLY</v>
      </c>
      <c r="F300" s="46" t="s">
        <v>2892</v>
      </c>
      <c r="G300" s="46" t="s">
        <v>2893</v>
      </c>
      <c r="H300" s="46">
        <v>8</v>
      </c>
    </row>
    <row r="301" spans="1:8" x14ac:dyDescent="0.3">
      <c r="A301" s="46">
        <v>300</v>
      </c>
      <c r="B301" s="46" t="s">
        <v>429</v>
      </c>
      <c r="C301" s="58">
        <v>46080.494155092587</v>
      </c>
      <c r="D301" s="55" t="s">
        <v>2203</v>
      </c>
      <c r="E301" s="45" t="str">
        <f>VLOOKUP(Table2[[#This Row],[Row Labels]],[1]Sheet2!$B:$E,4,0)</f>
        <v>MATHIAS ISDORY MGOMBE</v>
      </c>
      <c r="F301" s="46" t="s">
        <v>2894</v>
      </c>
      <c r="G301" s="46" t="s">
        <v>2895</v>
      </c>
      <c r="H301" s="46">
        <v>3</v>
      </c>
    </row>
    <row r="302" spans="1:8" x14ac:dyDescent="0.3">
      <c r="A302" s="46">
        <v>301</v>
      </c>
      <c r="B302" s="46" t="s">
        <v>932</v>
      </c>
      <c r="C302" s="58">
        <v>46080.780486111107</v>
      </c>
      <c r="D302" s="55" t="s">
        <v>2203</v>
      </c>
      <c r="E302" s="45" t="str">
        <f>VLOOKUP(Table2[[#This Row],[Row Labels]],[1]Sheet2!$B:$E,4,0)</f>
        <v>DAUDI ISSA NJUMITE</v>
      </c>
      <c r="F302" s="46" t="s">
        <v>2896</v>
      </c>
      <c r="G302" s="46" t="s">
        <v>2897</v>
      </c>
      <c r="H302" s="46">
        <v>4</v>
      </c>
    </row>
    <row r="303" spans="1:8" x14ac:dyDescent="0.3">
      <c r="A303" s="46">
        <v>302</v>
      </c>
      <c r="B303" s="46" t="s">
        <v>1202</v>
      </c>
      <c r="C303" s="58">
        <v>46080.488206018519</v>
      </c>
      <c r="D303" s="55" t="s">
        <v>2203</v>
      </c>
      <c r="E303" s="45" t="str">
        <f>VLOOKUP(Table2[[#This Row],[Row Labels]],[1]Sheet2!$B:$E,4,0)</f>
        <v>ZUBERI HATIBU MJAHIDI</v>
      </c>
      <c r="F303" s="46" t="s">
        <v>2898</v>
      </c>
      <c r="G303" s="46" t="s">
        <v>2899</v>
      </c>
      <c r="H303" s="46">
        <v>6</v>
      </c>
    </row>
    <row r="304" spans="1:8" x14ac:dyDescent="0.3">
      <c r="A304" s="46">
        <v>303</v>
      </c>
      <c r="B304" s="46" t="s">
        <v>243</v>
      </c>
      <c r="C304" s="58">
        <v>46080.312476851846</v>
      </c>
      <c r="D304" s="55" t="s">
        <v>2203</v>
      </c>
      <c r="E304" s="45" t="str">
        <f>VLOOKUP(Table2[[#This Row],[Row Labels]],[1]Sheet2!$B:$E,4,0)</f>
        <v>ABDALLAH BAKARI ABDALLAH</v>
      </c>
      <c r="F304" s="46" t="s">
        <v>2900</v>
      </c>
      <c r="G304" s="46" t="s">
        <v>2385</v>
      </c>
      <c r="H304" s="46">
        <v>3</v>
      </c>
    </row>
    <row r="305" spans="1:8" x14ac:dyDescent="0.3">
      <c r="A305" s="46">
        <v>304</v>
      </c>
      <c r="B305" s="46" t="s">
        <v>30</v>
      </c>
      <c r="C305" s="58">
        <v>46081.367465277777</v>
      </c>
      <c r="D305" s="55" t="s">
        <v>12</v>
      </c>
      <c r="E305" s="45" t="str">
        <f>VLOOKUP(Table2[[#This Row],[Row Labels]],[1]Sheet2!$B:$E,4,0)</f>
        <v>ISMAIL NASSORO SAID</v>
      </c>
      <c r="F305" s="46" t="s">
        <v>2901</v>
      </c>
      <c r="G305" s="46" t="s">
        <v>2902</v>
      </c>
      <c r="H305" s="46">
        <v>5</v>
      </c>
    </row>
    <row r="306" spans="1:8" x14ac:dyDescent="0.3">
      <c r="A306" s="46">
        <v>305</v>
      </c>
      <c r="B306" s="46" t="s">
        <v>42</v>
      </c>
      <c r="C306" s="58">
        <v>46081.575671296298</v>
      </c>
      <c r="D306" s="55" t="s">
        <v>12</v>
      </c>
      <c r="E306" s="45" t="str">
        <f>VLOOKUP(Table2[[#This Row],[Row Labels]],[1]Sheet2!$B:$E,4,0)</f>
        <v>OTHUMAN SALUM MSIKA</v>
      </c>
      <c r="F306" s="46" t="s">
        <v>2903</v>
      </c>
      <c r="G306" s="46" t="s">
        <v>2904</v>
      </c>
      <c r="H306" s="46">
        <v>3</v>
      </c>
    </row>
    <row r="307" spans="1:8" x14ac:dyDescent="0.3">
      <c r="A307" s="46">
        <v>306</v>
      </c>
      <c r="B307" s="46" t="s">
        <v>34</v>
      </c>
      <c r="C307" s="58">
        <v>46081.558333333327</v>
      </c>
      <c r="D307" s="55" t="s">
        <v>12</v>
      </c>
      <c r="E307" s="45" t="str">
        <f>VLOOKUP(Table2[[#This Row],[Row Labels]],[1]Sheet2!$B:$E,4,0)</f>
        <v>MOHAMED SELEMANI LUZUA</v>
      </c>
      <c r="F307" s="46" t="s">
        <v>2905</v>
      </c>
      <c r="G307" s="46" t="s">
        <v>2906</v>
      </c>
      <c r="H307" s="46">
        <v>3</v>
      </c>
    </row>
    <row r="308" spans="1:8" x14ac:dyDescent="0.3">
      <c r="A308" s="46">
        <v>307</v>
      </c>
      <c r="B308" s="46" t="s">
        <v>26</v>
      </c>
      <c r="C308" s="58">
        <v>46081.279224537036</v>
      </c>
      <c r="D308" s="55" t="s">
        <v>12</v>
      </c>
      <c r="E308" s="45" t="str">
        <f>VLOOKUP(Table2[[#This Row],[Row Labels]],[1]Sheet2!$B:$E,4,0)</f>
        <v>MADENGE SALUM SHOMARI</v>
      </c>
      <c r="F308" s="46" t="s">
        <v>2907</v>
      </c>
      <c r="G308" s="46" t="s">
        <v>2908</v>
      </c>
      <c r="H308" s="46">
        <v>6</v>
      </c>
    </row>
    <row r="309" spans="1:8" x14ac:dyDescent="0.3">
      <c r="A309" s="46">
        <v>308</v>
      </c>
      <c r="B309" s="46" t="s">
        <v>38</v>
      </c>
      <c r="C309" s="58">
        <v>46081.315451388888</v>
      </c>
      <c r="D309" s="55" t="s">
        <v>12</v>
      </c>
      <c r="E309" s="45" t="str">
        <f>VLOOKUP(Table2[[#This Row],[Row Labels]],[1]Sheet2!$B:$E,4,0)</f>
        <v>GODFREY FRANK MBOJA</v>
      </c>
      <c r="F309" s="46" t="s">
        <v>2909</v>
      </c>
      <c r="G309" s="46" t="s">
        <v>2910</v>
      </c>
      <c r="H309" s="46">
        <v>4</v>
      </c>
    </row>
    <row r="310" spans="1:8" x14ac:dyDescent="0.3">
      <c r="A310" s="46">
        <v>309</v>
      </c>
      <c r="B310" s="46" t="s">
        <v>41</v>
      </c>
      <c r="C310" s="58">
        <v>46081.56391203704</v>
      </c>
      <c r="D310" s="55" t="s">
        <v>12</v>
      </c>
      <c r="E310" s="45" t="str">
        <f>VLOOKUP(Table2[[#This Row],[Row Labels]],[1]Sheet2!$B:$E,4,0)</f>
        <v>OMARI ATHUMANI SELEMANI</v>
      </c>
      <c r="F310" s="46" t="s">
        <v>2911</v>
      </c>
      <c r="G310" s="46" t="s">
        <v>2912</v>
      </c>
      <c r="H310" s="46">
        <v>3</v>
      </c>
    </row>
    <row r="311" spans="1:8" x14ac:dyDescent="0.3">
      <c r="A311" s="46">
        <v>310</v>
      </c>
      <c r="B311" s="46" t="s">
        <v>45</v>
      </c>
      <c r="C311" s="58">
        <v>46081.421284722222</v>
      </c>
      <c r="D311" s="55" t="s">
        <v>12</v>
      </c>
      <c r="E311" s="45" t="str">
        <f>VLOOKUP(Table2[[#This Row],[Row Labels]],[1]Sheet2!$B:$E,4,0)</f>
        <v>SAMSONI JOSEPH USEGA</v>
      </c>
      <c r="F311" s="46" t="s">
        <v>2913</v>
      </c>
      <c r="G311" s="46" t="s">
        <v>2914</v>
      </c>
      <c r="H311" s="46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6"/>
  <sheetViews>
    <sheetView zoomScale="101" workbookViewId="0">
      <pane ySplit="1" topLeftCell="A190" activePane="bottomLeft" state="frozen"/>
      <selection pane="bottomLeft" activeCell="E207" sqref="E207:E216"/>
    </sheetView>
  </sheetViews>
  <sheetFormatPr defaultRowHeight="14.4" x14ac:dyDescent="0.3"/>
  <cols>
    <col min="1" max="1" width="4.88671875" style="41" bestFit="1" customWidth="1"/>
    <col min="2" max="2" width="11.44140625" style="41" bestFit="1" customWidth="1"/>
    <col min="3" max="3" width="20.44140625" style="41" customWidth="1"/>
    <col min="4" max="4" width="8.6640625" style="64" bestFit="1" customWidth="1"/>
    <col min="5" max="5" width="25.33203125" style="41" bestFit="1" customWidth="1"/>
    <col min="6" max="6" width="11.33203125" style="41" bestFit="1" customWidth="1"/>
    <col min="7" max="7" width="66" style="41" bestFit="1" customWidth="1"/>
    <col min="8" max="8" width="11.44140625" style="41" bestFit="1" customWidth="1"/>
    <col min="9" max="9" width="7.33203125" style="41" bestFit="1" customWidth="1"/>
    <col min="10" max="10" width="8.88671875" style="41" customWidth="1"/>
  </cols>
  <sheetData>
    <row r="1" spans="1:10" s="9" customFormat="1" ht="18.600000000000001" customHeight="1" x14ac:dyDescent="0.3">
      <c r="A1" s="29" t="s">
        <v>74</v>
      </c>
      <c r="B1" s="30" t="s">
        <v>2915</v>
      </c>
      <c r="C1" s="30" t="s">
        <v>2916</v>
      </c>
      <c r="D1" s="62" t="s">
        <v>11</v>
      </c>
      <c r="E1" s="31" t="s">
        <v>2917</v>
      </c>
      <c r="F1" s="32" t="s">
        <v>2918</v>
      </c>
      <c r="G1" s="33" t="s">
        <v>79</v>
      </c>
      <c r="H1" s="30" t="s">
        <v>2919</v>
      </c>
      <c r="I1" s="31" t="s">
        <v>2920</v>
      </c>
      <c r="J1" s="40"/>
    </row>
    <row r="2" spans="1:10" x14ac:dyDescent="0.3">
      <c r="A2" s="65">
        <v>1</v>
      </c>
      <c r="B2" s="35" t="s">
        <v>2874</v>
      </c>
      <c r="C2" s="36" t="s">
        <v>2921</v>
      </c>
      <c r="D2" s="63" t="s">
        <v>2922</v>
      </c>
      <c r="E2" s="37" t="str">
        <f>VLOOKUP(Table1[[#This Row],[TRUCK NO  ]],[1]Sheet2!$B:$E,4,0)</f>
        <v>ABDUL NASSORO SELEMANI</v>
      </c>
      <c r="F2" s="36" t="s">
        <v>2923</v>
      </c>
      <c r="G2" s="38" t="s">
        <v>2924</v>
      </c>
      <c r="H2" s="39" t="s">
        <v>2925</v>
      </c>
      <c r="I2" s="53">
        <v>12</v>
      </c>
    </row>
    <row r="3" spans="1:10" x14ac:dyDescent="0.3">
      <c r="A3" s="65">
        <v>2</v>
      </c>
      <c r="B3" s="35" t="s">
        <v>102</v>
      </c>
      <c r="C3" s="36" t="s">
        <v>2926</v>
      </c>
      <c r="D3" s="63" t="s">
        <v>2922</v>
      </c>
      <c r="E3" s="37" t="str">
        <f>VLOOKUP(Table1[[#This Row],[TRUCK NO  ]],[1]Sheet2!$B:$E,4,0)</f>
        <v>SAIMON GEORGE KAAYA</v>
      </c>
      <c r="F3" s="36" t="s">
        <v>2927</v>
      </c>
      <c r="G3" s="38" t="s">
        <v>2928</v>
      </c>
      <c r="H3" s="39" t="s">
        <v>2925</v>
      </c>
      <c r="I3" s="53">
        <v>1</v>
      </c>
    </row>
    <row r="4" spans="1:10" x14ac:dyDescent="0.3">
      <c r="A4" s="65">
        <v>3</v>
      </c>
      <c r="B4" s="35" t="s">
        <v>502</v>
      </c>
      <c r="C4" s="36" t="s">
        <v>2929</v>
      </c>
      <c r="D4" s="63" t="s">
        <v>2922</v>
      </c>
      <c r="E4" s="37" t="str">
        <f>VLOOKUP(Table1[[#This Row],[TRUCK NO  ]],[1]Sheet2!$B:$E,4,0)</f>
        <v>ISAYA MSHUKURU MMBANDO</v>
      </c>
      <c r="F4" s="36" t="s">
        <v>2927</v>
      </c>
      <c r="G4" s="38" t="s">
        <v>2930</v>
      </c>
      <c r="H4" s="39" t="s">
        <v>2925</v>
      </c>
      <c r="I4" s="53">
        <v>8</v>
      </c>
    </row>
    <row r="5" spans="1:10" x14ac:dyDescent="0.3">
      <c r="A5" s="65">
        <v>4</v>
      </c>
      <c r="B5" s="35" t="s">
        <v>111</v>
      </c>
      <c r="C5" s="36" t="s">
        <v>2931</v>
      </c>
      <c r="D5" s="63" t="s">
        <v>2922</v>
      </c>
      <c r="E5" s="37" t="str">
        <f>VLOOKUP(Table1[[#This Row],[TRUCK NO  ]],[1]Sheet2!$B:$E,4,0)</f>
        <v>MWIDIN DANIEL MALATO</v>
      </c>
      <c r="F5" s="36" t="s">
        <v>2932</v>
      </c>
      <c r="G5" s="38" t="s">
        <v>2933</v>
      </c>
      <c r="H5" s="39" t="s">
        <v>2925</v>
      </c>
      <c r="I5" s="53">
        <v>3</v>
      </c>
    </row>
    <row r="6" spans="1:10" x14ac:dyDescent="0.3">
      <c r="A6" s="65">
        <v>5</v>
      </c>
      <c r="B6" s="35" t="s">
        <v>2934</v>
      </c>
      <c r="C6" s="36" t="s">
        <v>2935</v>
      </c>
      <c r="D6" s="63" t="s">
        <v>2922</v>
      </c>
      <c r="E6" s="37" t="str">
        <f>VLOOKUP(Table1[[#This Row],[TRUCK NO  ]],[1]Sheet2!$B:$E,4,0)</f>
        <v>AHMED JAFARI SHILANGILA</v>
      </c>
      <c r="F6" s="36" t="s">
        <v>2936</v>
      </c>
      <c r="G6" s="38" t="s">
        <v>2937</v>
      </c>
      <c r="H6" s="39" t="s">
        <v>2925</v>
      </c>
      <c r="I6" s="53">
        <v>3</v>
      </c>
    </row>
    <row r="7" spans="1:10" x14ac:dyDescent="0.3">
      <c r="A7" s="65">
        <v>6</v>
      </c>
      <c r="B7" s="35" t="s">
        <v>1700</v>
      </c>
      <c r="C7" s="36" t="s">
        <v>2938</v>
      </c>
      <c r="D7" s="63" t="s">
        <v>2922</v>
      </c>
      <c r="E7" s="37" t="str">
        <f>VLOOKUP(Table1[[#This Row],[TRUCK NO  ]],[1]Sheet2!$B:$E,4,0)</f>
        <v>MARTIN ANTHONI SANGA</v>
      </c>
      <c r="F7" s="36" t="s">
        <v>2927</v>
      </c>
      <c r="G7" s="38" t="s">
        <v>2939</v>
      </c>
      <c r="H7" s="39" t="s">
        <v>2925</v>
      </c>
      <c r="I7" s="53">
        <v>2</v>
      </c>
    </row>
    <row r="8" spans="1:10" x14ac:dyDescent="0.3">
      <c r="A8" s="65">
        <v>7</v>
      </c>
      <c r="B8" s="35" t="s">
        <v>62</v>
      </c>
      <c r="C8" s="36" t="s">
        <v>2940</v>
      </c>
      <c r="D8" s="63" t="s">
        <v>2922</v>
      </c>
      <c r="E8" s="37" t="str">
        <f>VLOOKUP(Table1[[#This Row],[TRUCK NO  ]],[1]Sheet2!$B:$E,4,0)</f>
        <v>MUSSA AHAMADI NAMBAYAYA</v>
      </c>
      <c r="F8" s="36" t="s">
        <v>2941</v>
      </c>
      <c r="G8" s="38" t="s">
        <v>2942</v>
      </c>
      <c r="H8" s="39" t="s">
        <v>2925</v>
      </c>
      <c r="I8" s="53">
        <v>1</v>
      </c>
    </row>
    <row r="9" spans="1:10" x14ac:dyDescent="0.3">
      <c r="A9" s="65">
        <v>8</v>
      </c>
      <c r="B9" s="35" t="s">
        <v>35</v>
      </c>
      <c r="C9" s="36" t="s">
        <v>2943</v>
      </c>
      <c r="D9" s="63" t="s">
        <v>2922</v>
      </c>
      <c r="E9" s="37" t="str">
        <f>VLOOKUP(Table1[[#This Row],[TRUCK NO  ]],[1]Sheet2!$B:$E,4,0)</f>
        <v>MICHAEL BONIVENTURA SHANGO</v>
      </c>
      <c r="F9" s="36" t="s">
        <v>2944</v>
      </c>
      <c r="G9" s="38" t="s">
        <v>2945</v>
      </c>
      <c r="H9" s="39" t="s">
        <v>2925</v>
      </c>
      <c r="I9" s="53">
        <v>2</v>
      </c>
    </row>
    <row r="10" spans="1:10" x14ac:dyDescent="0.3">
      <c r="A10" s="65">
        <v>9</v>
      </c>
      <c r="B10" s="35" t="s">
        <v>199</v>
      </c>
      <c r="C10" s="36" t="s">
        <v>2946</v>
      </c>
      <c r="D10" s="63" t="s">
        <v>2922</v>
      </c>
      <c r="E10" s="37" t="str">
        <f>VLOOKUP(Table1[[#This Row],[TRUCK NO  ]],[1]Sheet2!$B:$E,4,0)</f>
        <v>MNAWARU AHMADA BYEMPISI</v>
      </c>
      <c r="F10" s="36" t="s">
        <v>2947</v>
      </c>
      <c r="G10" s="38" t="s">
        <v>2948</v>
      </c>
      <c r="H10" s="39" t="s">
        <v>2925</v>
      </c>
      <c r="I10" s="53">
        <v>11</v>
      </c>
    </row>
    <row r="11" spans="1:10" x14ac:dyDescent="0.3">
      <c r="A11" s="65">
        <v>10</v>
      </c>
      <c r="B11" s="35" t="s">
        <v>440</v>
      </c>
      <c r="C11" s="36" t="s">
        <v>2949</v>
      </c>
      <c r="D11" s="63" t="s">
        <v>2922</v>
      </c>
      <c r="E11" s="37" t="str">
        <f>VLOOKUP(Table1[[#This Row],[TRUCK NO  ]],[1]Sheet2!$B:$E,4,0)</f>
        <v>RAMADHANI MBEZI OMARY</v>
      </c>
      <c r="F11" s="36" t="s">
        <v>2950</v>
      </c>
      <c r="G11" s="38" t="s">
        <v>2924</v>
      </c>
      <c r="H11" s="39" t="s">
        <v>2925</v>
      </c>
      <c r="I11" s="53">
        <v>4</v>
      </c>
    </row>
    <row r="12" spans="1:10" x14ac:dyDescent="0.3">
      <c r="A12" s="65">
        <v>11</v>
      </c>
      <c r="B12" s="35" t="s">
        <v>1054</v>
      </c>
      <c r="C12" s="36" t="s">
        <v>2951</v>
      </c>
      <c r="D12" s="63" t="s">
        <v>2922</v>
      </c>
      <c r="E12" s="37" t="str">
        <f>VLOOKUP(Table1[[#This Row],[TRUCK NO  ]],[1]Sheet2!$B:$E,4,0)</f>
        <v>KHALFANI EMMANUEL MUHIGI</v>
      </c>
      <c r="F12" s="36" t="s">
        <v>2941</v>
      </c>
      <c r="G12" s="38" t="s">
        <v>2952</v>
      </c>
      <c r="H12" s="39" t="s">
        <v>2925</v>
      </c>
      <c r="I12" s="53">
        <v>3</v>
      </c>
    </row>
    <row r="13" spans="1:10" x14ac:dyDescent="0.3">
      <c r="A13" s="65">
        <v>12</v>
      </c>
      <c r="B13" s="35" t="s">
        <v>1290</v>
      </c>
      <c r="C13" s="36" t="s">
        <v>2953</v>
      </c>
      <c r="D13" s="63" t="s">
        <v>2954</v>
      </c>
      <c r="E13" s="37" t="str">
        <f>VLOOKUP(Table1[[#This Row],[TRUCK NO  ]],[1]Sheet2!$B:$E,4,0)</f>
        <v>BOAZI GWILA MAKALANGA</v>
      </c>
      <c r="F13" s="36" t="s">
        <v>2927</v>
      </c>
      <c r="G13" s="38" t="s">
        <v>2955</v>
      </c>
      <c r="H13" s="39" t="s">
        <v>2925</v>
      </c>
      <c r="I13" s="53">
        <v>2</v>
      </c>
    </row>
    <row r="14" spans="1:10" x14ac:dyDescent="0.3">
      <c r="A14" s="65">
        <v>13</v>
      </c>
      <c r="B14" s="35" t="s">
        <v>102</v>
      </c>
      <c r="C14" s="36" t="s">
        <v>2956</v>
      </c>
      <c r="D14" s="63" t="s">
        <v>2954</v>
      </c>
      <c r="E14" s="37" t="str">
        <f>VLOOKUP(Table1[[#This Row],[TRUCK NO  ]],[1]Sheet2!$B:$E,4,0)</f>
        <v>SAIMON GEORGE KAAYA</v>
      </c>
      <c r="F14" s="36" t="s">
        <v>2957</v>
      </c>
      <c r="G14" s="38" t="s">
        <v>2958</v>
      </c>
      <c r="H14" s="39" t="s">
        <v>2925</v>
      </c>
      <c r="I14" s="53">
        <v>2</v>
      </c>
    </row>
    <row r="15" spans="1:10" x14ac:dyDescent="0.3">
      <c r="A15" s="65">
        <v>14</v>
      </c>
      <c r="B15" s="35" t="s">
        <v>111</v>
      </c>
      <c r="C15" s="36" t="s">
        <v>2959</v>
      </c>
      <c r="D15" s="63" t="s">
        <v>2954</v>
      </c>
      <c r="E15" s="37" t="str">
        <f>VLOOKUP(Table1[[#This Row],[TRUCK NO  ]],[1]Sheet2!$B:$E,4,0)</f>
        <v>MWIDIN DANIEL MALATO</v>
      </c>
      <c r="F15" s="36" t="s">
        <v>2960</v>
      </c>
      <c r="G15" s="38" t="s">
        <v>2942</v>
      </c>
      <c r="H15" s="39" t="s">
        <v>2925</v>
      </c>
      <c r="I15" s="53">
        <v>5</v>
      </c>
    </row>
    <row r="16" spans="1:10" x14ac:dyDescent="0.3">
      <c r="A16" s="65">
        <v>15</v>
      </c>
      <c r="B16" s="35" t="s">
        <v>1683</v>
      </c>
      <c r="C16" s="36" t="s">
        <v>2961</v>
      </c>
      <c r="D16" s="63" t="s">
        <v>2954</v>
      </c>
      <c r="E16" s="37" t="str">
        <f>VLOOKUP(Table1[[#This Row],[TRUCK NO  ]],[1]Sheet2!$B:$E,4,0)</f>
        <v>YAHYA HASSANI ADAM</v>
      </c>
      <c r="F16" s="36" t="s">
        <v>2944</v>
      </c>
      <c r="G16" s="38" t="s">
        <v>2962</v>
      </c>
      <c r="H16" s="39" t="s">
        <v>2925</v>
      </c>
      <c r="I16" s="53">
        <v>1</v>
      </c>
    </row>
    <row r="17" spans="1:9" x14ac:dyDescent="0.3">
      <c r="A17" s="65">
        <v>16</v>
      </c>
      <c r="B17" s="35" t="s">
        <v>39</v>
      </c>
      <c r="C17" s="36" t="s">
        <v>2963</v>
      </c>
      <c r="D17" s="63" t="s">
        <v>2954</v>
      </c>
      <c r="E17" s="37" t="str">
        <f>VLOOKUP(Table1[[#This Row],[TRUCK NO  ]],[1]Sheet2!$B:$E,4,0)</f>
        <v>SEIF SAID MOHAMED</v>
      </c>
      <c r="F17" s="36" t="s">
        <v>2964</v>
      </c>
      <c r="G17" s="38" t="s">
        <v>2965</v>
      </c>
      <c r="H17" s="39" t="s">
        <v>2925</v>
      </c>
      <c r="I17" s="53">
        <v>1</v>
      </c>
    </row>
    <row r="18" spans="1:9" x14ac:dyDescent="0.3">
      <c r="A18" s="65">
        <v>17</v>
      </c>
      <c r="B18" s="35" t="s">
        <v>27</v>
      </c>
      <c r="C18" s="36" t="s">
        <v>2966</v>
      </c>
      <c r="D18" s="63" t="s">
        <v>2954</v>
      </c>
      <c r="E18" s="37" t="str">
        <f>VLOOKUP(Table1[[#This Row],[TRUCK NO  ]],[1]Sheet2!$B:$E,4,0)</f>
        <v>ALPHONCE SIMO HORO</v>
      </c>
      <c r="F18" s="36" t="s">
        <v>2927</v>
      </c>
      <c r="G18" s="38" t="s">
        <v>2967</v>
      </c>
      <c r="H18" s="39" t="s">
        <v>2925</v>
      </c>
      <c r="I18" s="53">
        <v>8</v>
      </c>
    </row>
    <row r="19" spans="1:9" x14ac:dyDescent="0.3">
      <c r="A19" s="65">
        <v>18</v>
      </c>
      <c r="B19" s="35" t="s">
        <v>199</v>
      </c>
      <c r="C19" s="36" t="s">
        <v>2968</v>
      </c>
      <c r="D19" s="63" t="s">
        <v>2954</v>
      </c>
      <c r="E19" s="37" t="str">
        <f>VLOOKUP(Table1[[#This Row],[TRUCK NO  ]],[1]Sheet2!$B:$E,4,0)</f>
        <v>MNAWARU AHMADA BYEMPISI</v>
      </c>
      <c r="F19" s="36" t="s">
        <v>2969</v>
      </c>
      <c r="G19" s="38" t="s">
        <v>2970</v>
      </c>
      <c r="H19" s="39" t="s">
        <v>2925</v>
      </c>
      <c r="I19" s="53">
        <v>5</v>
      </c>
    </row>
    <row r="20" spans="1:9" x14ac:dyDescent="0.3">
      <c r="A20" s="65">
        <v>19</v>
      </c>
      <c r="B20" s="35" t="s">
        <v>355</v>
      </c>
      <c r="C20" s="36" t="s">
        <v>2971</v>
      </c>
      <c r="D20" s="63" t="s">
        <v>2954</v>
      </c>
      <c r="E20" s="37" t="str">
        <f>VLOOKUP(Table1[[#This Row],[TRUCK NO  ]],[1]Sheet2!$B:$E,4,0)</f>
        <v>ELIA JUMA NZOWA</v>
      </c>
      <c r="F20" s="36" t="s">
        <v>2972</v>
      </c>
      <c r="G20" s="38" t="s">
        <v>2973</v>
      </c>
      <c r="H20" s="39" t="s">
        <v>2925</v>
      </c>
      <c r="I20" s="53">
        <v>9</v>
      </c>
    </row>
    <row r="21" spans="1:9" x14ac:dyDescent="0.3">
      <c r="A21" s="65">
        <v>20</v>
      </c>
      <c r="B21" s="35" t="s">
        <v>1054</v>
      </c>
      <c r="C21" s="36" t="s">
        <v>2974</v>
      </c>
      <c r="D21" s="63" t="s">
        <v>2954</v>
      </c>
      <c r="E21" s="37" t="str">
        <f>VLOOKUP(Table1[[#This Row],[TRUCK NO  ]],[1]Sheet2!$B:$E,4,0)</f>
        <v>KHALFANI EMMANUEL MUHIGI</v>
      </c>
      <c r="F21" s="36" t="s">
        <v>2927</v>
      </c>
      <c r="G21" s="38" t="s">
        <v>2930</v>
      </c>
      <c r="H21" s="39" t="s">
        <v>2925</v>
      </c>
      <c r="I21" s="53">
        <v>2</v>
      </c>
    </row>
    <row r="22" spans="1:9" x14ac:dyDescent="0.3">
      <c r="A22" s="65">
        <v>21</v>
      </c>
      <c r="B22" s="35" t="s">
        <v>1059</v>
      </c>
      <c r="C22" s="36" t="s">
        <v>2975</v>
      </c>
      <c r="D22" s="63" t="s">
        <v>2954</v>
      </c>
      <c r="E22" s="37" t="str">
        <f>VLOOKUP(Table1[[#This Row],[TRUCK NO  ]],[1]Sheet2!$B:$E,4,0)</f>
        <v>ALLY RASHID SAID</v>
      </c>
      <c r="F22" s="36" t="s">
        <v>2927</v>
      </c>
      <c r="G22" s="38" t="s">
        <v>2976</v>
      </c>
      <c r="H22" s="39" t="s">
        <v>2925</v>
      </c>
      <c r="I22" s="53">
        <v>4</v>
      </c>
    </row>
    <row r="23" spans="1:9" x14ac:dyDescent="0.3">
      <c r="A23" s="65">
        <v>22</v>
      </c>
      <c r="B23" s="35" t="s">
        <v>637</v>
      </c>
      <c r="C23" s="36" t="s">
        <v>2977</v>
      </c>
      <c r="D23" s="63" t="s">
        <v>2978</v>
      </c>
      <c r="E23" s="37" t="str">
        <f>VLOOKUP(Table1[[#This Row],[TRUCK NO  ]],[1]Sheet2!$B:$E,4,0)</f>
        <v>DEDE GEORGE JEREMIA</v>
      </c>
      <c r="F23" s="36" t="s">
        <v>2979</v>
      </c>
      <c r="G23" s="38" t="s">
        <v>2980</v>
      </c>
      <c r="H23" s="39" t="s">
        <v>2925</v>
      </c>
      <c r="I23" s="53">
        <v>13</v>
      </c>
    </row>
    <row r="24" spans="1:9" x14ac:dyDescent="0.3">
      <c r="A24" s="65">
        <v>23</v>
      </c>
      <c r="B24" s="35" t="s">
        <v>292</v>
      </c>
      <c r="C24" s="36" t="s">
        <v>2981</v>
      </c>
      <c r="D24" s="63" t="s">
        <v>2978</v>
      </c>
      <c r="E24" s="37" t="str">
        <f>VLOOKUP(Table1[[#This Row],[TRUCK NO  ]],[1]Sheet2!$B:$E,4,0)</f>
        <v>ELIAH YUSUPH MPANGO</v>
      </c>
      <c r="F24" s="36" t="s">
        <v>2950</v>
      </c>
      <c r="G24" s="38" t="s">
        <v>2982</v>
      </c>
      <c r="H24" s="39" t="s">
        <v>2925</v>
      </c>
      <c r="I24" s="53">
        <v>2</v>
      </c>
    </row>
    <row r="25" spans="1:9" x14ac:dyDescent="0.3">
      <c r="A25" s="65">
        <v>24</v>
      </c>
      <c r="B25" s="35" t="s">
        <v>1683</v>
      </c>
      <c r="C25" s="36" t="s">
        <v>2983</v>
      </c>
      <c r="D25" s="63" t="s">
        <v>2978</v>
      </c>
      <c r="E25" s="37" t="str">
        <f>VLOOKUP(Table1[[#This Row],[TRUCK NO  ]],[1]Sheet2!$B:$E,4,0)</f>
        <v>YAHYA HASSANI ADAM</v>
      </c>
      <c r="F25" s="36" t="s">
        <v>2964</v>
      </c>
      <c r="G25" s="38" t="s">
        <v>2984</v>
      </c>
      <c r="H25" s="39" t="s">
        <v>2925</v>
      </c>
      <c r="I25" s="53">
        <v>1</v>
      </c>
    </row>
    <row r="26" spans="1:9" x14ac:dyDescent="0.3">
      <c r="A26" s="65">
        <v>25</v>
      </c>
      <c r="B26" s="35" t="s">
        <v>27</v>
      </c>
      <c r="C26" s="36" t="s">
        <v>2985</v>
      </c>
      <c r="D26" s="63" t="s">
        <v>2978</v>
      </c>
      <c r="E26" s="37" t="str">
        <f>VLOOKUP(Table1[[#This Row],[TRUCK NO  ]],[1]Sheet2!$B:$E,4,0)</f>
        <v>ALPHONCE SIMO HORO</v>
      </c>
      <c r="F26" s="36" t="s">
        <v>2986</v>
      </c>
      <c r="G26" s="38" t="s">
        <v>2987</v>
      </c>
      <c r="H26" s="39" t="s">
        <v>2925</v>
      </c>
      <c r="I26" s="53">
        <v>8</v>
      </c>
    </row>
    <row r="27" spans="1:9" x14ac:dyDescent="0.3">
      <c r="A27" s="65">
        <v>26</v>
      </c>
      <c r="B27" s="35" t="s">
        <v>955</v>
      </c>
      <c r="C27" s="36" t="s">
        <v>2988</v>
      </c>
      <c r="D27" s="63" t="s">
        <v>2978</v>
      </c>
      <c r="E27" s="37" t="str">
        <f>VLOOKUP(Table1[[#This Row],[TRUCK NO  ]],[1]Sheet2!$B:$E,4,0)</f>
        <v>ZACHALIA JOSEPH SHIMBI</v>
      </c>
      <c r="F27" s="36" t="s">
        <v>2989</v>
      </c>
      <c r="G27" s="38" t="s">
        <v>2924</v>
      </c>
      <c r="H27" s="39" t="s">
        <v>2925</v>
      </c>
      <c r="I27" s="53">
        <v>3</v>
      </c>
    </row>
    <row r="28" spans="1:9" x14ac:dyDescent="0.3">
      <c r="A28" s="65">
        <v>27</v>
      </c>
      <c r="B28" s="35" t="s">
        <v>1059</v>
      </c>
      <c r="C28" s="36" t="s">
        <v>2990</v>
      </c>
      <c r="D28" s="63" t="s">
        <v>2978</v>
      </c>
      <c r="E28" s="37" t="str">
        <f>VLOOKUP(Table1[[#This Row],[TRUCK NO  ]],[1]Sheet2!$B:$E,4,0)</f>
        <v>ALLY RASHID SAID</v>
      </c>
      <c r="F28" s="36" t="s">
        <v>2964</v>
      </c>
      <c r="G28" s="38" t="s">
        <v>2991</v>
      </c>
      <c r="H28" s="39" t="s">
        <v>2925</v>
      </c>
      <c r="I28" s="53">
        <v>11</v>
      </c>
    </row>
    <row r="29" spans="1:9" x14ac:dyDescent="0.3">
      <c r="A29" s="65">
        <v>28</v>
      </c>
      <c r="B29" s="35" t="s">
        <v>500</v>
      </c>
      <c r="C29" s="36" t="s">
        <v>2992</v>
      </c>
      <c r="D29" s="63" t="s">
        <v>2993</v>
      </c>
      <c r="E29" s="37" t="str">
        <f>VLOOKUP(Table1[[#This Row],[TRUCK NO  ]],[1]Sheet2!$B:$E,4,0)</f>
        <v>BAKARI MOHAMEDI SAIDI</v>
      </c>
      <c r="F29" s="36" t="s">
        <v>2947</v>
      </c>
      <c r="G29" s="38" t="s">
        <v>2994</v>
      </c>
      <c r="H29" s="39" t="s">
        <v>2925</v>
      </c>
      <c r="I29" s="53">
        <v>20</v>
      </c>
    </row>
    <row r="30" spans="1:9" x14ac:dyDescent="0.3">
      <c r="A30" s="65">
        <v>29</v>
      </c>
      <c r="B30" s="35" t="s">
        <v>1683</v>
      </c>
      <c r="C30" s="36" t="s">
        <v>2995</v>
      </c>
      <c r="D30" s="63" t="s">
        <v>2993</v>
      </c>
      <c r="E30" s="37" t="str">
        <f>VLOOKUP(Table1[[#This Row],[TRUCK NO  ]],[1]Sheet2!$B:$E,4,0)</f>
        <v>YAHYA HASSANI ADAM</v>
      </c>
      <c r="F30" s="36" t="s">
        <v>2964</v>
      </c>
      <c r="G30" s="38" t="s">
        <v>2996</v>
      </c>
      <c r="H30" s="39" t="s">
        <v>2925</v>
      </c>
      <c r="I30" s="53">
        <v>1</v>
      </c>
    </row>
    <row r="31" spans="1:9" x14ac:dyDescent="0.3">
      <c r="A31" s="65">
        <v>30</v>
      </c>
      <c r="B31" s="35" t="s">
        <v>704</v>
      </c>
      <c r="C31" s="36" t="s">
        <v>2997</v>
      </c>
      <c r="D31" s="63" t="s">
        <v>2993</v>
      </c>
      <c r="E31" s="37" t="str">
        <f>VLOOKUP(Table1[[#This Row],[TRUCK NO  ]],[1]Sheet2!$B:$E,4,0)</f>
        <v>CHRISTIAN NKWELA MAPUNDA</v>
      </c>
      <c r="F31" s="36" t="s">
        <v>2944</v>
      </c>
      <c r="G31" s="38" t="s">
        <v>2998</v>
      </c>
      <c r="H31" s="39" t="s">
        <v>2925</v>
      </c>
      <c r="I31" s="53">
        <v>8</v>
      </c>
    </row>
    <row r="32" spans="1:9" x14ac:dyDescent="0.3">
      <c r="A32" s="65">
        <v>31</v>
      </c>
      <c r="B32" s="35" t="s">
        <v>1798</v>
      </c>
      <c r="C32" s="36" t="s">
        <v>2999</v>
      </c>
      <c r="D32" s="63" t="s">
        <v>2993</v>
      </c>
      <c r="E32" s="37" t="str">
        <f>VLOOKUP(Table1[[#This Row],[TRUCK NO  ]],[1]Sheet2!$B:$E,4,0)</f>
        <v>GERALD RAPHAEL SALAMALA</v>
      </c>
      <c r="F32" s="36" t="s">
        <v>2950</v>
      </c>
      <c r="G32" s="38" t="s">
        <v>2924</v>
      </c>
      <c r="H32" s="39" t="s">
        <v>2925</v>
      </c>
      <c r="I32" s="53">
        <v>1</v>
      </c>
    </row>
    <row r="33" spans="1:9" x14ac:dyDescent="0.3">
      <c r="A33" s="65">
        <v>32</v>
      </c>
      <c r="B33" s="35" t="s">
        <v>1059</v>
      </c>
      <c r="C33" s="36" t="s">
        <v>3000</v>
      </c>
      <c r="D33" s="63" t="s">
        <v>2993</v>
      </c>
      <c r="E33" s="37" t="str">
        <f>VLOOKUP(Table1[[#This Row],[TRUCK NO  ]],[1]Sheet2!$B:$E,4,0)</f>
        <v>ALLY RASHID SAID</v>
      </c>
      <c r="F33" s="36" t="s">
        <v>2944</v>
      </c>
      <c r="G33" s="38" t="s">
        <v>3001</v>
      </c>
      <c r="H33" s="39" t="s">
        <v>2925</v>
      </c>
      <c r="I33" s="53">
        <v>7</v>
      </c>
    </row>
    <row r="34" spans="1:9" x14ac:dyDescent="0.3">
      <c r="A34" s="65">
        <v>33</v>
      </c>
      <c r="B34" s="35" t="s">
        <v>278</v>
      </c>
      <c r="C34" s="36" t="s">
        <v>3002</v>
      </c>
      <c r="D34" s="63" t="s">
        <v>2993</v>
      </c>
      <c r="E34" s="37" t="str">
        <f>VLOOKUP(Table1[[#This Row],[TRUCK NO  ]],[1]Sheet2!$B:$E,4,0)</f>
        <v>THADEUS CHARLES HONGOLI</v>
      </c>
      <c r="F34" s="36" t="s">
        <v>2936</v>
      </c>
      <c r="G34" s="38" t="s">
        <v>2924</v>
      </c>
      <c r="H34" s="39" t="s">
        <v>2925</v>
      </c>
      <c r="I34" s="53">
        <v>1</v>
      </c>
    </row>
    <row r="35" spans="1:9" x14ac:dyDescent="0.3">
      <c r="A35" s="65">
        <v>34</v>
      </c>
      <c r="B35" s="35" t="s">
        <v>637</v>
      </c>
      <c r="C35" s="36" t="s">
        <v>3003</v>
      </c>
      <c r="D35" s="63" t="s">
        <v>3004</v>
      </c>
      <c r="E35" s="37" t="str">
        <f>VLOOKUP(Table1[[#This Row],[TRUCK NO  ]],[1]Sheet2!$B:$E,4,0)</f>
        <v>DEDE GEORGE JEREMIA</v>
      </c>
      <c r="F35" s="36" t="s">
        <v>3005</v>
      </c>
      <c r="G35" s="38" t="s">
        <v>2942</v>
      </c>
      <c r="H35" s="39" t="s">
        <v>2925</v>
      </c>
      <c r="I35" s="53">
        <v>9</v>
      </c>
    </row>
    <row r="36" spans="1:9" x14ac:dyDescent="0.3">
      <c r="A36" s="65">
        <v>35</v>
      </c>
      <c r="B36" s="35" t="s">
        <v>2874</v>
      </c>
      <c r="C36" s="36" t="s">
        <v>3006</v>
      </c>
      <c r="D36" s="63" t="s">
        <v>3004</v>
      </c>
      <c r="E36" s="37" t="str">
        <f>VLOOKUP(Table1[[#This Row],[TRUCK NO  ]],[1]Sheet2!$B:$E,4,0)</f>
        <v>ABDUL NASSORO SELEMANI</v>
      </c>
      <c r="F36" s="36" t="s">
        <v>2950</v>
      </c>
      <c r="G36" s="38" t="s">
        <v>3007</v>
      </c>
      <c r="H36" s="39" t="s">
        <v>2925</v>
      </c>
      <c r="I36" s="53">
        <v>1</v>
      </c>
    </row>
    <row r="37" spans="1:9" x14ac:dyDescent="0.3">
      <c r="A37" s="65">
        <v>36</v>
      </c>
      <c r="B37" s="35" t="s">
        <v>704</v>
      </c>
      <c r="C37" s="36" t="s">
        <v>3008</v>
      </c>
      <c r="D37" s="63" t="s">
        <v>3004</v>
      </c>
      <c r="E37" s="37" t="str">
        <f>VLOOKUP(Table1[[#This Row],[TRUCK NO  ]],[1]Sheet2!$B:$E,4,0)</f>
        <v>CHRISTIAN NKWELA MAPUNDA</v>
      </c>
      <c r="F37" s="36" t="s">
        <v>2969</v>
      </c>
      <c r="G37" s="38" t="s">
        <v>3009</v>
      </c>
      <c r="H37" s="39" t="s">
        <v>2925</v>
      </c>
      <c r="I37" s="53">
        <v>7</v>
      </c>
    </row>
    <row r="38" spans="1:9" x14ac:dyDescent="0.3">
      <c r="A38" s="65">
        <v>37</v>
      </c>
      <c r="B38" s="35" t="s">
        <v>1656</v>
      </c>
      <c r="C38" s="36" t="s">
        <v>3010</v>
      </c>
      <c r="D38" s="63" t="s">
        <v>3004</v>
      </c>
      <c r="E38" s="37" t="str">
        <f>VLOOKUP(Table1[[#This Row],[TRUCK NO  ]],[1]Sheet2!$B:$E,4,0)</f>
        <v>HAMISI MOHAMEDI MLAWA</v>
      </c>
      <c r="F38" s="36" t="s">
        <v>2950</v>
      </c>
      <c r="G38" s="38" t="s">
        <v>3011</v>
      </c>
      <c r="H38" s="39" t="s">
        <v>2925</v>
      </c>
      <c r="I38" s="53">
        <v>2</v>
      </c>
    </row>
    <row r="39" spans="1:9" x14ac:dyDescent="0.3">
      <c r="A39" s="65">
        <v>38</v>
      </c>
      <c r="B39" s="35" t="s">
        <v>1666</v>
      </c>
      <c r="C39" s="36" t="s">
        <v>3012</v>
      </c>
      <c r="D39" s="63" t="s">
        <v>3004</v>
      </c>
      <c r="E39" s="37" t="str">
        <f>VLOOKUP(Table1[[#This Row],[TRUCK NO  ]],[1]Sheet2!$B:$E,4,0)</f>
        <v>JUMA SHUKURU JUMA</v>
      </c>
      <c r="F39" s="36" t="s">
        <v>3005</v>
      </c>
      <c r="G39" s="38" t="s">
        <v>3013</v>
      </c>
      <c r="H39" s="39" t="s">
        <v>2925</v>
      </c>
      <c r="I39" s="53">
        <v>12</v>
      </c>
    </row>
    <row r="40" spans="1:9" x14ac:dyDescent="0.3">
      <c r="A40" s="65">
        <v>39</v>
      </c>
      <c r="B40" s="35" t="s">
        <v>880</v>
      </c>
      <c r="C40" s="36" t="s">
        <v>3014</v>
      </c>
      <c r="D40" s="63" t="s">
        <v>3004</v>
      </c>
      <c r="E40" s="37" t="str">
        <f>VLOOKUP(Table1[[#This Row],[TRUCK NO  ]],[1]Sheet2!$B:$E,4,0)</f>
        <v xml:space="preserve">HUSSEIN MALIKI MTALY </v>
      </c>
      <c r="F40" s="36" t="s">
        <v>2941</v>
      </c>
      <c r="G40" s="38" t="s">
        <v>2991</v>
      </c>
      <c r="H40" s="39" t="s">
        <v>2925</v>
      </c>
      <c r="I40" s="53">
        <v>3</v>
      </c>
    </row>
    <row r="41" spans="1:9" x14ac:dyDescent="0.3">
      <c r="A41" s="65">
        <v>40</v>
      </c>
      <c r="B41" s="35" t="s">
        <v>894</v>
      </c>
      <c r="C41" s="36" t="s">
        <v>3015</v>
      </c>
      <c r="D41" s="63" t="s">
        <v>3004</v>
      </c>
      <c r="E41" s="37" t="str">
        <f>VLOOKUP(Table1[[#This Row],[TRUCK NO  ]],[1]Sheet2!$B:$E,4,0)</f>
        <v>SAIDI OMARI MTEA</v>
      </c>
      <c r="F41" s="36" t="s">
        <v>2964</v>
      </c>
      <c r="G41" s="38" t="s">
        <v>3016</v>
      </c>
      <c r="H41" s="39" t="s">
        <v>2925</v>
      </c>
      <c r="I41" s="53">
        <v>1</v>
      </c>
    </row>
    <row r="42" spans="1:9" x14ac:dyDescent="0.3">
      <c r="A42" s="65">
        <v>41</v>
      </c>
      <c r="B42" s="35" t="s">
        <v>502</v>
      </c>
      <c r="C42" s="36" t="s">
        <v>3017</v>
      </c>
      <c r="D42" s="63" t="s">
        <v>3018</v>
      </c>
      <c r="E42" s="37" t="str">
        <f>VLOOKUP(Table1[[#This Row],[TRUCK NO  ]],[1]Sheet2!$B:$E,4,0)</f>
        <v>ISAYA MSHUKURU MMBANDO</v>
      </c>
      <c r="F42" s="36" t="s">
        <v>2957</v>
      </c>
      <c r="G42" s="38" t="s">
        <v>3019</v>
      </c>
      <c r="H42" s="39" t="s">
        <v>2925</v>
      </c>
      <c r="I42" s="53">
        <v>1</v>
      </c>
    </row>
    <row r="43" spans="1:9" x14ac:dyDescent="0.3">
      <c r="A43" s="65">
        <v>42</v>
      </c>
      <c r="B43" s="35" t="s">
        <v>132</v>
      </c>
      <c r="C43" s="36" t="s">
        <v>3020</v>
      </c>
      <c r="D43" s="63" t="s">
        <v>3018</v>
      </c>
      <c r="E43" s="37" t="str">
        <f>VLOOKUP(Table1[[#This Row],[TRUCK NO  ]],[1]Sheet2!$B:$E,4,0)</f>
        <v>MEDALD JACKSON MEDALD</v>
      </c>
      <c r="F43" s="36" t="s">
        <v>2932</v>
      </c>
      <c r="G43" s="38" t="s">
        <v>2991</v>
      </c>
      <c r="H43" s="39" t="s">
        <v>2925</v>
      </c>
      <c r="I43" s="53">
        <v>5</v>
      </c>
    </row>
    <row r="44" spans="1:9" x14ac:dyDescent="0.3">
      <c r="A44" s="65">
        <v>43</v>
      </c>
      <c r="B44" s="35" t="s">
        <v>823</v>
      </c>
      <c r="C44" s="36" t="s">
        <v>3021</v>
      </c>
      <c r="D44" s="63" t="s">
        <v>3018</v>
      </c>
      <c r="E44" s="37" t="str">
        <f>VLOOKUP(Table1[[#This Row],[TRUCK NO  ]],[1]Sheet2!$B:$E,4,0)</f>
        <v>RASHID HEMEDI KHALIFA</v>
      </c>
      <c r="F44" s="36" t="s">
        <v>2957</v>
      </c>
      <c r="G44" s="38" t="s">
        <v>3022</v>
      </c>
      <c r="H44" s="39" t="s">
        <v>2925</v>
      </c>
      <c r="I44" s="53">
        <v>1</v>
      </c>
    </row>
    <row r="45" spans="1:9" x14ac:dyDescent="0.3">
      <c r="A45" s="65">
        <v>44</v>
      </c>
      <c r="B45" s="35" t="s">
        <v>3023</v>
      </c>
      <c r="C45" s="36" t="s">
        <v>3024</v>
      </c>
      <c r="D45" s="63" t="s">
        <v>3018</v>
      </c>
      <c r="E45" s="37" t="e">
        <f>VLOOKUP(Table1[[#This Row],[TRUCK NO  ]],[1]Sheet2!$B:$E,4,0)</f>
        <v>#N/A</v>
      </c>
      <c r="F45" s="36" t="s">
        <v>2950</v>
      </c>
      <c r="G45" s="38" t="s">
        <v>3025</v>
      </c>
      <c r="H45" s="39" t="s">
        <v>2925</v>
      </c>
      <c r="I45" s="53">
        <v>3</v>
      </c>
    </row>
    <row r="46" spans="1:9" x14ac:dyDescent="0.3">
      <c r="A46" s="65">
        <v>45</v>
      </c>
      <c r="B46" s="35" t="s">
        <v>1470</v>
      </c>
      <c r="C46" s="36" t="s">
        <v>3026</v>
      </c>
      <c r="D46" s="63" t="s">
        <v>3018</v>
      </c>
      <c r="E46" s="37" t="str">
        <f>VLOOKUP(Table1[[#This Row],[TRUCK NO  ]],[1]Sheet2!$B:$E,4,0)</f>
        <v>HARFANI MANENO MGAWE</v>
      </c>
      <c r="F46" s="36" t="s">
        <v>2957</v>
      </c>
      <c r="G46" s="38" t="s">
        <v>2952</v>
      </c>
      <c r="H46" s="39" t="s">
        <v>2925</v>
      </c>
      <c r="I46" s="53">
        <v>3</v>
      </c>
    </row>
    <row r="47" spans="1:9" x14ac:dyDescent="0.3">
      <c r="A47" s="65">
        <v>46</v>
      </c>
      <c r="B47" s="35" t="s">
        <v>704</v>
      </c>
      <c r="C47" s="36" t="s">
        <v>3027</v>
      </c>
      <c r="D47" s="63" t="s">
        <v>3018</v>
      </c>
      <c r="E47" s="37" t="str">
        <f>VLOOKUP(Table1[[#This Row],[TRUCK NO  ]],[1]Sheet2!$B:$E,4,0)</f>
        <v>CHRISTIAN NKWELA MAPUNDA</v>
      </c>
      <c r="F47" s="36" t="s">
        <v>2927</v>
      </c>
      <c r="G47" s="38" t="s">
        <v>3028</v>
      </c>
      <c r="H47" s="39" t="s">
        <v>2925</v>
      </c>
      <c r="I47" s="53">
        <v>4</v>
      </c>
    </row>
    <row r="48" spans="1:9" x14ac:dyDescent="0.3">
      <c r="A48" s="65">
        <v>47</v>
      </c>
      <c r="B48" s="35" t="s">
        <v>1054</v>
      </c>
      <c r="C48" s="36" t="s">
        <v>3029</v>
      </c>
      <c r="D48" s="63" t="s">
        <v>3018</v>
      </c>
      <c r="E48" s="37" t="str">
        <f>VLOOKUP(Table1[[#This Row],[TRUCK NO  ]],[1]Sheet2!$B:$E,4,0)</f>
        <v>KHALFANI EMMANUEL MUHIGI</v>
      </c>
      <c r="F48" s="36" t="s">
        <v>2989</v>
      </c>
      <c r="G48" s="38" t="s">
        <v>2962</v>
      </c>
      <c r="H48" s="39" t="s">
        <v>2925</v>
      </c>
      <c r="I48" s="53">
        <v>3</v>
      </c>
    </row>
    <row r="49" spans="1:9" x14ac:dyDescent="0.3">
      <c r="A49" s="65">
        <v>48</v>
      </c>
      <c r="B49" s="35" t="s">
        <v>1666</v>
      </c>
      <c r="C49" s="36" t="s">
        <v>3030</v>
      </c>
      <c r="D49" s="63" t="s">
        <v>3018</v>
      </c>
      <c r="E49" s="37" t="str">
        <f>VLOOKUP(Table1[[#This Row],[TRUCK NO  ]],[1]Sheet2!$B:$E,4,0)</f>
        <v>JUMA SHUKURU JUMA</v>
      </c>
      <c r="F49" s="36" t="s">
        <v>2969</v>
      </c>
      <c r="G49" s="38" t="s">
        <v>2924</v>
      </c>
      <c r="H49" s="39" t="s">
        <v>2925</v>
      </c>
      <c r="I49" s="53">
        <v>4</v>
      </c>
    </row>
    <row r="50" spans="1:9" x14ac:dyDescent="0.3">
      <c r="A50" s="65">
        <v>49</v>
      </c>
      <c r="B50" s="35" t="s">
        <v>880</v>
      </c>
      <c r="C50" s="36" t="s">
        <v>3031</v>
      </c>
      <c r="D50" s="63" t="s">
        <v>3018</v>
      </c>
      <c r="E50" s="37" t="str">
        <f>VLOOKUP(Table1[[#This Row],[TRUCK NO  ]],[1]Sheet2!$B:$E,4,0)</f>
        <v xml:space="preserve">HUSSEIN MALIKI MTALY </v>
      </c>
      <c r="F50" s="36" t="s">
        <v>3032</v>
      </c>
      <c r="G50" s="38" t="s">
        <v>3033</v>
      </c>
      <c r="H50" s="39" t="s">
        <v>2925</v>
      </c>
      <c r="I50" s="53">
        <v>4</v>
      </c>
    </row>
    <row r="51" spans="1:9" x14ac:dyDescent="0.3">
      <c r="A51" s="65">
        <v>50</v>
      </c>
      <c r="B51" s="35" t="s">
        <v>2119</v>
      </c>
      <c r="C51" s="36" t="s">
        <v>3034</v>
      </c>
      <c r="D51" s="63" t="s">
        <v>3035</v>
      </c>
      <c r="E51" s="37" t="str">
        <f>VLOOKUP(Table1[[#This Row],[TRUCK NO  ]],[1]Sheet2!$B:$E,4,0)</f>
        <v>RICHARD ALOYCE MAKYAO</v>
      </c>
      <c r="F51" s="36" t="s">
        <v>2936</v>
      </c>
      <c r="G51" s="38" t="s">
        <v>3036</v>
      </c>
      <c r="H51" s="39" t="s">
        <v>2925</v>
      </c>
      <c r="I51" s="53">
        <v>3</v>
      </c>
    </row>
    <row r="52" spans="1:9" x14ac:dyDescent="0.3">
      <c r="A52" s="65">
        <v>51</v>
      </c>
      <c r="B52" s="35" t="s">
        <v>3037</v>
      </c>
      <c r="C52" s="36" t="s">
        <v>3038</v>
      </c>
      <c r="D52" s="63" t="s">
        <v>3035</v>
      </c>
      <c r="E52" s="37" t="str">
        <f>VLOOKUP(Table1[[#This Row],[TRUCK NO  ]],[1]Sheet2!$B:$E,4,0)</f>
        <v>SHABANI SALUM ABDALLAH</v>
      </c>
      <c r="F52" s="36" t="s">
        <v>2927</v>
      </c>
      <c r="G52" s="38" t="s">
        <v>2937</v>
      </c>
      <c r="H52" s="39" t="s">
        <v>2925</v>
      </c>
      <c r="I52" s="53">
        <v>2</v>
      </c>
    </row>
    <row r="53" spans="1:9" x14ac:dyDescent="0.3">
      <c r="A53" s="65">
        <v>52</v>
      </c>
      <c r="B53" s="35" t="s">
        <v>1700</v>
      </c>
      <c r="C53" s="36" t="s">
        <v>3039</v>
      </c>
      <c r="D53" s="63" t="s">
        <v>3035</v>
      </c>
      <c r="E53" s="37" t="str">
        <f>VLOOKUP(Table1[[#This Row],[TRUCK NO  ]],[1]Sheet2!$B:$E,4,0)</f>
        <v>MARTIN ANTHONI SANGA</v>
      </c>
      <c r="F53" s="36" t="s">
        <v>2950</v>
      </c>
      <c r="G53" s="38" t="s">
        <v>3040</v>
      </c>
      <c r="H53" s="39" t="s">
        <v>2925</v>
      </c>
      <c r="I53" s="53">
        <v>1</v>
      </c>
    </row>
    <row r="54" spans="1:9" x14ac:dyDescent="0.3">
      <c r="A54" s="65">
        <v>53</v>
      </c>
      <c r="B54" s="35" t="s">
        <v>1319</v>
      </c>
      <c r="C54" s="36" t="s">
        <v>3041</v>
      </c>
      <c r="D54" s="63" t="s">
        <v>3035</v>
      </c>
      <c r="E54" s="37" t="str">
        <f>VLOOKUP(Table1[[#This Row],[TRUCK NO  ]],[1]Sheet2!$B:$E,4,0)</f>
        <v>SAID ASUMAN MUHOGO</v>
      </c>
      <c r="F54" s="36" t="s">
        <v>2936</v>
      </c>
      <c r="G54" s="38" t="s">
        <v>3036</v>
      </c>
      <c r="H54" s="39" t="s">
        <v>2925</v>
      </c>
      <c r="I54" s="53">
        <v>2</v>
      </c>
    </row>
    <row r="55" spans="1:9" x14ac:dyDescent="0.3">
      <c r="A55" s="65">
        <v>54</v>
      </c>
      <c r="B55" s="35" t="s">
        <v>818</v>
      </c>
      <c r="C55" s="36" t="s">
        <v>3042</v>
      </c>
      <c r="D55" s="63" t="s">
        <v>3035</v>
      </c>
      <c r="E55" s="37" t="str">
        <f>VLOOKUP(Table1[[#This Row],[TRUCK NO  ]],[1]Sheet2!$B:$E,4,0)</f>
        <v>HAMUDU MAJID MARUZUKU</v>
      </c>
      <c r="F55" s="36" t="s">
        <v>2927</v>
      </c>
      <c r="G55" s="38" t="s">
        <v>3043</v>
      </c>
      <c r="H55" s="39" t="s">
        <v>2925</v>
      </c>
      <c r="I55" s="53">
        <v>1</v>
      </c>
    </row>
    <row r="56" spans="1:9" x14ac:dyDescent="0.3">
      <c r="A56" s="65">
        <v>55</v>
      </c>
      <c r="B56" s="35" t="s">
        <v>3044</v>
      </c>
      <c r="C56" s="36" t="s">
        <v>3045</v>
      </c>
      <c r="D56" s="63" t="s">
        <v>3035</v>
      </c>
      <c r="E56" s="37" t="str">
        <f>VLOOKUP(Table1[[#This Row],[TRUCK NO  ]],[1]Sheet2!$B:$E,4,0)</f>
        <v>TAHJ MFAUME TUMBAMA</v>
      </c>
      <c r="F56" s="36" t="s">
        <v>2927</v>
      </c>
      <c r="G56" s="38" t="s">
        <v>3046</v>
      </c>
      <c r="H56" s="39" t="s">
        <v>2925</v>
      </c>
      <c r="I56" s="53">
        <v>1</v>
      </c>
    </row>
    <row r="57" spans="1:9" x14ac:dyDescent="0.3">
      <c r="A57" s="65">
        <v>56</v>
      </c>
      <c r="B57" s="35" t="s">
        <v>344</v>
      </c>
      <c r="C57" s="36" t="s">
        <v>3047</v>
      </c>
      <c r="D57" s="63" t="s">
        <v>3035</v>
      </c>
      <c r="E57" s="37" t="str">
        <f>VLOOKUP(Table1[[#This Row],[TRUCK NO  ]],[1]Sheet2!$B:$E,4,0)</f>
        <v>RAJABU RASHIDI MALUPU</v>
      </c>
      <c r="F57" s="36" t="s">
        <v>2957</v>
      </c>
      <c r="G57" s="38" t="s">
        <v>2962</v>
      </c>
      <c r="H57" s="39" t="s">
        <v>2925</v>
      </c>
      <c r="I57" s="53">
        <v>1</v>
      </c>
    </row>
    <row r="58" spans="1:9" x14ac:dyDescent="0.3">
      <c r="A58" s="65">
        <v>57</v>
      </c>
      <c r="B58" s="35" t="s">
        <v>718</v>
      </c>
      <c r="C58" s="36" t="s">
        <v>3048</v>
      </c>
      <c r="D58" s="63" t="s">
        <v>3035</v>
      </c>
      <c r="E58" s="37" t="str">
        <f>VLOOKUP(Table1[[#This Row],[TRUCK NO  ]],[1]Sheet2!$B:$E,4,0)</f>
        <v>FRANK KENETH JONAS</v>
      </c>
      <c r="F58" s="36" t="s">
        <v>2957</v>
      </c>
      <c r="G58" s="38" t="s">
        <v>3049</v>
      </c>
      <c r="H58" s="39" t="s">
        <v>2925</v>
      </c>
      <c r="I58" s="53">
        <v>2</v>
      </c>
    </row>
    <row r="59" spans="1:9" x14ac:dyDescent="0.3">
      <c r="A59" s="65">
        <v>58</v>
      </c>
      <c r="B59" s="35" t="s">
        <v>1734</v>
      </c>
      <c r="C59" s="36" t="s">
        <v>3050</v>
      </c>
      <c r="D59" s="63" t="s">
        <v>3035</v>
      </c>
      <c r="E59" s="37" t="str">
        <f>VLOOKUP(Table1[[#This Row],[TRUCK NO  ]],[1]Sheet2!$B:$E,4,0)</f>
        <v>FRANK MKOKOTI ITATIRO</v>
      </c>
      <c r="F59" s="36" t="s">
        <v>2950</v>
      </c>
      <c r="G59" s="38" t="s">
        <v>3036</v>
      </c>
      <c r="H59" s="39" t="s">
        <v>2925</v>
      </c>
      <c r="I59" s="53">
        <v>2</v>
      </c>
    </row>
    <row r="60" spans="1:9" x14ac:dyDescent="0.3">
      <c r="A60" s="65">
        <v>59</v>
      </c>
      <c r="B60" s="35" t="s">
        <v>1054</v>
      </c>
      <c r="C60" s="36" t="s">
        <v>3051</v>
      </c>
      <c r="D60" s="63" t="s">
        <v>3035</v>
      </c>
      <c r="E60" s="37" t="str">
        <f>VLOOKUP(Table1[[#This Row],[TRUCK NO  ]],[1]Sheet2!$B:$E,4,0)</f>
        <v>KHALFANI EMMANUEL MUHIGI</v>
      </c>
      <c r="F60" s="36" t="s">
        <v>3052</v>
      </c>
      <c r="G60" s="38" t="s">
        <v>2991</v>
      </c>
      <c r="H60" s="39" t="s">
        <v>2925</v>
      </c>
      <c r="I60" s="53">
        <v>19</v>
      </c>
    </row>
    <row r="61" spans="1:9" x14ac:dyDescent="0.3">
      <c r="A61" s="65">
        <v>60</v>
      </c>
      <c r="B61" s="35" t="s">
        <v>880</v>
      </c>
      <c r="C61" s="36" t="s">
        <v>3053</v>
      </c>
      <c r="D61" s="63" t="s">
        <v>3035</v>
      </c>
      <c r="E61" s="37" t="str">
        <f>VLOOKUP(Table1[[#This Row],[TRUCK NO  ]],[1]Sheet2!$B:$E,4,0)</f>
        <v xml:space="preserve">HUSSEIN MALIKI MTALY </v>
      </c>
      <c r="F61" s="36" t="s">
        <v>2964</v>
      </c>
      <c r="G61" s="38" t="s">
        <v>3054</v>
      </c>
      <c r="H61" s="39" t="s">
        <v>2925</v>
      </c>
      <c r="I61" s="53">
        <v>1</v>
      </c>
    </row>
    <row r="62" spans="1:9" x14ac:dyDescent="0.3">
      <c r="A62" s="65">
        <v>61</v>
      </c>
      <c r="B62" s="35" t="s">
        <v>2119</v>
      </c>
      <c r="C62" s="36" t="s">
        <v>3055</v>
      </c>
      <c r="D62" s="63" t="s">
        <v>3056</v>
      </c>
      <c r="E62" s="37" t="str">
        <f>VLOOKUP(Table1[[#This Row],[TRUCK NO  ]],[1]Sheet2!$B:$E,4,0)</f>
        <v>RICHARD ALOYCE MAKYAO</v>
      </c>
      <c r="F62" s="36" t="s">
        <v>2950</v>
      </c>
      <c r="G62" s="38" t="s">
        <v>3057</v>
      </c>
      <c r="H62" s="39" t="s">
        <v>2925</v>
      </c>
      <c r="I62" s="53">
        <v>2</v>
      </c>
    </row>
    <row r="63" spans="1:9" x14ac:dyDescent="0.3">
      <c r="A63" s="65">
        <v>62</v>
      </c>
      <c r="B63" s="35" t="s">
        <v>704</v>
      </c>
      <c r="C63" s="36" t="s">
        <v>3058</v>
      </c>
      <c r="D63" s="63" t="s">
        <v>3056</v>
      </c>
      <c r="E63" s="37" t="str">
        <f>VLOOKUP(Table1[[#This Row],[TRUCK NO  ]],[1]Sheet2!$B:$E,4,0)</f>
        <v>CHRISTIAN NKWELA MAPUNDA</v>
      </c>
      <c r="F63" s="36" t="s">
        <v>2960</v>
      </c>
      <c r="G63" s="38" t="s">
        <v>3019</v>
      </c>
      <c r="H63" s="39" t="s">
        <v>2925</v>
      </c>
      <c r="I63" s="53">
        <v>1</v>
      </c>
    </row>
    <row r="64" spans="1:9" x14ac:dyDescent="0.3">
      <c r="A64" s="65">
        <v>63</v>
      </c>
      <c r="B64" s="35" t="s">
        <v>1054</v>
      </c>
      <c r="C64" s="36" t="s">
        <v>3059</v>
      </c>
      <c r="D64" s="63" t="s">
        <v>3056</v>
      </c>
      <c r="E64" s="37" t="str">
        <f>VLOOKUP(Table1[[#This Row],[TRUCK NO  ]],[1]Sheet2!$B:$E,4,0)</f>
        <v>KHALFANI EMMANUEL MUHIGI</v>
      </c>
      <c r="F64" s="36" t="s">
        <v>2941</v>
      </c>
      <c r="G64" s="38" t="s">
        <v>3060</v>
      </c>
      <c r="H64" s="39" t="s">
        <v>2925</v>
      </c>
      <c r="I64" s="53">
        <v>11</v>
      </c>
    </row>
    <row r="65" spans="1:9" x14ac:dyDescent="0.3">
      <c r="A65" s="65">
        <v>64</v>
      </c>
      <c r="B65" s="35" t="s">
        <v>2119</v>
      </c>
      <c r="C65" s="36" t="s">
        <v>3061</v>
      </c>
      <c r="D65" s="63" t="s">
        <v>3062</v>
      </c>
      <c r="E65" s="37" t="str">
        <f>VLOOKUP(Table1[[#This Row],[TRUCK NO  ]],[1]Sheet2!$B:$E,4,0)</f>
        <v>RICHARD ALOYCE MAKYAO</v>
      </c>
      <c r="F65" s="36" t="s">
        <v>2957</v>
      </c>
      <c r="G65" s="38" t="s">
        <v>3063</v>
      </c>
      <c r="H65" s="39" t="s">
        <v>2925</v>
      </c>
      <c r="I65" s="53">
        <v>1</v>
      </c>
    </row>
    <row r="66" spans="1:9" x14ac:dyDescent="0.3">
      <c r="A66" s="65">
        <v>65</v>
      </c>
      <c r="B66" s="35" t="s">
        <v>1106</v>
      </c>
      <c r="C66" s="36" t="s">
        <v>3064</v>
      </c>
      <c r="D66" s="63" t="s">
        <v>3062</v>
      </c>
      <c r="E66" s="37" t="str">
        <f>VLOOKUP(Table1[[#This Row],[TRUCK NO  ]],[1]Sheet2!$B:$E,4,0)</f>
        <v xml:space="preserve">BAKARI AMONI MCHINA </v>
      </c>
      <c r="F66" s="36" t="s">
        <v>2957</v>
      </c>
      <c r="G66" s="38" t="s">
        <v>3065</v>
      </c>
      <c r="H66" s="39" t="s">
        <v>2925</v>
      </c>
      <c r="I66" s="53">
        <v>1</v>
      </c>
    </row>
    <row r="67" spans="1:9" x14ac:dyDescent="0.3">
      <c r="A67" s="65">
        <v>66</v>
      </c>
      <c r="B67" s="35" t="s">
        <v>222</v>
      </c>
      <c r="C67" s="36" t="s">
        <v>3066</v>
      </c>
      <c r="D67" s="63" t="s">
        <v>3062</v>
      </c>
      <c r="E67" s="37" t="e">
        <f>VLOOKUP(Table1[[#This Row],[TRUCK NO  ]],[1]Sheet2!$B:$E,4,0)</f>
        <v>#N/A</v>
      </c>
      <c r="F67" s="36" t="s">
        <v>2957</v>
      </c>
      <c r="G67" s="38" t="s">
        <v>3067</v>
      </c>
      <c r="H67" s="39" t="s">
        <v>2925</v>
      </c>
      <c r="I67" s="53">
        <v>1</v>
      </c>
    </row>
    <row r="68" spans="1:9" x14ac:dyDescent="0.3">
      <c r="A68" s="65">
        <v>67</v>
      </c>
      <c r="B68" s="35" t="s">
        <v>1059</v>
      </c>
      <c r="C68" s="36" t="s">
        <v>3068</v>
      </c>
      <c r="D68" s="63" t="s">
        <v>3062</v>
      </c>
      <c r="E68" s="37" t="str">
        <f>VLOOKUP(Table1[[#This Row],[TRUCK NO  ]],[1]Sheet2!$B:$E,4,0)</f>
        <v>ALLY RASHID SAID</v>
      </c>
      <c r="F68" s="36" t="s">
        <v>2936</v>
      </c>
      <c r="G68" s="38" t="s">
        <v>3069</v>
      </c>
      <c r="H68" s="39" t="s">
        <v>2925</v>
      </c>
      <c r="I68" s="53">
        <v>5</v>
      </c>
    </row>
    <row r="69" spans="1:9" x14ac:dyDescent="0.3">
      <c r="A69" s="65">
        <v>68</v>
      </c>
      <c r="B69" s="35" t="s">
        <v>1308</v>
      </c>
      <c r="C69" s="36" t="s">
        <v>3070</v>
      </c>
      <c r="D69" s="63" t="s">
        <v>3071</v>
      </c>
      <c r="E69" s="37" t="str">
        <f>VLOOKUP(Table1[[#This Row],[TRUCK NO  ]],[1]Sheet2!$B:$E,4,0)</f>
        <v>EDISON TADEO BYARUGABA</v>
      </c>
      <c r="F69" s="36" t="s">
        <v>2944</v>
      </c>
      <c r="G69" s="38" t="s">
        <v>3072</v>
      </c>
      <c r="H69" s="39" t="s">
        <v>2925</v>
      </c>
      <c r="I69" s="53">
        <v>1</v>
      </c>
    </row>
    <row r="70" spans="1:9" x14ac:dyDescent="0.3">
      <c r="A70" s="65">
        <v>69</v>
      </c>
      <c r="B70" s="35" t="s">
        <v>39</v>
      </c>
      <c r="C70" s="36" t="s">
        <v>3073</v>
      </c>
      <c r="D70" s="63" t="s">
        <v>3071</v>
      </c>
      <c r="E70" s="37" t="str">
        <f>VLOOKUP(Table1[[#This Row],[TRUCK NO  ]],[1]Sheet2!$B:$E,4,0)</f>
        <v>SEIF SAID MOHAMED</v>
      </c>
      <c r="F70" s="36" t="s">
        <v>2944</v>
      </c>
      <c r="G70" s="38" t="s">
        <v>3074</v>
      </c>
      <c r="H70" s="39" t="s">
        <v>2925</v>
      </c>
      <c r="I70" s="53">
        <v>1</v>
      </c>
    </row>
    <row r="71" spans="1:9" x14ac:dyDescent="0.3">
      <c r="A71" s="65">
        <v>70</v>
      </c>
      <c r="B71" s="35" t="s">
        <v>3075</v>
      </c>
      <c r="C71" s="36" t="s">
        <v>3076</v>
      </c>
      <c r="D71" s="63" t="s">
        <v>3071</v>
      </c>
      <c r="E71" s="37" t="str">
        <f>VLOOKUP(Table1[[#This Row],[TRUCK NO  ]],[1]Sheet2!$B:$E,4,0)</f>
        <v>MARTIN PAUL MPINGA</v>
      </c>
      <c r="F71" s="36" t="s">
        <v>3077</v>
      </c>
      <c r="G71" s="38" t="s">
        <v>3078</v>
      </c>
      <c r="H71" s="39" t="s">
        <v>2925</v>
      </c>
      <c r="I71" s="53">
        <v>13</v>
      </c>
    </row>
    <row r="72" spans="1:9" x14ac:dyDescent="0.3">
      <c r="A72" s="65">
        <v>71</v>
      </c>
      <c r="B72" s="35" t="s">
        <v>355</v>
      </c>
      <c r="C72" s="36" t="s">
        <v>3079</v>
      </c>
      <c r="D72" s="63" t="s">
        <v>3071</v>
      </c>
      <c r="E72" s="37" t="str">
        <f>VLOOKUP(Table1[[#This Row],[TRUCK NO  ]],[1]Sheet2!$B:$E,4,0)</f>
        <v>ELIA JUMA NZOWA</v>
      </c>
      <c r="F72" s="36" t="s">
        <v>2979</v>
      </c>
      <c r="G72" s="38" t="s">
        <v>3080</v>
      </c>
      <c r="H72" s="39" t="s">
        <v>2925</v>
      </c>
      <c r="I72" s="53">
        <v>1</v>
      </c>
    </row>
    <row r="73" spans="1:9" x14ac:dyDescent="0.3">
      <c r="A73" s="65">
        <v>72</v>
      </c>
      <c r="B73" s="35" t="s">
        <v>1129</v>
      </c>
      <c r="C73" s="36" t="s">
        <v>3081</v>
      </c>
      <c r="D73" s="63" t="s">
        <v>3071</v>
      </c>
      <c r="E73" s="37" t="str">
        <f>VLOOKUP(Table1[[#This Row],[TRUCK NO  ]],[1]Sheet2!$B:$E,4,0)</f>
        <v>THANK AKIBA MASHINENE</v>
      </c>
      <c r="F73" s="36" t="s">
        <v>2964</v>
      </c>
      <c r="G73" s="38" t="s">
        <v>3082</v>
      </c>
      <c r="H73" s="39" t="s">
        <v>2925</v>
      </c>
      <c r="I73" s="53">
        <v>2</v>
      </c>
    </row>
    <row r="74" spans="1:9" x14ac:dyDescent="0.3">
      <c r="A74" s="65">
        <v>73</v>
      </c>
      <c r="B74" s="35" t="s">
        <v>637</v>
      </c>
      <c r="C74" s="36" t="s">
        <v>3083</v>
      </c>
      <c r="D74" s="63" t="s">
        <v>3084</v>
      </c>
      <c r="E74" s="37" t="str">
        <f>VLOOKUP(Table1[[#This Row],[TRUCK NO  ]],[1]Sheet2!$B:$E,4,0)</f>
        <v>DEDE GEORGE JEREMIA</v>
      </c>
      <c r="F74" s="36" t="s">
        <v>2979</v>
      </c>
      <c r="G74" s="38" t="s">
        <v>3036</v>
      </c>
      <c r="H74" s="39" t="s">
        <v>2925</v>
      </c>
      <c r="I74" s="53">
        <v>8</v>
      </c>
    </row>
    <row r="75" spans="1:9" x14ac:dyDescent="0.3">
      <c r="A75" s="65">
        <v>74</v>
      </c>
      <c r="B75" s="35" t="s">
        <v>3037</v>
      </c>
      <c r="C75" s="36" t="s">
        <v>3085</v>
      </c>
      <c r="D75" s="63" t="s">
        <v>3084</v>
      </c>
      <c r="E75" s="37" t="str">
        <f>VLOOKUP(Table1[[#This Row],[TRUCK NO  ]],[1]Sheet2!$B:$E,4,0)</f>
        <v>SHABANI SALUM ABDALLAH</v>
      </c>
      <c r="F75" s="36" t="s">
        <v>2964</v>
      </c>
      <c r="G75" s="38" t="s">
        <v>3086</v>
      </c>
      <c r="H75" s="39" t="s">
        <v>2925</v>
      </c>
      <c r="I75" s="53">
        <v>2</v>
      </c>
    </row>
    <row r="76" spans="1:9" x14ac:dyDescent="0.3">
      <c r="A76" s="65">
        <v>75</v>
      </c>
      <c r="B76" s="35" t="s">
        <v>3075</v>
      </c>
      <c r="C76" s="36" t="s">
        <v>3087</v>
      </c>
      <c r="D76" s="63" t="s">
        <v>3084</v>
      </c>
      <c r="E76" s="37" t="str">
        <f>VLOOKUP(Table1[[#This Row],[TRUCK NO  ]],[1]Sheet2!$B:$E,4,0)</f>
        <v>MARTIN PAUL MPINGA</v>
      </c>
      <c r="F76" s="36" t="s">
        <v>2969</v>
      </c>
      <c r="G76" s="38" t="s">
        <v>2924</v>
      </c>
      <c r="H76" s="39" t="s">
        <v>2925</v>
      </c>
      <c r="I76" s="53">
        <v>3</v>
      </c>
    </row>
    <row r="77" spans="1:9" x14ac:dyDescent="0.3">
      <c r="A77" s="65">
        <v>76</v>
      </c>
      <c r="B77" s="35" t="s">
        <v>823</v>
      </c>
      <c r="C77" s="36" t="s">
        <v>3088</v>
      </c>
      <c r="D77" s="63" t="s">
        <v>3084</v>
      </c>
      <c r="E77" s="37" t="str">
        <f>VLOOKUP(Table1[[#This Row],[TRUCK NO  ]],[1]Sheet2!$B:$E,4,0)</f>
        <v>RASHID HEMEDI KHALIFA</v>
      </c>
      <c r="F77" s="36" t="s">
        <v>2989</v>
      </c>
      <c r="G77" s="38" t="s">
        <v>3089</v>
      </c>
      <c r="H77" s="39" t="s">
        <v>2925</v>
      </c>
      <c r="I77" s="53">
        <v>2</v>
      </c>
    </row>
    <row r="78" spans="1:9" x14ac:dyDescent="0.3">
      <c r="A78" s="65">
        <v>77</v>
      </c>
      <c r="B78" s="35" t="s">
        <v>63</v>
      </c>
      <c r="C78" s="36" t="s">
        <v>3090</v>
      </c>
      <c r="D78" s="63" t="s">
        <v>3084</v>
      </c>
      <c r="E78" s="37" t="str">
        <f>VLOOKUP(Table1[[#This Row],[TRUCK NO  ]],[1]Sheet2!$B:$E,4,0)</f>
        <v xml:space="preserve">HAROUB OMARY JAKA </v>
      </c>
      <c r="F78" s="36" t="s">
        <v>2957</v>
      </c>
      <c r="G78" s="38" t="s">
        <v>2945</v>
      </c>
      <c r="H78" s="39" t="s">
        <v>2925</v>
      </c>
      <c r="I78" s="53">
        <v>8</v>
      </c>
    </row>
    <row r="79" spans="1:9" x14ac:dyDescent="0.3">
      <c r="A79" s="65">
        <v>78</v>
      </c>
      <c r="B79" s="35" t="s">
        <v>1734</v>
      </c>
      <c r="C79" s="36" t="s">
        <v>3091</v>
      </c>
      <c r="D79" s="63" t="s">
        <v>3084</v>
      </c>
      <c r="E79" s="37" t="str">
        <f>VLOOKUP(Table1[[#This Row],[TRUCK NO  ]],[1]Sheet2!$B:$E,4,0)</f>
        <v>FRANK MKOKOTI ITATIRO</v>
      </c>
      <c r="F79" s="36" t="s">
        <v>2941</v>
      </c>
      <c r="G79" s="38" t="s">
        <v>3072</v>
      </c>
      <c r="H79" s="39" t="s">
        <v>2925</v>
      </c>
      <c r="I79" s="53">
        <v>1</v>
      </c>
    </row>
    <row r="80" spans="1:9" x14ac:dyDescent="0.3">
      <c r="A80" s="65">
        <v>79</v>
      </c>
      <c r="B80" s="35" t="s">
        <v>31</v>
      </c>
      <c r="C80" s="36" t="s">
        <v>3092</v>
      </c>
      <c r="D80" s="63" t="s">
        <v>3084</v>
      </c>
      <c r="E80" s="37" t="str">
        <f>VLOOKUP(Table1[[#This Row],[TRUCK NO  ]],[1]Sheet2!$B:$E,4,0)</f>
        <v>TWAHIR RASHID MSAKA</v>
      </c>
      <c r="F80" s="36" t="s">
        <v>2936</v>
      </c>
      <c r="G80" s="38" t="s">
        <v>3093</v>
      </c>
      <c r="H80" s="39" t="s">
        <v>2925</v>
      </c>
      <c r="I80" s="53">
        <v>3</v>
      </c>
    </row>
    <row r="81" spans="1:9" x14ac:dyDescent="0.3">
      <c r="A81" s="65">
        <v>80</v>
      </c>
      <c r="B81" s="35" t="s">
        <v>894</v>
      </c>
      <c r="C81" s="36" t="s">
        <v>3094</v>
      </c>
      <c r="D81" s="63" t="s">
        <v>3084</v>
      </c>
      <c r="E81" s="37" t="str">
        <f>VLOOKUP(Table1[[#This Row],[TRUCK NO  ]],[1]Sheet2!$B:$E,4,0)</f>
        <v>SAIDI OMARI MTEA</v>
      </c>
      <c r="F81" s="36" t="s">
        <v>2989</v>
      </c>
      <c r="G81" s="38" t="s">
        <v>3095</v>
      </c>
      <c r="H81" s="39" t="s">
        <v>2925</v>
      </c>
      <c r="I81" s="53">
        <v>9</v>
      </c>
    </row>
    <row r="82" spans="1:9" x14ac:dyDescent="0.3">
      <c r="A82" s="65">
        <v>81</v>
      </c>
      <c r="B82" s="35" t="s">
        <v>2119</v>
      </c>
      <c r="C82" s="36" t="s">
        <v>3096</v>
      </c>
      <c r="D82" s="63" t="s">
        <v>3097</v>
      </c>
      <c r="E82" s="37" t="str">
        <f>VLOOKUP(Table1[[#This Row],[TRUCK NO  ]],[1]Sheet2!$B:$E,4,0)</f>
        <v>RICHARD ALOYCE MAKYAO</v>
      </c>
      <c r="F82" s="36" t="s">
        <v>2936</v>
      </c>
      <c r="G82" s="38" t="s">
        <v>2991</v>
      </c>
      <c r="H82" s="39" t="s">
        <v>2925</v>
      </c>
      <c r="I82" s="53">
        <v>6</v>
      </c>
    </row>
    <row r="83" spans="1:9" x14ac:dyDescent="0.3">
      <c r="A83" s="65">
        <v>82</v>
      </c>
      <c r="B83" s="35" t="s">
        <v>3037</v>
      </c>
      <c r="C83" s="36" t="s">
        <v>3098</v>
      </c>
      <c r="D83" s="63" t="s">
        <v>3097</v>
      </c>
      <c r="E83" s="37" t="str">
        <f>VLOOKUP(Table1[[#This Row],[TRUCK NO  ]],[1]Sheet2!$B:$E,4,0)</f>
        <v>SHABANI SALUM ABDALLAH</v>
      </c>
      <c r="F83" s="36" t="s">
        <v>2932</v>
      </c>
      <c r="G83" s="38" t="s">
        <v>3099</v>
      </c>
      <c r="H83" s="39" t="s">
        <v>2925</v>
      </c>
      <c r="I83" s="53">
        <v>4</v>
      </c>
    </row>
    <row r="84" spans="1:9" x14ac:dyDescent="0.3">
      <c r="A84" s="65">
        <v>83</v>
      </c>
      <c r="B84" s="35" t="s">
        <v>1470</v>
      </c>
      <c r="C84" s="36" t="s">
        <v>3100</v>
      </c>
      <c r="D84" s="63" t="s">
        <v>3097</v>
      </c>
      <c r="E84" s="37" t="str">
        <f>VLOOKUP(Table1[[#This Row],[TRUCK NO  ]],[1]Sheet2!$B:$E,4,0)</f>
        <v>HARFANI MANENO MGAWE</v>
      </c>
      <c r="F84" s="36" t="s">
        <v>2957</v>
      </c>
      <c r="G84" s="38" t="s">
        <v>2962</v>
      </c>
      <c r="H84" s="39" t="s">
        <v>2925</v>
      </c>
      <c r="I84" s="53">
        <v>1</v>
      </c>
    </row>
    <row r="85" spans="1:9" x14ac:dyDescent="0.3">
      <c r="A85" s="65">
        <v>84</v>
      </c>
      <c r="B85" s="35" t="s">
        <v>1734</v>
      </c>
      <c r="C85" s="36" t="s">
        <v>3101</v>
      </c>
      <c r="D85" s="63" t="s">
        <v>3097</v>
      </c>
      <c r="E85" s="37" t="str">
        <f>VLOOKUP(Table1[[#This Row],[TRUCK NO  ]],[1]Sheet2!$B:$E,4,0)</f>
        <v>FRANK MKOKOTI ITATIRO</v>
      </c>
      <c r="F85" s="36" t="s">
        <v>2964</v>
      </c>
      <c r="G85" s="38" t="s">
        <v>3102</v>
      </c>
      <c r="H85" s="39" t="s">
        <v>2925</v>
      </c>
      <c r="I85" s="53">
        <v>1</v>
      </c>
    </row>
    <row r="86" spans="1:9" x14ac:dyDescent="0.3">
      <c r="A86" s="65">
        <v>85</v>
      </c>
      <c r="B86" s="35" t="s">
        <v>1668</v>
      </c>
      <c r="C86" s="36" t="s">
        <v>3103</v>
      </c>
      <c r="D86" s="63" t="s">
        <v>3097</v>
      </c>
      <c r="E86" s="37" t="str">
        <f>VLOOKUP(Table1[[#This Row],[TRUCK NO  ]],[1]Sheet2!$B:$E,4,0)</f>
        <v>MOHAMUD ALLY MWABUDA</v>
      </c>
      <c r="F86" s="36" t="s">
        <v>2957</v>
      </c>
      <c r="G86" s="38" t="s">
        <v>3016</v>
      </c>
      <c r="H86" s="39" t="s">
        <v>2925</v>
      </c>
      <c r="I86" s="53">
        <v>7</v>
      </c>
    </row>
    <row r="87" spans="1:9" x14ac:dyDescent="0.3">
      <c r="A87" s="65">
        <v>86</v>
      </c>
      <c r="B87" s="35" t="s">
        <v>105</v>
      </c>
      <c r="C87" s="36" t="s">
        <v>3104</v>
      </c>
      <c r="D87" s="63" t="s">
        <v>3105</v>
      </c>
      <c r="E87" s="37" t="str">
        <f>VLOOKUP(Table1[[#This Row],[TRUCK NO  ]],[1]Sheet2!$B:$E,4,0)</f>
        <v>KITENGU HAMISI KITENGU</v>
      </c>
      <c r="F87" s="36" t="s">
        <v>2941</v>
      </c>
      <c r="G87" s="38" t="s">
        <v>2924</v>
      </c>
      <c r="H87" s="39" t="s">
        <v>2925</v>
      </c>
      <c r="I87" s="53">
        <v>4</v>
      </c>
    </row>
    <row r="88" spans="1:9" x14ac:dyDescent="0.3">
      <c r="A88" s="65">
        <v>87</v>
      </c>
      <c r="B88" s="35" t="s">
        <v>907</v>
      </c>
      <c r="C88" s="36" t="s">
        <v>3106</v>
      </c>
      <c r="D88" s="63" t="s">
        <v>3105</v>
      </c>
      <c r="E88" s="37" t="str">
        <f>VLOOKUP(Table1[[#This Row],[TRUCK NO  ]],[1]Sheet2!$B:$E,4,0)</f>
        <v>MOHAMEDI IDDI KULWA</v>
      </c>
      <c r="F88" s="36" t="s">
        <v>2927</v>
      </c>
      <c r="G88" s="38" t="s">
        <v>3107</v>
      </c>
      <c r="H88" s="39" t="s">
        <v>2925</v>
      </c>
      <c r="I88" s="53">
        <v>1</v>
      </c>
    </row>
    <row r="89" spans="1:9" x14ac:dyDescent="0.3">
      <c r="A89" s="65">
        <v>88</v>
      </c>
      <c r="B89" s="35" t="s">
        <v>1525</v>
      </c>
      <c r="C89" s="36" t="s">
        <v>3108</v>
      </c>
      <c r="D89" s="63" t="s">
        <v>3105</v>
      </c>
      <c r="E89" s="37" t="str">
        <f>VLOOKUP(Table1[[#This Row],[TRUCK NO  ]],[1]Sheet2!$B:$E,4,0)</f>
        <v>JOSEPHAT MARO KEBURE</v>
      </c>
      <c r="F89" s="36" t="s">
        <v>3109</v>
      </c>
      <c r="G89" s="38" t="s">
        <v>3110</v>
      </c>
      <c r="H89" s="39" t="s">
        <v>2925</v>
      </c>
      <c r="I89" s="53">
        <v>13</v>
      </c>
    </row>
    <row r="90" spans="1:9" x14ac:dyDescent="0.3">
      <c r="A90" s="65">
        <v>89</v>
      </c>
      <c r="B90" s="35" t="s">
        <v>1531</v>
      </c>
      <c r="C90" s="36" t="s">
        <v>3111</v>
      </c>
      <c r="D90" s="63" t="s">
        <v>3105</v>
      </c>
      <c r="E90" s="37" t="str">
        <f>VLOOKUP(Table1[[#This Row],[TRUCK NO  ]],[1]Sheet2!$B:$E,4,0)</f>
        <v>JAMES RASHIDI GWAU</v>
      </c>
      <c r="F90" s="36" t="s">
        <v>2932</v>
      </c>
      <c r="G90" s="38" t="s">
        <v>3112</v>
      </c>
      <c r="H90" s="39" t="s">
        <v>2925</v>
      </c>
      <c r="I90" s="53">
        <v>2</v>
      </c>
    </row>
    <row r="91" spans="1:9" x14ac:dyDescent="0.3">
      <c r="A91" s="65">
        <v>90</v>
      </c>
      <c r="B91" s="35" t="s">
        <v>1542</v>
      </c>
      <c r="C91" s="36" t="s">
        <v>3113</v>
      </c>
      <c r="D91" s="63" t="s">
        <v>3105</v>
      </c>
      <c r="E91" s="37" t="str">
        <f>VLOOKUP(Table1[[#This Row],[TRUCK NO  ]],[1]Sheet2!$B:$E,4,0)</f>
        <v xml:space="preserve">JOSEPH LAWRENCE MAHANO </v>
      </c>
      <c r="F91" s="36" t="s">
        <v>2927</v>
      </c>
      <c r="G91" s="38" t="s">
        <v>3114</v>
      </c>
      <c r="H91" s="39" t="s">
        <v>2925</v>
      </c>
      <c r="I91" s="53">
        <v>2</v>
      </c>
    </row>
    <row r="92" spans="1:9" x14ac:dyDescent="0.3">
      <c r="A92" s="65">
        <v>91</v>
      </c>
      <c r="B92" s="35" t="s">
        <v>199</v>
      </c>
      <c r="C92" s="36" t="s">
        <v>3115</v>
      </c>
      <c r="D92" s="63" t="s">
        <v>3105</v>
      </c>
      <c r="E92" s="37" t="str">
        <f>VLOOKUP(Table1[[#This Row],[TRUCK NO  ]],[1]Sheet2!$B:$E,4,0)</f>
        <v>MNAWARU AHMADA BYEMPISI</v>
      </c>
      <c r="F92" s="36" t="s">
        <v>2950</v>
      </c>
      <c r="G92" s="38" t="s">
        <v>2924</v>
      </c>
      <c r="H92" s="39" t="s">
        <v>2925</v>
      </c>
      <c r="I92" s="53">
        <v>1</v>
      </c>
    </row>
    <row r="93" spans="1:9" x14ac:dyDescent="0.3">
      <c r="A93" s="65">
        <v>92</v>
      </c>
      <c r="B93" s="35" t="s">
        <v>1470</v>
      </c>
      <c r="C93" s="36" t="s">
        <v>3116</v>
      </c>
      <c r="D93" s="63" t="s">
        <v>3105</v>
      </c>
      <c r="E93" s="37" t="str">
        <f>VLOOKUP(Table1[[#This Row],[TRUCK NO  ]],[1]Sheet2!$B:$E,4,0)</f>
        <v>HARFANI MANENO MGAWE</v>
      </c>
      <c r="F93" s="36" t="s">
        <v>2957</v>
      </c>
      <c r="G93" s="38" t="s">
        <v>2991</v>
      </c>
      <c r="H93" s="39" t="s">
        <v>2925</v>
      </c>
      <c r="I93" s="53">
        <v>4</v>
      </c>
    </row>
    <row r="94" spans="1:9" x14ac:dyDescent="0.3">
      <c r="A94" s="65">
        <v>93</v>
      </c>
      <c r="B94" s="35" t="s">
        <v>704</v>
      </c>
      <c r="C94" s="36" t="s">
        <v>3117</v>
      </c>
      <c r="D94" s="63" t="s">
        <v>3105</v>
      </c>
      <c r="E94" s="37" t="str">
        <f>VLOOKUP(Table1[[#This Row],[TRUCK NO  ]],[1]Sheet2!$B:$E,4,0)</f>
        <v>CHRISTIAN NKWELA MAPUNDA</v>
      </c>
      <c r="F94" s="36" t="s">
        <v>2941</v>
      </c>
      <c r="G94" s="38" t="s">
        <v>3118</v>
      </c>
      <c r="H94" s="39" t="s">
        <v>2925</v>
      </c>
      <c r="I94" s="53">
        <v>27</v>
      </c>
    </row>
    <row r="95" spans="1:9" x14ac:dyDescent="0.3">
      <c r="A95" s="65">
        <v>94</v>
      </c>
      <c r="B95" s="35" t="s">
        <v>1734</v>
      </c>
      <c r="C95" s="36" t="s">
        <v>3119</v>
      </c>
      <c r="D95" s="63" t="s">
        <v>3105</v>
      </c>
      <c r="E95" s="37" t="str">
        <f>VLOOKUP(Table1[[#This Row],[TRUCK NO  ]],[1]Sheet2!$B:$E,4,0)</f>
        <v>FRANK MKOKOTI ITATIRO</v>
      </c>
      <c r="F95" s="36" t="s">
        <v>2986</v>
      </c>
      <c r="G95" s="38" t="s">
        <v>3120</v>
      </c>
      <c r="H95" s="39" t="s">
        <v>2925</v>
      </c>
      <c r="I95" s="53">
        <v>5</v>
      </c>
    </row>
    <row r="96" spans="1:9" x14ac:dyDescent="0.3">
      <c r="A96" s="65">
        <v>95</v>
      </c>
      <c r="B96" s="35" t="s">
        <v>1054</v>
      </c>
      <c r="C96" s="36" t="s">
        <v>3121</v>
      </c>
      <c r="D96" s="63" t="s">
        <v>3105</v>
      </c>
      <c r="E96" s="37" t="str">
        <f>VLOOKUP(Table1[[#This Row],[TRUCK NO  ]],[1]Sheet2!$B:$E,4,0)</f>
        <v>KHALFANI EMMANUEL MUHIGI</v>
      </c>
      <c r="F96" s="36" t="s">
        <v>2964</v>
      </c>
      <c r="G96" s="38" t="s">
        <v>3122</v>
      </c>
      <c r="H96" s="39" t="s">
        <v>2925</v>
      </c>
      <c r="I96" s="53">
        <v>1</v>
      </c>
    </row>
    <row r="97" spans="1:9" x14ac:dyDescent="0.3">
      <c r="A97" s="65">
        <v>96</v>
      </c>
      <c r="B97" s="35" t="s">
        <v>1668</v>
      </c>
      <c r="C97" s="36" t="s">
        <v>3123</v>
      </c>
      <c r="D97" s="63" t="s">
        <v>3105</v>
      </c>
      <c r="E97" s="37" t="str">
        <f>VLOOKUP(Table1[[#This Row],[TRUCK NO  ]],[1]Sheet2!$B:$E,4,0)</f>
        <v>MOHAMUD ALLY MWABUDA</v>
      </c>
      <c r="F97" s="36" t="s">
        <v>2964</v>
      </c>
      <c r="G97" s="38" t="s">
        <v>3124</v>
      </c>
      <c r="H97" s="39" t="s">
        <v>2925</v>
      </c>
      <c r="I97" s="53">
        <v>23</v>
      </c>
    </row>
    <row r="98" spans="1:9" x14ac:dyDescent="0.3">
      <c r="A98" s="65">
        <v>97</v>
      </c>
      <c r="B98" s="35" t="s">
        <v>2119</v>
      </c>
      <c r="C98" s="36" t="s">
        <v>3125</v>
      </c>
      <c r="D98" s="63" t="s">
        <v>3126</v>
      </c>
      <c r="E98" s="37" t="str">
        <f>VLOOKUP(Table1[[#This Row],[TRUCK NO  ]],[1]Sheet2!$B:$E,4,0)</f>
        <v>RICHARD ALOYCE MAKYAO</v>
      </c>
      <c r="F98" s="36" t="s">
        <v>2950</v>
      </c>
      <c r="G98" s="38" t="s">
        <v>3127</v>
      </c>
      <c r="H98" s="39" t="s">
        <v>2925</v>
      </c>
      <c r="I98" s="53">
        <v>10</v>
      </c>
    </row>
    <row r="99" spans="1:9" x14ac:dyDescent="0.3">
      <c r="A99" s="65">
        <v>98</v>
      </c>
      <c r="B99" s="35" t="s">
        <v>102</v>
      </c>
      <c r="C99" s="36" t="s">
        <v>3128</v>
      </c>
      <c r="D99" s="63" t="s">
        <v>3126</v>
      </c>
      <c r="E99" s="37" t="str">
        <f>VLOOKUP(Table1[[#This Row],[TRUCK NO  ]],[1]Sheet2!$B:$E,4,0)</f>
        <v>SAIMON GEORGE KAAYA</v>
      </c>
      <c r="F99" s="36" t="s">
        <v>2950</v>
      </c>
      <c r="G99" s="38" t="s">
        <v>3129</v>
      </c>
      <c r="H99" s="39" t="s">
        <v>2925</v>
      </c>
      <c r="I99" s="53">
        <v>1</v>
      </c>
    </row>
    <row r="100" spans="1:9" x14ac:dyDescent="0.3">
      <c r="A100" s="65">
        <v>99</v>
      </c>
      <c r="B100" s="35" t="s">
        <v>1305</v>
      </c>
      <c r="C100" s="36" t="s">
        <v>3130</v>
      </c>
      <c r="D100" s="63" t="s">
        <v>3126</v>
      </c>
      <c r="E100" s="37" t="str">
        <f>VLOOKUP(Table1[[#This Row],[TRUCK NO  ]],[1]Sheet2!$B:$E,4,0)</f>
        <v>FRANK RASHID KAMANDO</v>
      </c>
      <c r="F100" s="36" t="s">
        <v>2957</v>
      </c>
      <c r="G100" s="38" t="s">
        <v>3131</v>
      </c>
      <c r="H100" s="39" t="s">
        <v>2925</v>
      </c>
      <c r="I100" s="53">
        <v>1</v>
      </c>
    </row>
    <row r="101" spans="1:9" x14ac:dyDescent="0.3">
      <c r="A101" s="65">
        <v>100</v>
      </c>
      <c r="B101" s="35" t="s">
        <v>1525</v>
      </c>
      <c r="C101" s="36" t="s">
        <v>3132</v>
      </c>
      <c r="D101" s="63" t="s">
        <v>3126</v>
      </c>
      <c r="E101" s="37" t="str">
        <f>VLOOKUP(Table1[[#This Row],[TRUCK NO  ]],[1]Sheet2!$B:$E,4,0)</f>
        <v>JOSEPHAT MARO KEBURE</v>
      </c>
      <c r="F101" s="36" t="s">
        <v>3052</v>
      </c>
      <c r="G101" s="38" t="s">
        <v>2942</v>
      </c>
      <c r="H101" s="39" t="s">
        <v>2925</v>
      </c>
      <c r="I101" s="53">
        <v>6</v>
      </c>
    </row>
    <row r="102" spans="1:9" x14ac:dyDescent="0.3">
      <c r="A102" s="65">
        <v>101</v>
      </c>
      <c r="B102" s="35" t="s">
        <v>1316</v>
      </c>
      <c r="C102" s="36" t="s">
        <v>3133</v>
      </c>
      <c r="D102" s="63" t="s">
        <v>3126</v>
      </c>
      <c r="E102" s="37" t="str">
        <f>VLOOKUP(Table1[[#This Row],[TRUCK NO  ]],[1]Sheet2!$B:$E,4,0)</f>
        <v>JUMA JAFARI KASELE</v>
      </c>
      <c r="F102" s="36" t="s">
        <v>2950</v>
      </c>
      <c r="G102" s="38" t="s">
        <v>3131</v>
      </c>
      <c r="H102" s="39" t="s">
        <v>2925</v>
      </c>
      <c r="I102" s="53">
        <v>1</v>
      </c>
    </row>
    <row r="103" spans="1:9" x14ac:dyDescent="0.3">
      <c r="A103" s="65">
        <v>102</v>
      </c>
      <c r="B103" s="35" t="s">
        <v>3075</v>
      </c>
      <c r="C103" s="36" t="s">
        <v>3134</v>
      </c>
      <c r="D103" s="63" t="s">
        <v>3126</v>
      </c>
      <c r="E103" s="37" t="str">
        <f>VLOOKUP(Table1[[#This Row],[TRUCK NO  ]],[1]Sheet2!$B:$E,4,0)</f>
        <v>MARTIN PAUL MPINGA</v>
      </c>
      <c r="F103" s="36" t="s">
        <v>2932</v>
      </c>
      <c r="G103" s="38" t="s">
        <v>3072</v>
      </c>
      <c r="H103" s="39" t="s">
        <v>2925</v>
      </c>
      <c r="I103" s="53">
        <v>1</v>
      </c>
    </row>
    <row r="104" spans="1:9" x14ac:dyDescent="0.3">
      <c r="A104" s="65">
        <v>103</v>
      </c>
      <c r="B104" s="35" t="s">
        <v>1945</v>
      </c>
      <c r="C104" s="36" t="s">
        <v>3135</v>
      </c>
      <c r="D104" s="63" t="s">
        <v>3126</v>
      </c>
      <c r="E104" s="37" t="str">
        <f>VLOOKUP(Table1[[#This Row],[TRUCK NO  ]],[1]Sheet2!$B:$E,4,0)</f>
        <v>OMARI SALIM KULUGIO</v>
      </c>
      <c r="F104" s="36" t="s">
        <v>2950</v>
      </c>
      <c r="G104" s="38" t="s">
        <v>2924</v>
      </c>
      <c r="H104" s="39" t="s">
        <v>2925</v>
      </c>
      <c r="I104" s="53">
        <v>1</v>
      </c>
    </row>
    <row r="105" spans="1:9" x14ac:dyDescent="0.3">
      <c r="A105" s="65">
        <v>104</v>
      </c>
      <c r="B105" s="35" t="s">
        <v>1542</v>
      </c>
      <c r="C105" s="36" t="s">
        <v>3136</v>
      </c>
      <c r="D105" s="63" t="s">
        <v>3126</v>
      </c>
      <c r="E105" s="37" t="str">
        <f>VLOOKUP(Table1[[#This Row],[TRUCK NO  ]],[1]Sheet2!$B:$E,4,0)</f>
        <v xml:space="preserve">JOSEPH LAWRENCE MAHANO </v>
      </c>
      <c r="F105" s="36" t="s">
        <v>2989</v>
      </c>
      <c r="G105" s="38" t="s">
        <v>3016</v>
      </c>
      <c r="H105" s="39" t="s">
        <v>2925</v>
      </c>
      <c r="I105" s="53">
        <v>2</v>
      </c>
    </row>
    <row r="106" spans="1:9" x14ac:dyDescent="0.3">
      <c r="A106" s="65">
        <v>105</v>
      </c>
      <c r="B106" s="35" t="s">
        <v>3023</v>
      </c>
      <c r="C106" s="36" t="s">
        <v>3137</v>
      </c>
      <c r="D106" s="63" t="s">
        <v>3126</v>
      </c>
      <c r="E106" s="37" t="e">
        <f>VLOOKUP(Table1[[#This Row],[TRUCK NO  ]],[1]Sheet2!$B:$E,4,0)</f>
        <v>#N/A</v>
      </c>
      <c r="F106" s="36" t="s">
        <v>2927</v>
      </c>
      <c r="G106" s="38" t="s">
        <v>3138</v>
      </c>
      <c r="H106" s="39" t="s">
        <v>2925</v>
      </c>
      <c r="I106" s="53">
        <v>1</v>
      </c>
    </row>
    <row r="107" spans="1:9" x14ac:dyDescent="0.3">
      <c r="A107" s="65">
        <v>106</v>
      </c>
      <c r="B107" s="35" t="s">
        <v>1470</v>
      </c>
      <c r="C107" s="36" t="s">
        <v>3139</v>
      </c>
      <c r="D107" s="63" t="s">
        <v>3126</v>
      </c>
      <c r="E107" s="37" t="str">
        <f>VLOOKUP(Table1[[#This Row],[TRUCK NO  ]],[1]Sheet2!$B:$E,4,0)</f>
        <v>HARFANI MANENO MGAWE</v>
      </c>
      <c r="F107" s="36" t="s">
        <v>2964</v>
      </c>
      <c r="G107" s="38" t="s">
        <v>3140</v>
      </c>
      <c r="H107" s="39" t="s">
        <v>2925</v>
      </c>
      <c r="I107" s="53">
        <v>8</v>
      </c>
    </row>
    <row r="108" spans="1:9" x14ac:dyDescent="0.3">
      <c r="A108" s="65">
        <v>107</v>
      </c>
      <c r="B108" s="35" t="s">
        <v>704</v>
      </c>
      <c r="C108" s="36" t="s">
        <v>3141</v>
      </c>
      <c r="D108" s="63" t="s">
        <v>3126</v>
      </c>
      <c r="E108" s="37" t="str">
        <f>VLOOKUP(Table1[[#This Row],[TRUCK NO  ]],[1]Sheet2!$B:$E,4,0)</f>
        <v>CHRISTIAN NKWELA MAPUNDA</v>
      </c>
      <c r="F108" s="36" t="s">
        <v>3052</v>
      </c>
      <c r="G108" s="38" t="s">
        <v>3142</v>
      </c>
      <c r="H108" s="39" t="s">
        <v>2925</v>
      </c>
      <c r="I108" s="53">
        <v>11</v>
      </c>
    </row>
    <row r="109" spans="1:9" x14ac:dyDescent="0.3">
      <c r="A109" s="65">
        <v>108</v>
      </c>
      <c r="B109" s="35" t="s">
        <v>1129</v>
      </c>
      <c r="C109" s="36" t="s">
        <v>3143</v>
      </c>
      <c r="D109" s="63" t="s">
        <v>3126</v>
      </c>
      <c r="E109" s="37" t="str">
        <f>VLOOKUP(Table1[[#This Row],[TRUCK NO  ]],[1]Sheet2!$B:$E,4,0)</f>
        <v>THANK AKIBA MASHINENE</v>
      </c>
      <c r="F109" s="36" t="s">
        <v>2964</v>
      </c>
      <c r="G109" s="38" t="s">
        <v>3144</v>
      </c>
      <c r="H109" s="39" t="s">
        <v>2925</v>
      </c>
      <c r="I109" s="53">
        <v>1</v>
      </c>
    </row>
    <row r="110" spans="1:9" x14ac:dyDescent="0.3">
      <c r="A110" s="65">
        <v>109</v>
      </c>
      <c r="B110" s="35" t="s">
        <v>1734</v>
      </c>
      <c r="C110" s="36" t="s">
        <v>3145</v>
      </c>
      <c r="D110" s="63" t="s">
        <v>3126</v>
      </c>
      <c r="E110" s="37" t="str">
        <f>VLOOKUP(Table1[[#This Row],[TRUCK NO  ]],[1]Sheet2!$B:$E,4,0)</f>
        <v>FRANK MKOKOTI ITATIRO</v>
      </c>
      <c r="F110" s="36" t="s">
        <v>2986</v>
      </c>
      <c r="G110" s="38" t="s">
        <v>3146</v>
      </c>
      <c r="H110" s="39" t="s">
        <v>2925</v>
      </c>
      <c r="I110" s="53">
        <v>1</v>
      </c>
    </row>
    <row r="111" spans="1:9" x14ac:dyDescent="0.3">
      <c r="A111" s="65">
        <v>110</v>
      </c>
      <c r="B111" s="35" t="s">
        <v>1818</v>
      </c>
      <c r="C111" s="36" t="s">
        <v>3147</v>
      </c>
      <c r="D111" s="63" t="s">
        <v>3126</v>
      </c>
      <c r="E111" s="37" t="str">
        <f>VLOOKUP(Table1[[#This Row],[TRUCK NO  ]],[1]Sheet2!$B:$E,4,0)</f>
        <v>STEPHANO ABINELI ULOMI</v>
      </c>
      <c r="F111" s="36" t="s">
        <v>2969</v>
      </c>
      <c r="G111" s="38" t="s">
        <v>3148</v>
      </c>
      <c r="H111" s="39" t="s">
        <v>2925</v>
      </c>
      <c r="I111" s="53">
        <v>4</v>
      </c>
    </row>
    <row r="112" spans="1:9" x14ac:dyDescent="0.3">
      <c r="A112" s="65">
        <v>111</v>
      </c>
      <c r="B112" s="35" t="s">
        <v>3149</v>
      </c>
      <c r="C112" s="36" t="s">
        <v>3150</v>
      </c>
      <c r="D112" s="63" t="s">
        <v>3126</v>
      </c>
      <c r="E112" s="37" t="str">
        <f>VLOOKUP(Table1[[#This Row],[TRUCK NO  ]],[1]Sheet2!$B:$E,4,0)</f>
        <v>HUSSEIN SIMON BOBSON</v>
      </c>
      <c r="F112" s="36" t="s">
        <v>2957</v>
      </c>
      <c r="G112" s="38" t="s">
        <v>2924</v>
      </c>
      <c r="H112" s="39" t="s">
        <v>2925</v>
      </c>
      <c r="I112" s="53">
        <v>1</v>
      </c>
    </row>
    <row r="113" spans="1:9" x14ac:dyDescent="0.3">
      <c r="A113" s="65">
        <v>112</v>
      </c>
      <c r="B113" s="35" t="s">
        <v>278</v>
      </c>
      <c r="C113" s="36" t="s">
        <v>3151</v>
      </c>
      <c r="D113" s="63" t="s">
        <v>3126</v>
      </c>
      <c r="E113" s="37" t="str">
        <f>VLOOKUP(Table1[[#This Row],[TRUCK NO  ]],[1]Sheet2!$B:$E,4,0)</f>
        <v>THADEUS CHARLES HONGOLI</v>
      </c>
      <c r="F113" s="36" t="s">
        <v>2957</v>
      </c>
      <c r="G113" s="38" t="s">
        <v>3131</v>
      </c>
      <c r="H113" s="39" t="s">
        <v>2925</v>
      </c>
      <c r="I113" s="53">
        <v>2</v>
      </c>
    </row>
    <row r="114" spans="1:9" x14ac:dyDescent="0.3">
      <c r="A114" s="65">
        <v>113</v>
      </c>
      <c r="B114" s="35" t="s">
        <v>102</v>
      </c>
      <c r="C114" s="36" t="s">
        <v>3152</v>
      </c>
      <c r="D114" s="63" t="s">
        <v>3153</v>
      </c>
      <c r="E114" s="37" t="str">
        <f>VLOOKUP(Table1[[#This Row],[TRUCK NO  ]],[1]Sheet2!$B:$E,4,0)</f>
        <v>SAIMON GEORGE KAAYA</v>
      </c>
      <c r="F114" s="36" t="s">
        <v>2944</v>
      </c>
      <c r="G114" s="38" t="s">
        <v>2942</v>
      </c>
      <c r="H114" s="39" t="s">
        <v>2925</v>
      </c>
      <c r="I114" s="53">
        <v>1</v>
      </c>
    </row>
    <row r="115" spans="1:9" x14ac:dyDescent="0.3">
      <c r="A115" s="65">
        <v>114</v>
      </c>
      <c r="B115" s="35" t="s">
        <v>763</v>
      </c>
      <c r="C115" s="36" t="s">
        <v>3154</v>
      </c>
      <c r="D115" s="63" t="s">
        <v>3153</v>
      </c>
      <c r="E115" s="37" t="str">
        <f>VLOOKUP(Table1[[#This Row],[TRUCK NO  ]],[1]Sheet2!$B:$E,4,0)</f>
        <v>POTPHA PASCAL MTAKIMWA</v>
      </c>
      <c r="F115" s="36" t="s">
        <v>2927</v>
      </c>
      <c r="G115" s="38" t="s">
        <v>3155</v>
      </c>
      <c r="H115" s="39" t="s">
        <v>2925</v>
      </c>
      <c r="I115" s="53">
        <v>1</v>
      </c>
    </row>
    <row r="116" spans="1:9" x14ac:dyDescent="0.3">
      <c r="A116" s="65">
        <v>115</v>
      </c>
      <c r="B116" s="35" t="s">
        <v>2631</v>
      </c>
      <c r="C116" s="36" t="s">
        <v>3156</v>
      </c>
      <c r="D116" s="63" t="s">
        <v>3153</v>
      </c>
      <c r="E116" s="37" t="str">
        <f>VLOOKUP(Table1[[#This Row],[TRUCK NO  ]],[1]Sheet2!$B:$E,4,0)</f>
        <v>WILLIAM RICHARD MACK</v>
      </c>
      <c r="F116" s="36" t="s">
        <v>2936</v>
      </c>
      <c r="G116" s="38" t="s">
        <v>3157</v>
      </c>
      <c r="H116" s="39" t="s">
        <v>2925</v>
      </c>
      <c r="I116" s="53">
        <v>4</v>
      </c>
    </row>
    <row r="117" spans="1:9" x14ac:dyDescent="0.3">
      <c r="A117" s="65">
        <v>116</v>
      </c>
      <c r="B117" s="35" t="s">
        <v>1525</v>
      </c>
      <c r="C117" s="36" t="s">
        <v>3158</v>
      </c>
      <c r="D117" s="63" t="s">
        <v>3153</v>
      </c>
      <c r="E117" s="37" t="str">
        <f>VLOOKUP(Table1[[#This Row],[TRUCK NO  ]],[1]Sheet2!$B:$E,4,0)</f>
        <v>JOSEPHAT MARO KEBURE</v>
      </c>
      <c r="F117" s="36" t="s">
        <v>2932</v>
      </c>
      <c r="G117" s="38" t="s">
        <v>3159</v>
      </c>
      <c r="H117" s="39" t="s">
        <v>2925</v>
      </c>
      <c r="I117" s="53">
        <v>5</v>
      </c>
    </row>
    <row r="118" spans="1:9" x14ac:dyDescent="0.3">
      <c r="A118" s="65">
        <v>117</v>
      </c>
      <c r="B118" s="35" t="s">
        <v>1011</v>
      </c>
      <c r="C118" s="36" t="s">
        <v>3160</v>
      </c>
      <c r="D118" s="63" t="s">
        <v>3153</v>
      </c>
      <c r="E118" s="37" t="str">
        <f>VLOOKUP(Table1[[#This Row],[TRUCK NO  ]],[1]Sheet2!$B:$E,4,0)</f>
        <v>SAID SALUM MOHAMED</v>
      </c>
      <c r="F118" s="36" t="s">
        <v>2957</v>
      </c>
      <c r="G118" s="38" t="s">
        <v>2924</v>
      </c>
      <c r="H118" s="39" t="s">
        <v>2925</v>
      </c>
      <c r="I118" s="53">
        <v>1</v>
      </c>
    </row>
    <row r="119" spans="1:9" x14ac:dyDescent="0.3">
      <c r="A119" s="65">
        <v>118</v>
      </c>
      <c r="B119" s="35" t="s">
        <v>1470</v>
      </c>
      <c r="C119" s="36" t="s">
        <v>3161</v>
      </c>
      <c r="D119" s="63" t="s">
        <v>3153</v>
      </c>
      <c r="E119" s="37" t="str">
        <f>VLOOKUP(Table1[[#This Row],[TRUCK NO  ]],[1]Sheet2!$B:$E,4,0)</f>
        <v>HARFANI MANENO MGAWE</v>
      </c>
      <c r="F119" s="36" t="s">
        <v>2957</v>
      </c>
      <c r="G119" s="38" t="s">
        <v>3019</v>
      </c>
      <c r="H119" s="39" t="s">
        <v>2925</v>
      </c>
      <c r="I119" s="53">
        <v>1</v>
      </c>
    </row>
    <row r="120" spans="1:9" x14ac:dyDescent="0.3">
      <c r="A120" s="65">
        <v>119</v>
      </c>
      <c r="B120" s="35" t="s">
        <v>704</v>
      </c>
      <c r="C120" s="36" t="s">
        <v>3162</v>
      </c>
      <c r="D120" s="63" t="s">
        <v>3153</v>
      </c>
      <c r="E120" s="37" t="str">
        <f>VLOOKUP(Table1[[#This Row],[TRUCK NO  ]],[1]Sheet2!$B:$E,4,0)</f>
        <v>CHRISTIAN NKWELA MAPUNDA</v>
      </c>
      <c r="F120" s="36" t="s">
        <v>3077</v>
      </c>
      <c r="G120" s="38" t="s">
        <v>3163</v>
      </c>
      <c r="H120" s="39" t="s">
        <v>2925</v>
      </c>
      <c r="I120" s="53">
        <v>34</v>
      </c>
    </row>
    <row r="121" spans="1:9" x14ac:dyDescent="0.3">
      <c r="A121" s="65">
        <v>120</v>
      </c>
      <c r="B121" s="35" t="s">
        <v>1666</v>
      </c>
      <c r="C121" s="36" t="s">
        <v>3164</v>
      </c>
      <c r="D121" s="63" t="s">
        <v>3153</v>
      </c>
      <c r="E121" s="37" t="str">
        <f>VLOOKUP(Table1[[#This Row],[TRUCK NO  ]],[1]Sheet2!$B:$E,4,0)</f>
        <v>JUMA SHUKURU JUMA</v>
      </c>
      <c r="F121" s="36" t="s">
        <v>2932</v>
      </c>
      <c r="G121" s="38" t="s">
        <v>3165</v>
      </c>
      <c r="H121" s="39" t="s">
        <v>2925</v>
      </c>
      <c r="I121" s="53">
        <v>5</v>
      </c>
    </row>
    <row r="122" spans="1:9" x14ac:dyDescent="0.3">
      <c r="A122" s="65">
        <v>121</v>
      </c>
      <c r="B122" s="35" t="s">
        <v>278</v>
      </c>
      <c r="C122" s="36" t="s">
        <v>3166</v>
      </c>
      <c r="D122" s="63" t="s">
        <v>3153</v>
      </c>
      <c r="E122" s="37" t="str">
        <f>VLOOKUP(Table1[[#This Row],[TRUCK NO  ]],[1]Sheet2!$B:$E,4,0)</f>
        <v>THADEUS CHARLES HONGOLI</v>
      </c>
      <c r="F122" s="36" t="s">
        <v>2957</v>
      </c>
      <c r="G122" s="38" t="s">
        <v>2924</v>
      </c>
      <c r="H122" s="39" t="s">
        <v>2925</v>
      </c>
      <c r="I122" s="53">
        <v>1</v>
      </c>
    </row>
    <row r="123" spans="1:9" x14ac:dyDescent="0.3">
      <c r="A123" s="65">
        <v>122</v>
      </c>
      <c r="B123" s="35" t="s">
        <v>102</v>
      </c>
      <c r="C123" s="36" t="s">
        <v>3167</v>
      </c>
      <c r="D123" s="63" t="s">
        <v>3168</v>
      </c>
      <c r="E123" s="37" t="str">
        <f>VLOOKUP(Table1[[#This Row],[TRUCK NO  ]],[1]Sheet2!$B:$E,4,0)</f>
        <v>SAIMON GEORGE KAAYA</v>
      </c>
      <c r="F123" s="36" t="s">
        <v>2964</v>
      </c>
      <c r="G123" s="38" t="s">
        <v>3169</v>
      </c>
      <c r="H123" s="39" t="s">
        <v>2925</v>
      </c>
      <c r="I123" s="53">
        <v>1</v>
      </c>
    </row>
    <row r="124" spans="1:9" x14ac:dyDescent="0.3">
      <c r="A124" s="65">
        <v>123</v>
      </c>
      <c r="B124" s="35" t="s">
        <v>2631</v>
      </c>
      <c r="C124" s="36" t="s">
        <v>3170</v>
      </c>
      <c r="D124" s="63" t="s">
        <v>3168</v>
      </c>
      <c r="E124" s="37" t="str">
        <f>VLOOKUP(Table1[[#This Row],[TRUCK NO  ]],[1]Sheet2!$B:$E,4,0)</f>
        <v>WILLIAM RICHARD MACK</v>
      </c>
      <c r="F124" s="36" t="s">
        <v>2972</v>
      </c>
      <c r="G124" s="38" t="s">
        <v>3171</v>
      </c>
      <c r="H124" s="39" t="s">
        <v>2925</v>
      </c>
      <c r="I124" s="53">
        <v>18</v>
      </c>
    </row>
    <row r="125" spans="1:9" x14ac:dyDescent="0.3">
      <c r="A125" s="65">
        <v>124</v>
      </c>
      <c r="B125" s="35" t="s">
        <v>1305</v>
      </c>
      <c r="C125" s="36" t="s">
        <v>3172</v>
      </c>
      <c r="D125" s="63" t="s">
        <v>3168</v>
      </c>
      <c r="E125" s="37" t="str">
        <f>VLOOKUP(Table1[[#This Row],[TRUCK NO  ]],[1]Sheet2!$B:$E,4,0)</f>
        <v>FRANK RASHID KAMANDO</v>
      </c>
      <c r="F125" s="36" t="s">
        <v>2941</v>
      </c>
      <c r="G125" s="38" t="s">
        <v>3173</v>
      </c>
      <c r="H125" s="39" t="s">
        <v>2925</v>
      </c>
      <c r="I125" s="53">
        <v>1</v>
      </c>
    </row>
    <row r="126" spans="1:9" x14ac:dyDescent="0.3">
      <c r="A126" s="65">
        <v>125</v>
      </c>
      <c r="B126" s="35" t="s">
        <v>3174</v>
      </c>
      <c r="C126" s="36" t="s">
        <v>3175</v>
      </c>
      <c r="D126" s="63" t="s">
        <v>3168</v>
      </c>
      <c r="E126" s="37" t="str">
        <f>VLOOKUP(Table1[[#This Row],[TRUCK NO  ]],[1]Sheet2!$B:$E,4,0)</f>
        <v>JAPHARI SALUM SHABANI</v>
      </c>
      <c r="F126" s="36" t="s">
        <v>2944</v>
      </c>
      <c r="G126" s="38" t="s">
        <v>3176</v>
      </c>
      <c r="H126" s="39" t="s">
        <v>2925</v>
      </c>
      <c r="I126" s="53">
        <v>2</v>
      </c>
    </row>
    <row r="127" spans="1:9" x14ac:dyDescent="0.3">
      <c r="A127" s="65">
        <v>126</v>
      </c>
      <c r="B127" s="35" t="s">
        <v>27</v>
      </c>
      <c r="C127" s="36" t="s">
        <v>3177</v>
      </c>
      <c r="D127" s="63" t="s">
        <v>3168</v>
      </c>
      <c r="E127" s="37" t="str">
        <f>VLOOKUP(Table1[[#This Row],[TRUCK NO  ]],[1]Sheet2!$B:$E,4,0)</f>
        <v>ALPHONCE SIMO HORO</v>
      </c>
      <c r="F127" s="36" t="s">
        <v>2957</v>
      </c>
      <c r="G127" s="38" t="s">
        <v>3036</v>
      </c>
      <c r="H127" s="39" t="s">
        <v>2925</v>
      </c>
      <c r="I127" s="53">
        <v>6</v>
      </c>
    </row>
    <row r="128" spans="1:9" x14ac:dyDescent="0.3">
      <c r="A128" s="65">
        <v>127</v>
      </c>
      <c r="B128" s="35" t="s">
        <v>42</v>
      </c>
      <c r="C128" s="36" t="s">
        <v>3178</v>
      </c>
      <c r="D128" s="63" t="s">
        <v>3168</v>
      </c>
      <c r="E128" s="37" t="str">
        <f>VLOOKUP(Table1[[#This Row],[TRUCK NO  ]],[1]Sheet2!$B:$E,4,0)</f>
        <v>OTHUMAN SALUM MSIKA</v>
      </c>
      <c r="F128" s="36" t="s">
        <v>3109</v>
      </c>
      <c r="G128" s="38" t="s">
        <v>3179</v>
      </c>
      <c r="H128" s="39" t="s">
        <v>2925</v>
      </c>
      <c r="I128" s="53">
        <v>4</v>
      </c>
    </row>
    <row r="129" spans="1:9" x14ac:dyDescent="0.3">
      <c r="A129" s="65">
        <v>128</v>
      </c>
      <c r="B129" s="35" t="s">
        <v>3075</v>
      </c>
      <c r="C129" s="36" t="s">
        <v>3180</v>
      </c>
      <c r="D129" s="63" t="s">
        <v>3168</v>
      </c>
      <c r="E129" s="37" t="str">
        <f>VLOOKUP(Table1[[#This Row],[TRUCK NO  ]],[1]Sheet2!$B:$E,4,0)</f>
        <v>MARTIN PAUL MPINGA</v>
      </c>
      <c r="F129" s="36" t="s">
        <v>2957</v>
      </c>
      <c r="G129" s="38" t="s">
        <v>3181</v>
      </c>
      <c r="H129" s="39" t="s">
        <v>2925</v>
      </c>
      <c r="I129" s="53">
        <v>3</v>
      </c>
    </row>
    <row r="130" spans="1:9" x14ac:dyDescent="0.3">
      <c r="A130" s="65">
        <v>129</v>
      </c>
      <c r="B130" s="35" t="s">
        <v>1945</v>
      </c>
      <c r="C130" s="36" t="s">
        <v>3182</v>
      </c>
      <c r="D130" s="63" t="s">
        <v>3168</v>
      </c>
      <c r="E130" s="37" t="str">
        <f>VLOOKUP(Table1[[#This Row],[TRUCK NO  ]],[1]Sheet2!$B:$E,4,0)</f>
        <v>OMARI SALIM KULUGIO</v>
      </c>
      <c r="F130" s="36" t="s">
        <v>2964</v>
      </c>
      <c r="G130" s="38" t="s">
        <v>2937</v>
      </c>
      <c r="H130" s="39" t="s">
        <v>2925</v>
      </c>
      <c r="I130" s="53">
        <v>1</v>
      </c>
    </row>
    <row r="131" spans="1:9" x14ac:dyDescent="0.3">
      <c r="A131" s="65">
        <v>130</v>
      </c>
      <c r="B131" s="35" t="s">
        <v>40</v>
      </c>
      <c r="C131" s="36" t="s">
        <v>3183</v>
      </c>
      <c r="D131" s="63" t="s">
        <v>3168</v>
      </c>
      <c r="E131" s="37" t="str">
        <f>VLOOKUP(Table1[[#This Row],[TRUCK NO  ]],[1]Sheet2!$B:$E,4,0)</f>
        <v>KHERI HASSAN MILANZI</v>
      </c>
      <c r="F131" s="36" t="s">
        <v>2957</v>
      </c>
      <c r="G131" s="38" t="s">
        <v>3184</v>
      </c>
      <c r="H131" s="39" t="s">
        <v>2925</v>
      </c>
      <c r="I131" s="53">
        <v>1</v>
      </c>
    </row>
    <row r="132" spans="1:9" x14ac:dyDescent="0.3">
      <c r="A132" s="65">
        <v>131</v>
      </c>
      <c r="B132" s="35" t="s">
        <v>2159</v>
      </c>
      <c r="C132" s="36" t="s">
        <v>3185</v>
      </c>
      <c r="D132" s="63" t="s">
        <v>3168</v>
      </c>
      <c r="E132" s="37" t="str">
        <f>VLOOKUP(Table1[[#This Row],[TRUCK NO  ]],[1]Sheet2!$B:$E,4,0)</f>
        <v>ABDALLAH HAMISI MKUMBO</v>
      </c>
      <c r="F132" s="36" t="s">
        <v>2927</v>
      </c>
      <c r="G132" s="38" t="s">
        <v>3186</v>
      </c>
      <c r="H132" s="39" t="s">
        <v>2925</v>
      </c>
      <c r="I132" s="53">
        <v>1</v>
      </c>
    </row>
    <row r="133" spans="1:9" x14ac:dyDescent="0.3">
      <c r="A133" s="65">
        <v>132</v>
      </c>
      <c r="B133" s="35" t="s">
        <v>1734</v>
      </c>
      <c r="C133" s="36" t="s">
        <v>3187</v>
      </c>
      <c r="D133" s="63" t="s">
        <v>3168</v>
      </c>
      <c r="E133" s="37" t="str">
        <f>VLOOKUP(Table1[[#This Row],[TRUCK NO  ]],[1]Sheet2!$B:$E,4,0)</f>
        <v>FRANK MKOKOTI ITATIRO</v>
      </c>
      <c r="F133" s="36" t="s">
        <v>2944</v>
      </c>
      <c r="G133" s="38" t="s">
        <v>3188</v>
      </c>
      <c r="H133" s="39" t="s">
        <v>2925</v>
      </c>
      <c r="I133" s="53">
        <v>1</v>
      </c>
    </row>
    <row r="134" spans="1:9" x14ac:dyDescent="0.3">
      <c r="A134" s="65">
        <v>133</v>
      </c>
      <c r="B134" s="35" t="s">
        <v>1818</v>
      </c>
      <c r="C134" s="36" t="s">
        <v>3189</v>
      </c>
      <c r="D134" s="63" t="s">
        <v>3168</v>
      </c>
      <c r="E134" s="37" t="str">
        <f>VLOOKUP(Table1[[#This Row],[TRUCK NO  ]],[1]Sheet2!$B:$E,4,0)</f>
        <v>STEPHANO ABINELI ULOMI</v>
      </c>
      <c r="F134" s="36" t="s">
        <v>2957</v>
      </c>
      <c r="G134" s="38" t="s">
        <v>3190</v>
      </c>
      <c r="H134" s="39" t="s">
        <v>2925</v>
      </c>
      <c r="I134" s="53">
        <v>1</v>
      </c>
    </row>
    <row r="135" spans="1:9" x14ac:dyDescent="0.3">
      <c r="A135" s="65">
        <v>134</v>
      </c>
      <c r="B135" s="35" t="s">
        <v>1666</v>
      </c>
      <c r="C135" s="36" t="s">
        <v>3191</v>
      </c>
      <c r="D135" s="63" t="s">
        <v>3168</v>
      </c>
      <c r="E135" s="37" t="str">
        <f>VLOOKUP(Table1[[#This Row],[TRUCK NO  ]],[1]Sheet2!$B:$E,4,0)</f>
        <v>JUMA SHUKURU JUMA</v>
      </c>
      <c r="F135" s="36" t="s">
        <v>3109</v>
      </c>
      <c r="G135" s="38" t="s">
        <v>3192</v>
      </c>
      <c r="H135" s="39" t="s">
        <v>2925</v>
      </c>
      <c r="I135" s="53">
        <v>9</v>
      </c>
    </row>
    <row r="136" spans="1:9" x14ac:dyDescent="0.3">
      <c r="A136" s="65">
        <v>135</v>
      </c>
      <c r="B136" s="35" t="s">
        <v>272</v>
      </c>
      <c r="C136" s="36" t="s">
        <v>3193</v>
      </c>
      <c r="D136" s="63" t="s">
        <v>3168</v>
      </c>
      <c r="E136" s="37" t="str">
        <f>VLOOKUP(Table1[[#This Row],[TRUCK NO  ]],[1]Sheet2!$B:$E,4,0)</f>
        <v>ALBERT GIBSON MWAKAJILEKE</v>
      </c>
      <c r="F136" s="36" t="s">
        <v>2950</v>
      </c>
      <c r="G136" s="38" t="s">
        <v>3194</v>
      </c>
      <c r="H136" s="39" t="s">
        <v>2925</v>
      </c>
      <c r="I136" s="53">
        <v>1</v>
      </c>
    </row>
    <row r="137" spans="1:9" x14ac:dyDescent="0.3">
      <c r="A137" s="65">
        <v>136</v>
      </c>
      <c r="B137" s="35" t="s">
        <v>1305</v>
      </c>
      <c r="C137" s="36" t="s">
        <v>3195</v>
      </c>
      <c r="D137" s="63" t="s">
        <v>3196</v>
      </c>
      <c r="E137" s="37" t="str">
        <f>VLOOKUP(Table1[[#This Row],[TRUCK NO  ]],[1]Sheet2!$B:$E,4,0)</f>
        <v>FRANK RASHID KAMANDO</v>
      </c>
      <c r="F137" s="36" t="s">
        <v>2950</v>
      </c>
      <c r="G137" s="38" t="s">
        <v>3197</v>
      </c>
      <c r="H137" s="39" t="s">
        <v>2925</v>
      </c>
      <c r="I137" s="53">
        <v>1</v>
      </c>
    </row>
    <row r="138" spans="1:9" x14ac:dyDescent="0.3">
      <c r="A138" s="65">
        <v>137</v>
      </c>
      <c r="B138" s="35" t="s">
        <v>1683</v>
      </c>
      <c r="C138" s="36" t="s">
        <v>3198</v>
      </c>
      <c r="D138" s="63" t="s">
        <v>3196</v>
      </c>
      <c r="E138" s="37" t="str">
        <f>VLOOKUP(Table1[[#This Row],[TRUCK NO  ]],[1]Sheet2!$B:$E,4,0)</f>
        <v>YAHYA HASSANI ADAM</v>
      </c>
      <c r="F138" s="36" t="s">
        <v>2957</v>
      </c>
      <c r="G138" s="38" t="s">
        <v>3199</v>
      </c>
      <c r="H138" s="39" t="s">
        <v>2925</v>
      </c>
      <c r="I138" s="53">
        <v>1</v>
      </c>
    </row>
    <row r="139" spans="1:9" x14ac:dyDescent="0.3">
      <c r="A139" s="65">
        <v>138</v>
      </c>
      <c r="B139" s="35" t="s">
        <v>3200</v>
      </c>
      <c r="C139" s="36" t="s">
        <v>3201</v>
      </c>
      <c r="D139" s="63" t="s">
        <v>3196</v>
      </c>
      <c r="E139" s="37" t="str">
        <f>VLOOKUP(Table1[[#This Row],[TRUCK NO  ]],[1]Sheet2!$B:$E,4,0)</f>
        <v>SAID ALLY MVUGALO</v>
      </c>
      <c r="F139" s="36" t="s">
        <v>2927</v>
      </c>
      <c r="G139" s="38" t="s">
        <v>3202</v>
      </c>
      <c r="H139" s="39" t="s">
        <v>2925</v>
      </c>
      <c r="I139" s="53">
        <v>1</v>
      </c>
    </row>
    <row r="140" spans="1:9" x14ac:dyDescent="0.3">
      <c r="A140" s="65">
        <v>139</v>
      </c>
      <c r="B140" s="35" t="s">
        <v>1316</v>
      </c>
      <c r="C140" s="36" t="s">
        <v>3203</v>
      </c>
      <c r="D140" s="63" t="s">
        <v>3196</v>
      </c>
      <c r="E140" s="37" t="str">
        <f>VLOOKUP(Table1[[#This Row],[TRUCK NO  ]],[1]Sheet2!$B:$E,4,0)</f>
        <v>JUMA JAFARI KASELE</v>
      </c>
      <c r="F140" s="36" t="s">
        <v>2936</v>
      </c>
      <c r="G140" s="38" t="s">
        <v>3204</v>
      </c>
      <c r="H140" s="39" t="s">
        <v>2925</v>
      </c>
      <c r="I140" s="53">
        <v>5</v>
      </c>
    </row>
    <row r="141" spans="1:9" x14ac:dyDescent="0.3">
      <c r="A141" s="65">
        <v>140</v>
      </c>
      <c r="B141" s="35" t="s">
        <v>42</v>
      </c>
      <c r="C141" s="36" t="s">
        <v>3205</v>
      </c>
      <c r="D141" s="63" t="s">
        <v>3196</v>
      </c>
      <c r="E141" s="37" t="str">
        <f>VLOOKUP(Table1[[#This Row],[TRUCK NO  ]],[1]Sheet2!$B:$E,4,0)</f>
        <v>OTHUMAN SALUM MSIKA</v>
      </c>
      <c r="F141" s="36" t="s">
        <v>2947</v>
      </c>
      <c r="G141" s="38" t="s">
        <v>3204</v>
      </c>
      <c r="H141" s="39" t="s">
        <v>2925</v>
      </c>
      <c r="I141" s="53">
        <v>6</v>
      </c>
    </row>
    <row r="142" spans="1:9" x14ac:dyDescent="0.3">
      <c r="A142" s="65">
        <v>141</v>
      </c>
      <c r="B142" s="35" t="s">
        <v>3075</v>
      </c>
      <c r="C142" s="36" t="s">
        <v>3206</v>
      </c>
      <c r="D142" s="63" t="s">
        <v>3196</v>
      </c>
      <c r="E142" s="37" t="str">
        <f>VLOOKUP(Table1[[#This Row],[TRUCK NO  ]],[1]Sheet2!$B:$E,4,0)</f>
        <v>MARTIN PAUL MPINGA</v>
      </c>
      <c r="F142" s="36" t="s">
        <v>2936</v>
      </c>
      <c r="G142" s="38" t="s">
        <v>3207</v>
      </c>
      <c r="H142" s="39" t="s">
        <v>2925</v>
      </c>
      <c r="I142" s="53">
        <v>6</v>
      </c>
    </row>
    <row r="143" spans="1:9" x14ac:dyDescent="0.3">
      <c r="A143" s="65">
        <v>142</v>
      </c>
      <c r="B143" s="35" t="s">
        <v>1319</v>
      </c>
      <c r="C143" s="36" t="s">
        <v>3208</v>
      </c>
      <c r="D143" s="63" t="s">
        <v>3196</v>
      </c>
      <c r="E143" s="37" t="str">
        <f>VLOOKUP(Table1[[#This Row],[TRUCK NO  ]],[1]Sheet2!$B:$E,4,0)</f>
        <v>SAID ASUMAN MUHOGO</v>
      </c>
      <c r="F143" s="36" t="s">
        <v>2950</v>
      </c>
      <c r="G143" s="38" t="s">
        <v>3209</v>
      </c>
      <c r="H143" s="39" t="s">
        <v>2925</v>
      </c>
      <c r="I143" s="53">
        <v>2</v>
      </c>
    </row>
    <row r="144" spans="1:9" x14ac:dyDescent="0.3">
      <c r="A144" s="65">
        <v>143</v>
      </c>
      <c r="B144" s="35" t="s">
        <v>2882</v>
      </c>
      <c r="C144" s="36" t="s">
        <v>3210</v>
      </c>
      <c r="D144" s="63" t="s">
        <v>3196</v>
      </c>
      <c r="E144" s="37" t="str">
        <f>VLOOKUP(Table1[[#This Row],[TRUCK NO  ]],[1]Sheet2!$B:$E,4,0)</f>
        <v>KELVIN JOSEPH MWAMI</v>
      </c>
      <c r="F144" s="36" t="s">
        <v>2964</v>
      </c>
      <c r="G144" s="38" t="s">
        <v>3211</v>
      </c>
      <c r="H144" s="39" t="s">
        <v>2925</v>
      </c>
      <c r="I144" s="53">
        <v>1</v>
      </c>
    </row>
    <row r="145" spans="1:9" x14ac:dyDescent="0.3">
      <c r="A145" s="65">
        <v>144</v>
      </c>
      <c r="B145" s="35" t="s">
        <v>929</v>
      </c>
      <c r="C145" s="36" t="s">
        <v>3212</v>
      </c>
      <c r="D145" s="63" t="s">
        <v>3196</v>
      </c>
      <c r="E145" s="37" t="str">
        <f>VLOOKUP(Table1[[#This Row],[TRUCK NO  ]],[1]Sheet2!$B:$E,4,0)</f>
        <v>RAMADHANI SALIMU SHEDAFA</v>
      </c>
      <c r="F145" s="36" t="s">
        <v>2950</v>
      </c>
      <c r="G145" s="38" t="s">
        <v>3213</v>
      </c>
      <c r="H145" s="39" t="s">
        <v>2925</v>
      </c>
      <c r="I145" s="53">
        <v>1</v>
      </c>
    </row>
    <row r="146" spans="1:9" x14ac:dyDescent="0.3">
      <c r="A146" s="65">
        <v>145</v>
      </c>
      <c r="B146" s="35" t="s">
        <v>1734</v>
      </c>
      <c r="C146" s="36" t="s">
        <v>3214</v>
      </c>
      <c r="D146" s="63" t="s">
        <v>3196</v>
      </c>
      <c r="E146" s="37" t="str">
        <f>VLOOKUP(Table1[[#This Row],[TRUCK NO  ]],[1]Sheet2!$B:$E,4,0)</f>
        <v>FRANK MKOKOTI ITATIRO</v>
      </c>
      <c r="F146" s="36" t="s">
        <v>2989</v>
      </c>
      <c r="G146" s="38" t="s">
        <v>3215</v>
      </c>
      <c r="H146" s="39" t="s">
        <v>2925</v>
      </c>
      <c r="I146" s="53">
        <v>2</v>
      </c>
    </row>
    <row r="147" spans="1:9" x14ac:dyDescent="0.3">
      <c r="A147" s="65">
        <v>146</v>
      </c>
      <c r="B147" s="35" t="s">
        <v>1666</v>
      </c>
      <c r="C147" s="36" t="s">
        <v>3216</v>
      </c>
      <c r="D147" s="63" t="s">
        <v>3196</v>
      </c>
      <c r="E147" s="37" t="str">
        <f>VLOOKUP(Table1[[#This Row],[TRUCK NO  ]],[1]Sheet2!$B:$E,4,0)</f>
        <v>JUMA SHUKURU JUMA</v>
      </c>
      <c r="F147" s="36" t="s">
        <v>3217</v>
      </c>
      <c r="G147" s="38" t="s">
        <v>3218</v>
      </c>
      <c r="H147" s="39" t="s">
        <v>2925</v>
      </c>
      <c r="I147" s="53">
        <v>11</v>
      </c>
    </row>
    <row r="148" spans="1:9" x14ac:dyDescent="0.3">
      <c r="A148" s="65">
        <v>147</v>
      </c>
      <c r="B148" s="35" t="s">
        <v>1578</v>
      </c>
      <c r="C148" s="36" t="s">
        <v>3219</v>
      </c>
      <c r="D148" s="63" t="s">
        <v>3220</v>
      </c>
      <c r="E148" s="37" t="str">
        <f>VLOOKUP(Table1[[#This Row],[TRUCK NO  ]],[1]Sheet2!$B:$E,4,0)</f>
        <v>YUSUF ALLY MAWIMBI</v>
      </c>
      <c r="F148" s="36" t="s">
        <v>2927</v>
      </c>
      <c r="G148" s="38" t="s">
        <v>3221</v>
      </c>
      <c r="H148" s="39" t="s">
        <v>2925</v>
      </c>
      <c r="I148" s="53">
        <v>1</v>
      </c>
    </row>
    <row r="149" spans="1:9" x14ac:dyDescent="0.3">
      <c r="A149" s="65">
        <v>148</v>
      </c>
      <c r="B149" s="35" t="s">
        <v>105</v>
      </c>
      <c r="C149" s="36" t="s">
        <v>3222</v>
      </c>
      <c r="D149" s="63" t="s">
        <v>3220</v>
      </c>
      <c r="E149" s="37" t="str">
        <f>VLOOKUP(Table1[[#This Row],[TRUCK NO  ]],[1]Sheet2!$B:$E,4,0)</f>
        <v>KITENGU HAMISI KITENGU</v>
      </c>
      <c r="F149" s="36" t="s">
        <v>3005</v>
      </c>
      <c r="G149" s="38" t="s">
        <v>3131</v>
      </c>
      <c r="H149" s="39" t="s">
        <v>2925</v>
      </c>
      <c r="I149" s="53">
        <v>6</v>
      </c>
    </row>
    <row r="150" spans="1:9" x14ac:dyDescent="0.3">
      <c r="A150" s="65">
        <v>149</v>
      </c>
      <c r="B150" s="35" t="s">
        <v>2631</v>
      </c>
      <c r="C150" s="36" t="s">
        <v>3223</v>
      </c>
      <c r="D150" s="63" t="s">
        <v>3220</v>
      </c>
      <c r="E150" s="37" t="str">
        <f>VLOOKUP(Table1[[#This Row],[TRUCK NO  ]],[1]Sheet2!$B:$E,4,0)</f>
        <v>WILLIAM RICHARD MACK</v>
      </c>
      <c r="F150" s="36" t="s">
        <v>2950</v>
      </c>
      <c r="G150" s="38" t="s">
        <v>3019</v>
      </c>
      <c r="H150" s="39" t="s">
        <v>2925</v>
      </c>
      <c r="I150" s="53">
        <v>1</v>
      </c>
    </row>
    <row r="151" spans="1:9" x14ac:dyDescent="0.3">
      <c r="A151" s="65">
        <v>150</v>
      </c>
      <c r="B151" s="35" t="s">
        <v>1700</v>
      </c>
      <c r="C151" s="36" t="s">
        <v>3224</v>
      </c>
      <c r="D151" s="63" t="s">
        <v>3220</v>
      </c>
      <c r="E151" s="37" t="str">
        <f>VLOOKUP(Table1[[#This Row],[TRUCK NO  ]],[1]Sheet2!$B:$E,4,0)</f>
        <v>MARTIN ANTHONI SANGA</v>
      </c>
      <c r="F151" s="36" t="s">
        <v>2989</v>
      </c>
      <c r="G151" s="38" t="s">
        <v>3225</v>
      </c>
      <c r="H151" s="39" t="s">
        <v>2925</v>
      </c>
      <c r="I151" s="53">
        <v>4</v>
      </c>
    </row>
    <row r="152" spans="1:9" x14ac:dyDescent="0.3">
      <c r="A152" s="65">
        <v>151</v>
      </c>
      <c r="B152" s="35" t="s">
        <v>1457</v>
      </c>
      <c r="C152" s="36" t="s">
        <v>3226</v>
      </c>
      <c r="D152" s="63" t="s">
        <v>3220</v>
      </c>
      <c r="E152" s="37" t="str">
        <f>VLOOKUP(Table1[[#This Row],[TRUCK NO  ]],[1]Sheet2!$B:$E,4,0)</f>
        <v>HASSAN AWADHI TAMIM</v>
      </c>
      <c r="F152" s="36" t="s">
        <v>2944</v>
      </c>
      <c r="G152" s="38" t="s">
        <v>3227</v>
      </c>
      <c r="H152" s="39" t="s">
        <v>2925</v>
      </c>
      <c r="I152" s="53">
        <v>2</v>
      </c>
    </row>
    <row r="153" spans="1:9" x14ac:dyDescent="0.3">
      <c r="A153" s="65">
        <v>152</v>
      </c>
      <c r="B153" s="35" t="s">
        <v>938</v>
      </c>
      <c r="C153" s="36" t="s">
        <v>3228</v>
      </c>
      <c r="D153" s="63" t="s">
        <v>3220</v>
      </c>
      <c r="E153" s="37" t="str">
        <f>VLOOKUP(Table1[[#This Row],[TRUCK NO  ]],[1]Sheet2!$B:$E,4,0)</f>
        <v>ABUBAKARY OMARY KABAKA</v>
      </c>
      <c r="F153" s="36" t="s">
        <v>2957</v>
      </c>
      <c r="G153" s="38" t="s">
        <v>3229</v>
      </c>
      <c r="H153" s="39" t="s">
        <v>2925</v>
      </c>
      <c r="I153" s="53">
        <v>1</v>
      </c>
    </row>
    <row r="154" spans="1:9" x14ac:dyDescent="0.3">
      <c r="A154" s="65">
        <v>153</v>
      </c>
      <c r="B154" s="35" t="s">
        <v>1734</v>
      </c>
      <c r="C154" s="36" t="s">
        <v>3230</v>
      </c>
      <c r="D154" s="63" t="s">
        <v>3220</v>
      </c>
      <c r="E154" s="37" t="str">
        <f>VLOOKUP(Table1[[#This Row],[TRUCK NO  ]],[1]Sheet2!$B:$E,4,0)</f>
        <v>FRANK MKOKOTI ITATIRO</v>
      </c>
      <c r="F154" s="36" t="s">
        <v>2964</v>
      </c>
      <c r="G154" s="38" t="s">
        <v>3231</v>
      </c>
      <c r="H154" s="39" t="s">
        <v>2925</v>
      </c>
      <c r="I154" s="53">
        <v>1</v>
      </c>
    </row>
    <row r="155" spans="1:9" x14ac:dyDescent="0.3">
      <c r="A155" s="65">
        <v>154</v>
      </c>
      <c r="B155" s="35" t="s">
        <v>1666</v>
      </c>
      <c r="C155" s="36" t="s">
        <v>3232</v>
      </c>
      <c r="D155" s="63" t="s">
        <v>3220</v>
      </c>
      <c r="E155" s="37" t="str">
        <f>VLOOKUP(Table1[[#This Row],[TRUCK NO  ]],[1]Sheet2!$B:$E,4,0)</f>
        <v>JUMA SHUKURU JUMA</v>
      </c>
      <c r="F155" s="36" t="s">
        <v>2986</v>
      </c>
      <c r="G155" s="38" t="s">
        <v>3233</v>
      </c>
      <c r="H155" s="39" t="s">
        <v>2925</v>
      </c>
      <c r="I155" s="53">
        <v>3</v>
      </c>
    </row>
    <row r="156" spans="1:9" x14ac:dyDescent="0.3">
      <c r="A156" s="65">
        <v>155</v>
      </c>
      <c r="B156" s="35" t="s">
        <v>272</v>
      </c>
      <c r="C156" s="36" t="s">
        <v>3234</v>
      </c>
      <c r="D156" s="63" t="s">
        <v>3220</v>
      </c>
      <c r="E156" s="37" t="str">
        <f>VLOOKUP(Table1[[#This Row],[TRUCK NO  ]],[1]Sheet2!$B:$E,4,0)</f>
        <v>ALBERT GIBSON MWAKAJILEKE</v>
      </c>
      <c r="F156" s="36" t="s">
        <v>2969</v>
      </c>
      <c r="G156" s="38" t="s">
        <v>3235</v>
      </c>
      <c r="H156" s="39" t="s">
        <v>2925</v>
      </c>
      <c r="I156" s="53">
        <v>1</v>
      </c>
    </row>
    <row r="157" spans="1:9" x14ac:dyDescent="0.3">
      <c r="A157" s="65">
        <v>156</v>
      </c>
      <c r="B157" s="35" t="s">
        <v>105</v>
      </c>
      <c r="C157" s="36" t="s">
        <v>3236</v>
      </c>
      <c r="D157" s="63" t="s">
        <v>3237</v>
      </c>
      <c r="E157" s="37" t="str">
        <f>VLOOKUP(Table1[[#This Row],[TRUCK NO  ]],[1]Sheet2!$B:$E,4,0)</f>
        <v>KITENGU HAMISI KITENGU</v>
      </c>
      <c r="F157" s="36" t="s">
        <v>2927</v>
      </c>
      <c r="G157" s="38" t="s">
        <v>2937</v>
      </c>
      <c r="H157" s="39" t="s">
        <v>2925</v>
      </c>
      <c r="I157" s="53">
        <v>2</v>
      </c>
    </row>
    <row r="158" spans="1:9" x14ac:dyDescent="0.3">
      <c r="A158" s="65">
        <v>157</v>
      </c>
      <c r="B158" s="35" t="s">
        <v>27</v>
      </c>
      <c r="C158" s="36" t="s">
        <v>3238</v>
      </c>
      <c r="D158" s="63" t="s">
        <v>3237</v>
      </c>
      <c r="E158" s="37" t="str">
        <f>VLOOKUP(Table1[[#This Row],[TRUCK NO  ]],[1]Sheet2!$B:$E,4,0)</f>
        <v>ALPHONCE SIMO HORO</v>
      </c>
      <c r="F158" s="36" t="s">
        <v>2944</v>
      </c>
      <c r="G158" s="38" t="s">
        <v>3239</v>
      </c>
      <c r="H158" s="39" t="s">
        <v>2925</v>
      </c>
      <c r="I158" s="53">
        <v>24</v>
      </c>
    </row>
    <row r="159" spans="1:9" x14ac:dyDescent="0.3">
      <c r="A159" s="65">
        <v>158</v>
      </c>
      <c r="B159" s="35" t="s">
        <v>3037</v>
      </c>
      <c r="C159" s="36" t="s">
        <v>3240</v>
      </c>
      <c r="D159" s="63" t="s">
        <v>3237</v>
      </c>
      <c r="E159" s="37" t="str">
        <f>VLOOKUP(Table1[[#This Row],[TRUCK NO  ]],[1]Sheet2!$B:$E,4,0)</f>
        <v>SHABANI SALUM ABDALLAH</v>
      </c>
      <c r="F159" s="36" t="s">
        <v>2944</v>
      </c>
      <c r="G159" s="38" t="s">
        <v>3241</v>
      </c>
      <c r="H159" s="39" t="s">
        <v>2925</v>
      </c>
      <c r="I159" s="53">
        <v>1</v>
      </c>
    </row>
    <row r="160" spans="1:9" x14ac:dyDescent="0.3">
      <c r="A160" s="65">
        <v>159</v>
      </c>
      <c r="B160" s="35" t="s">
        <v>42</v>
      </c>
      <c r="C160" s="36" t="s">
        <v>3242</v>
      </c>
      <c r="D160" s="63" t="s">
        <v>3237</v>
      </c>
      <c r="E160" s="37" t="str">
        <f>VLOOKUP(Table1[[#This Row],[TRUCK NO  ]],[1]Sheet2!$B:$E,4,0)</f>
        <v>OTHUMAN SALUM MSIKA</v>
      </c>
      <c r="F160" s="36" t="s">
        <v>2932</v>
      </c>
      <c r="G160" s="38" t="s">
        <v>3243</v>
      </c>
      <c r="H160" s="39" t="s">
        <v>2925</v>
      </c>
      <c r="I160" s="53">
        <v>2</v>
      </c>
    </row>
    <row r="161" spans="1:9" x14ac:dyDescent="0.3">
      <c r="A161" s="65">
        <v>160</v>
      </c>
      <c r="B161" s="35" t="s">
        <v>1384</v>
      </c>
      <c r="C161" s="36" t="s">
        <v>3244</v>
      </c>
      <c r="D161" s="63" t="s">
        <v>3237</v>
      </c>
      <c r="E161" s="37" t="str">
        <f>VLOOKUP(Table1[[#This Row],[TRUCK NO  ]],[1]Sheet2!$B:$E,4,0)</f>
        <v>EMANUEL AGRICOLA MKENDA</v>
      </c>
      <c r="F161" s="36" t="s">
        <v>2950</v>
      </c>
      <c r="G161" s="38" t="s">
        <v>3245</v>
      </c>
      <c r="H161" s="39" t="s">
        <v>2925</v>
      </c>
      <c r="I161" s="53">
        <v>1</v>
      </c>
    </row>
    <row r="162" spans="1:9" x14ac:dyDescent="0.3">
      <c r="A162" s="65">
        <v>161</v>
      </c>
      <c r="B162" s="35" t="s">
        <v>938</v>
      </c>
      <c r="C162" s="36" t="s">
        <v>3246</v>
      </c>
      <c r="D162" s="63" t="s">
        <v>3237</v>
      </c>
      <c r="E162" s="37" t="str">
        <f>VLOOKUP(Table1[[#This Row],[TRUCK NO  ]],[1]Sheet2!$B:$E,4,0)</f>
        <v>ABUBAKARY OMARY KABAKA</v>
      </c>
      <c r="F162" s="36" t="s">
        <v>2936</v>
      </c>
      <c r="G162" s="38" t="s">
        <v>2924</v>
      </c>
      <c r="H162" s="39" t="s">
        <v>2925</v>
      </c>
      <c r="I162" s="53">
        <v>12</v>
      </c>
    </row>
    <row r="163" spans="1:9" x14ac:dyDescent="0.3">
      <c r="A163" s="65">
        <v>162</v>
      </c>
      <c r="B163" s="35" t="s">
        <v>1202</v>
      </c>
      <c r="C163" s="36" t="s">
        <v>3247</v>
      </c>
      <c r="D163" s="63" t="s">
        <v>3237</v>
      </c>
      <c r="E163" s="37" t="str">
        <f>VLOOKUP(Table1[[#This Row],[TRUCK NO  ]],[1]Sheet2!$B:$E,4,0)</f>
        <v>ZUBERI HATIBU MJAHIDI</v>
      </c>
      <c r="F163" s="36" t="s">
        <v>2936</v>
      </c>
      <c r="G163" s="38" t="s">
        <v>3248</v>
      </c>
      <c r="H163" s="39" t="s">
        <v>2925</v>
      </c>
      <c r="I163" s="53">
        <v>3</v>
      </c>
    </row>
    <row r="164" spans="1:9" x14ac:dyDescent="0.3">
      <c r="A164" s="65">
        <v>163</v>
      </c>
      <c r="B164" s="35" t="s">
        <v>272</v>
      </c>
      <c r="C164" s="36" t="s">
        <v>3249</v>
      </c>
      <c r="D164" s="63" t="s">
        <v>3237</v>
      </c>
      <c r="E164" s="37" t="str">
        <f>VLOOKUP(Table1[[#This Row],[TRUCK NO  ]],[1]Sheet2!$B:$E,4,0)</f>
        <v>ALBERT GIBSON MWAKAJILEKE</v>
      </c>
      <c r="F164" s="36" t="s">
        <v>2936</v>
      </c>
      <c r="G164" s="38" t="s">
        <v>3204</v>
      </c>
      <c r="H164" s="39" t="s">
        <v>2925</v>
      </c>
      <c r="I164" s="53">
        <v>1</v>
      </c>
    </row>
    <row r="165" spans="1:9" x14ac:dyDescent="0.3">
      <c r="A165" s="65">
        <v>164</v>
      </c>
      <c r="B165" s="35" t="s">
        <v>2874</v>
      </c>
      <c r="C165" s="36" t="s">
        <v>3250</v>
      </c>
      <c r="D165" s="63" t="s">
        <v>3251</v>
      </c>
      <c r="E165" s="37" t="str">
        <f>VLOOKUP(Table1[[#This Row],[TRUCK NO  ]],[1]Sheet2!$B:$E,4,0)</f>
        <v>ABDUL NASSORO SELEMANI</v>
      </c>
      <c r="F165" s="36" t="s">
        <v>3077</v>
      </c>
      <c r="G165" s="38" t="s">
        <v>3131</v>
      </c>
      <c r="H165" s="39" t="s">
        <v>2925</v>
      </c>
      <c r="I165" s="53">
        <v>3</v>
      </c>
    </row>
    <row r="166" spans="1:9" x14ac:dyDescent="0.3">
      <c r="A166" s="65">
        <v>165</v>
      </c>
      <c r="B166" s="35" t="s">
        <v>105</v>
      </c>
      <c r="C166" s="36" t="s">
        <v>3252</v>
      </c>
      <c r="D166" s="63" t="s">
        <v>3251</v>
      </c>
      <c r="E166" s="37" t="str">
        <f>VLOOKUP(Table1[[#This Row],[TRUCK NO  ]],[1]Sheet2!$B:$E,4,0)</f>
        <v>KITENGU HAMISI KITENGU</v>
      </c>
      <c r="F166" s="36" t="s">
        <v>3253</v>
      </c>
      <c r="G166" s="38" t="s">
        <v>3254</v>
      </c>
      <c r="H166" s="39" t="s">
        <v>2925</v>
      </c>
      <c r="I166" s="53">
        <v>2</v>
      </c>
    </row>
    <row r="167" spans="1:9" x14ac:dyDescent="0.3">
      <c r="A167" s="65">
        <v>166</v>
      </c>
      <c r="B167" s="35" t="s">
        <v>502</v>
      </c>
      <c r="C167" s="36" t="s">
        <v>3255</v>
      </c>
      <c r="D167" s="63" t="s">
        <v>3251</v>
      </c>
      <c r="E167" s="37" t="str">
        <f>VLOOKUP(Table1[[#This Row],[TRUCK NO  ]],[1]Sheet2!$B:$E,4,0)</f>
        <v>ISAYA MSHUKURU MMBANDO</v>
      </c>
      <c r="F167" s="36" t="s">
        <v>2927</v>
      </c>
      <c r="G167" s="38" t="s">
        <v>3256</v>
      </c>
      <c r="H167" s="39" t="s">
        <v>2925</v>
      </c>
      <c r="I167" s="53">
        <v>12</v>
      </c>
    </row>
    <row r="168" spans="1:9" x14ac:dyDescent="0.3">
      <c r="A168" s="65">
        <v>167</v>
      </c>
      <c r="B168" s="35" t="s">
        <v>2074</v>
      </c>
      <c r="C168" s="36" t="s">
        <v>3257</v>
      </c>
      <c r="D168" s="63" t="s">
        <v>3251</v>
      </c>
      <c r="E168" s="37" t="str">
        <f>VLOOKUP(Table1[[#This Row],[TRUCK NO  ]],[1]Sheet2!$B:$E,4,0)</f>
        <v>STEVEN OCTAVIAN MILANZI</v>
      </c>
      <c r="F168" s="36" t="s">
        <v>2950</v>
      </c>
      <c r="G168" s="38" t="s">
        <v>2924</v>
      </c>
      <c r="H168" s="39" t="s">
        <v>2925</v>
      </c>
      <c r="I168" s="53">
        <v>1</v>
      </c>
    </row>
    <row r="169" spans="1:9" x14ac:dyDescent="0.3">
      <c r="A169" s="65">
        <v>168</v>
      </c>
      <c r="B169" s="35" t="s">
        <v>3037</v>
      </c>
      <c r="C169" s="36" t="s">
        <v>3258</v>
      </c>
      <c r="D169" s="63" t="s">
        <v>3251</v>
      </c>
      <c r="E169" s="37" t="str">
        <f>VLOOKUP(Table1[[#This Row],[TRUCK NO  ]],[1]Sheet2!$B:$E,4,0)</f>
        <v>SHABANI SALUM ABDALLAH</v>
      </c>
      <c r="F169" s="36" t="s">
        <v>2944</v>
      </c>
      <c r="G169" s="38" t="s">
        <v>3259</v>
      </c>
      <c r="H169" s="39" t="s">
        <v>2925</v>
      </c>
      <c r="I169" s="53">
        <v>1</v>
      </c>
    </row>
    <row r="170" spans="1:9" x14ac:dyDescent="0.3">
      <c r="A170" s="65">
        <v>169</v>
      </c>
      <c r="B170" s="35" t="s">
        <v>42</v>
      </c>
      <c r="C170" s="36" t="s">
        <v>3260</v>
      </c>
      <c r="D170" s="63" t="s">
        <v>3251</v>
      </c>
      <c r="E170" s="37" t="str">
        <f>VLOOKUP(Table1[[#This Row],[TRUCK NO  ]],[1]Sheet2!$B:$E,4,0)</f>
        <v>OTHUMAN SALUM MSIKA</v>
      </c>
      <c r="F170" s="36" t="s">
        <v>3261</v>
      </c>
      <c r="G170" s="38" t="s">
        <v>3262</v>
      </c>
      <c r="H170" s="39" t="s">
        <v>2925</v>
      </c>
      <c r="I170" s="53">
        <v>14</v>
      </c>
    </row>
    <row r="171" spans="1:9" x14ac:dyDescent="0.3">
      <c r="A171" s="65">
        <v>170</v>
      </c>
      <c r="B171" s="35" t="s">
        <v>1945</v>
      </c>
      <c r="C171" s="36" t="s">
        <v>3263</v>
      </c>
      <c r="D171" s="63" t="s">
        <v>3251</v>
      </c>
      <c r="E171" s="37" t="str">
        <f>VLOOKUP(Table1[[#This Row],[TRUCK NO  ]],[1]Sheet2!$B:$E,4,0)</f>
        <v>OMARI SALIM KULUGIO</v>
      </c>
      <c r="F171" s="36" t="s">
        <v>2950</v>
      </c>
      <c r="G171" s="38" t="s">
        <v>3016</v>
      </c>
      <c r="H171" s="39" t="s">
        <v>2925</v>
      </c>
      <c r="I171" s="53">
        <v>1</v>
      </c>
    </row>
    <row r="172" spans="1:9" x14ac:dyDescent="0.3">
      <c r="A172" s="65">
        <v>171</v>
      </c>
      <c r="B172" s="35" t="s">
        <v>1384</v>
      </c>
      <c r="C172" s="36" t="s">
        <v>3264</v>
      </c>
      <c r="D172" s="63" t="s">
        <v>3251</v>
      </c>
      <c r="E172" s="37" t="str">
        <f>VLOOKUP(Table1[[#This Row],[TRUCK NO  ]],[1]Sheet2!$B:$E,4,0)</f>
        <v>EMANUEL AGRICOLA MKENDA</v>
      </c>
      <c r="F172" s="36" t="s">
        <v>2927</v>
      </c>
      <c r="G172" s="38" t="s">
        <v>3265</v>
      </c>
      <c r="H172" s="39" t="s">
        <v>2925</v>
      </c>
      <c r="I172" s="53">
        <v>3</v>
      </c>
    </row>
    <row r="173" spans="1:9" x14ac:dyDescent="0.3">
      <c r="A173" s="65">
        <v>172</v>
      </c>
      <c r="B173" s="35" t="s">
        <v>704</v>
      </c>
      <c r="C173" s="36" t="s">
        <v>3266</v>
      </c>
      <c r="D173" s="63" t="s">
        <v>3251</v>
      </c>
      <c r="E173" s="37" t="str">
        <f>VLOOKUP(Table1[[#This Row],[TRUCK NO  ]],[1]Sheet2!$B:$E,4,0)</f>
        <v>CHRISTIAN NKWELA MAPUNDA</v>
      </c>
      <c r="F173" s="36" t="s">
        <v>3267</v>
      </c>
      <c r="G173" s="38" t="s">
        <v>2937</v>
      </c>
      <c r="H173" s="39" t="s">
        <v>2925</v>
      </c>
      <c r="I173" s="53">
        <v>16</v>
      </c>
    </row>
    <row r="174" spans="1:9" x14ac:dyDescent="0.3">
      <c r="A174" s="65">
        <v>173</v>
      </c>
      <c r="B174" s="35" t="s">
        <v>1202</v>
      </c>
      <c r="C174" s="36" t="s">
        <v>3268</v>
      </c>
      <c r="D174" s="63" t="s">
        <v>3251</v>
      </c>
      <c r="E174" s="37" t="str">
        <f>VLOOKUP(Table1[[#This Row],[TRUCK NO  ]],[1]Sheet2!$B:$E,4,0)</f>
        <v>ZUBERI HATIBU MJAHIDI</v>
      </c>
      <c r="F174" s="36" t="s">
        <v>2923</v>
      </c>
      <c r="G174" s="38" t="s">
        <v>3269</v>
      </c>
      <c r="H174" s="39" t="s">
        <v>2925</v>
      </c>
      <c r="I174" s="53">
        <v>6</v>
      </c>
    </row>
    <row r="175" spans="1:9" x14ac:dyDescent="0.3">
      <c r="A175" s="65">
        <v>174</v>
      </c>
      <c r="B175" s="35" t="s">
        <v>2159</v>
      </c>
      <c r="C175" s="36" t="s">
        <v>3270</v>
      </c>
      <c r="D175" s="63" t="s">
        <v>3251</v>
      </c>
      <c r="E175" s="37" t="str">
        <f>VLOOKUP(Table1[[#This Row],[TRUCK NO  ]],[1]Sheet2!$B:$E,4,0)</f>
        <v>ABDALLAH HAMISI MKUMBO</v>
      </c>
      <c r="F175" s="36" t="s">
        <v>2950</v>
      </c>
      <c r="G175" s="38" t="s">
        <v>3271</v>
      </c>
      <c r="H175" s="39" t="s">
        <v>2925</v>
      </c>
      <c r="I175" s="53">
        <v>1</v>
      </c>
    </row>
    <row r="176" spans="1:9" x14ac:dyDescent="0.3">
      <c r="A176" s="65">
        <v>175</v>
      </c>
      <c r="B176" s="35" t="s">
        <v>868</v>
      </c>
      <c r="C176" s="36" t="s">
        <v>3272</v>
      </c>
      <c r="D176" s="63" t="s">
        <v>3251</v>
      </c>
      <c r="E176" s="37" t="str">
        <f>VLOOKUP(Table1[[#This Row],[TRUCK NO  ]],[1]Sheet2!$B:$E,4,0)</f>
        <v>REVOCATUS LAUREAN ANATORY</v>
      </c>
      <c r="F176" s="36" t="s">
        <v>2979</v>
      </c>
      <c r="G176" s="38" t="s">
        <v>3273</v>
      </c>
      <c r="H176" s="39" t="s">
        <v>2925</v>
      </c>
      <c r="I176" s="53">
        <v>4</v>
      </c>
    </row>
    <row r="177" spans="1:9" x14ac:dyDescent="0.3">
      <c r="A177" s="65">
        <v>176</v>
      </c>
      <c r="B177" s="35" t="s">
        <v>1666</v>
      </c>
      <c r="C177" s="36" t="s">
        <v>3274</v>
      </c>
      <c r="D177" s="63" t="s">
        <v>3251</v>
      </c>
      <c r="E177" s="37" t="str">
        <f>VLOOKUP(Table1[[#This Row],[TRUCK NO  ]],[1]Sheet2!$B:$E,4,0)</f>
        <v>JUMA SHUKURU JUMA</v>
      </c>
      <c r="F177" s="36" t="s">
        <v>3267</v>
      </c>
      <c r="G177" s="38" t="s">
        <v>3275</v>
      </c>
      <c r="H177" s="39" t="s">
        <v>2925</v>
      </c>
      <c r="I177" s="53">
        <v>2</v>
      </c>
    </row>
    <row r="178" spans="1:9" x14ac:dyDescent="0.3">
      <c r="A178" s="65">
        <v>177</v>
      </c>
      <c r="B178" s="35" t="s">
        <v>880</v>
      </c>
      <c r="C178" s="36" t="s">
        <v>3276</v>
      </c>
      <c r="D178" s="63" t="s">
        <v>3251</v>
      </c>
      <c r="E178" s="37" t="str">
        <f>VLOOKUP(Table1[[#This Row],[TRUCK NO  ]],[1]Sheet2!$B:$E,4,0)</f>
        <v xml:space="preserve">HUSSEIN MALIKI MTALY </v>
      </c>
      <c r="F178" s="36" t="s">
        <v>2969</v>
      </c>
      <c r="G178" s="38" t="s">
        <v>3277</v>
      </c>
      <c r="H178" s="39" t="s">
        <v>2925</v>
      </c>
      <c r="I178" s="53">
        <v>2</v>
      </c>
    </row>
    <row r="179" spans="1:9" x14ac:dyDescent="0.3">
      <c r="A179" s="65">
        <v>178</v>
      </c>
      <c r="B179" s="35" t="s">
        <v>27</v>
      </c>
      <c r="C179" s="36" t="s">
        <v>3278</v>
      </c>
      <c r="D179" s="63" t="s">
        <v>3279</v>
      </c>
      <c r="E179" s="37" t="str">
        <f>VLOOKUP(Table1[[#This Row],[TRUCK NO  ]],[1]Sheet2!$B:$E,4,0)</f>
        <v>ALPHONCE SIMO HORO</v>
      </c>
      <c r="F179" s="36" t="s">
        <v>2941</v>
      </c>
      <c r="G179" s="38" t="s">
        <v>3280</v>
      </c>
      <c r="H179" s="39" t="s">
        <v>2925</v>
      </c>
      <c r="I179" s="53">
        <v>10</v>
      </c>
    </row>
    <row r="180" spans="1:9" x14ac:dyDescent="0.3">
      <c r="A180" s="65">
        <v>179</v>
      </c>
      <c r="B180" s="35" t="s">
        <v>1525</v>
      </c>
      <c r="C180" s="36" t="s">
        <v>3281</v>
      </c>
      <c r="D180" s="63" t="s">
        <v>3279</v>
      </c>
      <c r="E180" s="37" t="str">
        <f>VLOOKUP(Table1[[#This Row],[TRUCK NO  ]],[1]Sheet2!$B:$E,4,0)</f>
        <v>JOSEPHAT MARO KEBURE</v>
      </c>
      <c r="F180" s="36" t="s">
        <v>3052</v>
      </c>
      <c r="G180" s="38" t="s">
        <v>2924</v>
      </c>
      <c r="H180" s="39" t="s">
        <v>2925</v>
      </c>
      <c r="I180" s="53">
        <v>8</v>
      </c>
    </row>
    <row r="181" spans="1:9" x14ac:dyDescent="0.3">
      <c r="A181" s="65">
        <v>180</v>
      </c>
      <c r="B181" s="35" t="s">
        <v>1316</v>
      </c>
      <c r="C181" s="36" t="s">
        <v>3282</v>
      </c>
      <c r="D181" s="63" t="s">
        <v>3279</v>
      </c>
      <c r="E181" s="37" t="str">
        <f>VLOOKUP(Table1[[#This Row],[TRUCK NO  ]],[1]Sheet2!$B:$E,4,0)</f>
        <v>JUMA JAFARI KASELE</v>
      </c>
      <c r="F181" s="36" t="s">
        <v>2927</v>
      </c>
      <c r="G181" s="38" t="s">
        <v>3283</v>
      </c>
      <c r="H181" s="39" t="s">
        <v>2925</v>
      </c>
      <c r="I181" s="53">
        <v>2</v>
      </c>
    </row>
    <row r="182" spans="1:9" x14ac:dyDescent="0.3">
      <c r="A182" s="65">
        <v>181</v>
      </c>
      <c r="B182" s="35" t="s">
        <v>704</v>
      </c>
      <c r="C182" s="36" t="s">
        <v>3284</v>
      </c>
      <c r="D182" s="63" t="s">
        <v>3279</v>
      </c>
      <c r="E182" s="37" t="str">
        <f>VLOOKUP(Table1[[#This Row],[TRUCK NO  ]],[1]Sheet2!$B:$E,4,0)</f>
        <v>CHRISTIAN NKWELA MAPUNDA</v>
      </c>
      <c r="F182" s="36" t="s">
        <v>3032</v>
      </c>
      <c r="G182" s="38" t="s">
        <v>2924</v>
      </c>
      <c r="H182" s="39" t="s">
        <v>2925</v>
      </c>
      <c r="I182" s="53">
        <v>15</v>
      </c>
    </row>
    <row r="183" spans="1:9" x14ac:dyDescent="0.3">
      <c r="A183" s="65">
        <v>182</v>
      </c>
      <c r="B183" s="35" t="s">
        <v>1059</v>
      </c>
      <c r="C183" s="36" t="s">
        <v>3285</v>
      </c>
      <c r="D183" s="63" t="s">
        <v>3279</v>
      </c>
      <c r="E183" s="37" t="str">
        <f>VLOOKUP(Table1[[#This Row],[TRUCK NO  ]],[1]Sheet2!$B:$E,4,0)</f>
        <v>ALLY RASHID SAID</v>
      </c>
      <c r="F183" s="36" t="s">
        <v>2927</v>
      </c>
      <c r="G183" s="38" t="s">
        <v>3286</v>
      </c>
      <c r="H183" s="39" t="s">
        <v>2925</v>
      </c>
      <c r="I183" s="53">
        <v>6</v>
      </c>
    </row>
    <row r="184" spans="1:9" x14ac:dyDescent="0.3">
      <c r="A184" s="65">
        <v>183</v>
      </c>
      <c r="B184" s="35" t="s">
        <v>102</v>
      </c>
      <c r="C184" s="36" t="s">
        <v>3287</v>
      </c>
      <c r="D184" s="63" t="s">
        <v>3288</v>
      </c>
      <c r="E184" s="37" t="str">
        <f>VLOOKUP(Table1[[#This Row],[TRUCK NO  ]],[1]Sheet2!$B:$E,4,0)</f>
        <v>SAIMON GEORGE KAAYA</v>
      </c>
      <c r="F184" s="36" t="s">
        <v>2927</v>
      </c>
      <c r="G184" s="38" t="s">
        <v>2924</v>
      </c>
      <c r="H184" s="39" t="s">
        <v>2925</v>
      </c>
      <c r="I184" s="53">
        <v>2</v>
      </c>
    </row>
    <row r="185" spans="1:9" x14ac:dyDescent="0.3">
      <c r="A185" s="65">
        <v>184</v>
      </c>
      <c r="B185" s="35" t="s">
        <v>644</v>
      </c>
      <c r="C185" s="36" t="s">
        <v>3289</v>
      </c>
      <c r="D185" s="63" t="s">
        <v>3288</v>
      </c>
      <c r="E185" s="37" t="str">
        <f>VLOOKUP(Table1[[#This Row],[TRUCK NO  ]],[1]Sheet2!$B:$E,4,0)</f>
        <v>BAKARI MOHAMED SAID</v>
      </c>
      <c r="F185" s="36" t="s">
        <v>2957</v>
      </c>
      <c r="G185" s="38" t="s">
        <v>3290</v>
      </c>
      <c r="H185" s="39" t="s">
        <v>2925</v>
      </c>
      <c r="I185" s="53">
        <v>1</v>
      </c>
    </row>
    <row r="186" spans="1:9" x14ac:dyDescent="0.3">
      <c r="A186" s="65">
        <v>185</v>
      </c>
      <c r="B186" s="35" t="s">
        <v>1683</v>
      </c>
      <c r="C186" s="36" t="s">
        <v>3291</v>
      </c>
      <c r="D186" s="63" t="s">
        <v>3288</v>
      </c>
      <c r="E186" s="37" t="str">
        <f>VLOOKUP(Table1[[#This Row],[TRUCK NO  ]],[1]Sheet2!$B:$E,4,0)</f>
        <v>YAHYA HASSANI ADAM</v>
      </c>
      <c r="F186" s="36" t="s">
        <v>2950</v>
      </c>
      <c r="G186" s="38" t="s">
        <v>3292</v>
      </c>
      <c r="H186" s="39" t="s">
        <v>2925</v>
      </c>
      <c r="I186" s="53">
        <v>2</v>
      </c>
    </row>
    <row r="187" spans="1:9" x14ac:dyDescent="0.3">
      <c r="A187" s="65">
        <v>186</v>
      </c>
      <c r="B187" s="35" t="s">
        <v>27</v>
      </c>
      <c r="C187" s="36" t="s">
        <v>3293</v>
      </c>
      <c r="D187" s="63" t="s">
        <v>3288</v>
      </c>
      <c r="E187" s="37" t="str">
        <f>VLOOKUP(Table1[[#This Row],[TRUCK NO  ]],[1]Sheet2!$B:$E,4,0)</f>
        <v>ALPHONCE SIMO HORO</v>
      </c>
      <c r="F187" s="36" t="s">
        <v>3052</v>
      </c>
      <c r="G187" s="38" t="s">
        <v>3204</v>
      </c>
      <c r="H187" s="39" t="s">
        <v>2925</v>
      </c>
      <c r="I187" s="53">
        <v>20</v>
      </c>
    </row>
    <row r="188" spans="1:9" x14ac:dyDescent="0.3">
      <c r="A188" s="65">
        <v>187</v>
      </c>
      <c r="B188" s="35" t="s">
        <v>1700</v>
      </c>
      <c r="C188" s="36" t="s">
        <v>3294</v>
      </c>
      <c r="D188" s="63" t="s">
        <v>3288</v>
      </c>
      <c r="E188" s="37" t="str">
        <f>VLOOKUP(Table1[[#This Row],[TRUCK NO  ]],[1]Sheet2!$B:$E,4,0)</f>
        <v>MARTIN ANTHONI SANGA</v>
      </c>
      <c r="F188" s="36" t="s">
        <v>2927</v>
      </c>
      <c r="G188" s="38" t="s">
        <v>3295</v>
      </c>
      <c r="H188" s="39" t="s">
        <v>2925</v>
      </c>
      <c r="I188" s="53">
        <v>1</v>
      </c>
    </row>
    <row r="189" spans="1:9" x14ac:dyDescent="0.3">
      <c r="A189" s="65">
        <v>188</v>
      </c>
      <c r="B189" s="35" t="s">
        <v>1059</v>
      </c>
      <c r="C189" s="36" t="s">
        <v>3296</v>
      </c>
      <c r="D189" s="63" t="s">
        <v>3288</v>
      </c>
      <c r="E189" s="37" t="str">
        <f>VLOOKUP(Table1[[#This Row],[TRUCK NO  ]],[1]Sheet2!$B:$E,4,0)</f>
        <v>ALLY RASHID SAID</v>
      </c>
      <c r="F189" s="36" t="s">
        <v>2986</v>
      </c>
      <c r="G189" s="38" t="s">
        <v>3297</v>
      </c>
      <c r="H189" s="39" t="s">
        <v>2925</v>
      </c>
      <c r="I189" s="53">
        <v>22</v>
      </c>
    </row>
    <row r="190" spans="1:9" x14ac:dyDescent="0.3">
      <c r="A190" s="65">
        <v>189</v>
      </c>
      <c r="B190" s="35" t="s">
        <v>1666</v>
      </c>
      <c r="C190" s="36" t="s">
        <v>3298</v>
      </c>
      <c r="D190" s="63" t="s">
        <v>3299</v>
      </c>
      <c r="E190" s="37" t="str">
        <f>VLOOKUP(Table1[[#This Row],[TRUCK NO  ]],[1]Sheet2!$B:$E,4,0)</f>
        <v>JUMA SHUKURU JUMA</v>
      </c>
      <c r="F190" s="36" t="s">
        <v>3052</v>
      </c>
      <c r="G190" s="38" t="s">
        <v>3300</v>
      </c>
      <c r="H190" s="39" t="s">
        <v>2925</v>
      </c>
      <c r="I190" s="53">
        <v>14</v>
      </c>
    </row>
    <row r="191" spans="1:9" x14ac:dyDescent="0.3">
      <c r="A191" s="65">
        <v>190</v>
      </c>
      <c r="B191" s="35" t="s">
        <v>105</v>
      </c>
      <c r="C191" s="36" t="s">
        <v>3301</v>
      </c>
      <c r="D191" s="63" t="s">
        <v>3302</v>
      </c>
      <c r="E191" s="37" t="str">
        <f>VLOOKUP(Table1[[#This Row],[TRUCK NO  ]],[1]Sheet2!$B:$E,4,0)</f>
        <v>KITENGU HAMISI KITENGU</v>
      </c>
      <c r="F191" s="36" t="s">
        <v>3303</v>
      </c>
      <c r="G191" s="38" t="s">
        <v>3304</v>
      </c>
      <c r="H191" s="39" t="s">
        <v>2925</v>
      </c>
      <c r="I191" s="53">
        <v>7</v>
      </c>
    </row>
    <row r="192" spans="1:9" x14ac:dyDescent="0.3">
      <c r="A192" s="65">
        <v>191</v>
      </c>
      <c r="B192" s="35" t="s">
        <v>502</v>
      </c>
      <c r="C192" s="36" t="s">
        <v>3305</v>
      </c>
      <c r="D192" s="63" t="s">
        <v>3302</v>
      </c>
      <c r="E192" s="37" t="str">
        <f>VLOOKUP(Table1[[#This Row],[TRUCK NO  ]],[1]Sheet2!$B:$E,4,0)</f>
        <v>ISAYA MSHUKURU MMBANDO</v>
      </c>
      <c r="F192" s="36" t="s">
        <v>2957</v>
      </c>
      <c r="G192" s="38" t="s">
        <v>3019</v>
      </c>
      <c r="H192" s="39" t="s">
        <v>2925</v>
      </c>
      <c r="I192" s="53">
        <v>1</v>
      </c>
    </row>
    <row r="193" spans="1:9" x14ac:dyDescent="0.3">
      <c r="A193" s="65">
        <v>192</v>
      </c>
      <c r="B193" s="35" t="s">
        <v>1683</v>
      </c>
      <c r="C193" s="36" t="s">
        <v>3306</v>
      </c>
      <c r="D193" s="63" t="s">
        <v>3302</v>
      </c>
      <c r="E193" s="37" t="str">
        <f>VLOOKUP(Table1[[#This Row],[TRUCK NO  ]],[1]Sheet2!$B:$E,4,0)</f>
        <v>YAHYA HASSANI ADAM</v>
      </c>
      <c r="F193" s="36" t="s">
        <v>2957</v>
      </c>
      <c r="G193" s="38" t="s">
        <v>3307</v>
      </c>
      <c r="H193" s="39" t="s">
        <v>2925</v>
      </c>
      <c r="I193" s="53">
        <v>1</v>
      </c>
    </row>
    <row r="194" spans="1:9" x14ac:dyDescent="0.3">
      <c r="A194" s="65">
        <v>193</v>
      </c>
      <c r="B194" s="35" t="s">
        <v>31</v>
      </c>
      <c r="C194" s="36" t="s">
        <v>3308</v>
      </c>
      <c r="D194" s="63" t="s">
        <v>3302</v>
      </c>
      <c r="E194" s="37" t="str">
        <f>VLOOKUP(Table1[[#This Row],[TRUCK NO  ]],[1]Sheet2!$B:$E,4,0)</f>
        <v>TWAHIR RASHID MSAKA</v>
      </c>
      <c r="F194" s="36" t="s">
        <v>2969</v>
      </c>
      <c r="G194" s="38" t="s">
        <v>2942</v>
      </c>
      <c r="H194" s="39" t="s">
        <v>2925</v>
      </c>
      <c r="I194" s="53">
        <v>1</v>
      </c>
    </row>
    <row r="195" spans="1:9" x14ac:dyDescent="0.3">
      <c r="A195" s="65">
        <v>194</v>
      </c>
      <c r="B195" s="35" t="s">
        <v>626</v>
      </c>
      <c r="C195" s="36" t="s">
        <v>3309</v>
      </c>
      <c r="D195" s="63" t="s">
        <v>3302</v>
      </c>
      <c r="E195" s="37" t="str">
        <f>VLOOKUP(Table1[[#This Row],[TRUCK NO  ]],[1]Sheet2!$B:$E,4,0)</f>
        <v>LUSEKELO JEREMIA MWAMBETE</v>
      </c>
      <c r="F195" s="36" t="s">
        <v>3052</v>
      </c>
      <c r="G195" s="38" t="s">
        <v>3036</v>
      </c>
      <c r="H195" s="39" t="s">
        <v>2925</v>
      </c>
      <c r="I195" s="53">
        <v>4</v>
      </c>
    </row>
    <row r="196" spans="1:9" x14ac:dyDescent="0.3">
      <c r="A196" s="65">
        <v>195</v>
      </c>
      <c r="B196" s="35" t="s">
        <v>2874</v>
      </c>
      <c r="C196" s="36" t="s">
        <v>3310</v>
      </c>
      <c r="D196" s="63" t="s">
        <v>3311</v>
      </c>
      <c r="E196" s="37" t="str">
        <f>VLOOKUP(Table1[[#This Row],[TRUCK NO  ]],[1]Sheet2!$B:$E,4,0)</f>
        <v>ABDUL NASSORO SELEMANI</v>
      </c>
      <c r="F196" s="36" t="s">
        <v>2986</v>
      </c>
      <c r="G196" s="38" t="s">
        <v>3312</v>
      </c>
      <c r="H196" s="39" t="s">
        <v>2925</v>
      </c>
      <c r="I196" s="53">
        <v>4</v>
      </c>
    </row>
    <row r="197" spans="1:9" x14ac:dyDescent="0.3">
      <c r="A197" s="65">
        <v>196</v>
      </c>
      <c r="B197" s="35" t="s">
        <v>2074</v>
      </c>
      <c r="C197" s="36" t="s">
        <v>3313</v>
      </c>
      <c r="D197" s="63" t="s">
        <v>3311</v>
      </c>
      <c r="E197" s="37" t="str">
        <f>VLOOKUP(Table1[[#This Row],[TRUCK NO  ]],[1]Sheet2!$B:$E,4,0)</f>
        <v>STEVEN OCTAVIAN MILANZI</v>
      </c>
      <c r="F197" s="36" t="s">
        <v>3261</v>
      </c>
      <c r="G197" s="38" t="s">
        <v>3314</v>
      </c>
      <c r="H197" s="39" t="s">
        <v>2925</v>
      </c>
      <c r="I197" s="53">
        <v>1</v>
      </c>
    </row>
    <row r="198" spans="1:9" x14ac:dyDescent="0.3">
      <c r="A198" s="65">
        <v>197</v>
      </c>
      <c r="B198" s="35" t="s">
        <v>1525</v>
      </c>
      <c r="C198" s="36" t="s">
        <v>3315</v>
      </c>
      <c r="D198" s="63" t="s">
        <v>3311</v>
      </c>
      <c r="E198" s="37" t="str">
        <f>VLOOKUP(Table1[[#This Row],[TRUCK NO  ]],[1]Sheet2!$B:$E,4,0)</f>
        <v>JOSEPHAT MARO KEBURE</v>
      </c>
      <c r="F198" s="36" t="s">
        <v>2964</v>
      </c>
      <c r="G198" s="38" t="s">
        <v>3316</v>
      </c>
      <c r="H198" s="39" t="s">
        <v>2925</v>
      </c>
      <c r="I198" s="53">
        <v>1</v>
      </c>
    </row>
    <row r="199" spans="1:9" x14ac:dyDescent="0.3">
      <c r="A199" s="65">
        <v>198</v>
      </c>
      <c r="B199" s="35" t="s">
        <v>42</v>
      </c>
      <c r="C199" s="36" t="s">
        <v>3317</v>
      </c>
      <c r="D199" s="63" t="s">
        <v>3311</v>
      </c>
      <c r="E199" s="37" t="str">
        <f>VLOOKUP(Table1[[#This Row],[TRUCK NO  ]],[1]Sheet2!$B:$E,4,0)</f>
        <v>OTHUMAN SALUM MSIKA</v>
      </c>
      <c r="F199" s="36" t="s">
        <v>2944</v>
      </c>
      <c r="G199" s="38" t="s">
        <v>3318</v>
      </c>
      <c r="H199" s="39" t="s">
        <v>2925</v>
      </c>
      <c r="I199" s="53">
        <v>2</v>
      </c>
    </row>
    <row r="200" spans="1:9" x14ac:dyDescent="0.3">
      <c r="A200" s="65">
        <v>199</v>
      </c>
      <c r="B200" s="35" t="s">
        <v>1202</v>
      </c>
      <c r="C200" s="36" t="s">
        <v>3319</v>
      </c>
      <c r="D200" s="63" t="s">
        <v>3311</v>
      </c>
      <c r="E200" s="37" t="str">
        <f>VLOOKUP(Table1[[#This Row],[TRUCK NO  ]],[1]Sheet2!$B:$E,4,0)</f>
        <v>ZUBERI HATIBU MJAHIDI</v>
      </c>
      <c r="F200" s="36" t="s">
        <v>2944</v>
      </c>
      <c r="G200" s="38" t="s">
        <v>3320</v>
      </c>
      <c r="H200" s="39" t="s">
        <v>2925</v>
      </c>
      <c r="I200" s="53">
        <v>4</v>
      </c>
    </row>
    <row r="201" spans="1:9" x14ac:dyDescent="0.3">
      <c r="A201" s="65">
        <v>200</v>
      </c>
      <c r="B201" s="35" t="s">
        <v>606</v>
      </c>
      <c r="C201" s="36" t="s">
        <v>3321</v>
      </c>
      <c r="D201" s="63" t="s">
        <v>3311</v>
      </c>
      <c r="E201" s="37" t="str">
        <f>VLOOKUP(Table1[[#This Row],[TRUCK NO  ]],[1]Sheet2!$B:$E,4,0)</f>
        <v>HAFIDHI ABDALLAH NASSIR</v>
      </c>
      <c r="F201" s="36" t="s">
        <v>2964</v>
      </c>
      <c r="G201" s="38" t="s">
        <v>3322</v>
      </c>
      <c r="H201" s="39" t="s">
        <v>2925</v>
      </c>
      <c r="I201" s="53">
        <v>1</v>
      </c>
    </row>
    <row r="202" spans="1:9" x14ac:dyDescent="0.3">
      <c r="A202" s="65">
        <v>201</v>
      </c>
      <c r="B202" s="35" t="s">
        <v>42</v>
      </c>
      <c r="C202" s="36" t="s">
        <v>3323</v>
      </c>
      <c r="D202" s="63" t="s">
        <v>3324</v>
      </c>
      <c r="E202" s="37" t="str">
        <f>VLOOKUP(Table1[[#This Row],[TRUCK NO  ]],[1]Sheet2!$B:$E,4,0)</f>
        <v>OTHUMAN SALUM MSIKA</v>
      </c>
      <c r="F202" s="36" t="s">
        <v>2972</v>
      </c>
      <c r="G202" s="38" t="s">
        <v>3325</v>
      </c>
      <c r="H202" s="39" t="s">
        <v>2925</v>
      </c>
      <c r="I202" s="53">
        <v>10</v>
      </c>
    </row>
    <row r="203" spans="1:9" x14ac:dyDescent="0.3">
      <c r="A203" s="65">
        <v>202</v>
      </c>
      <c r="B203" s="35" t="s">
        <v>35</v>
      </c>
      <c r="C203" s="36" t="s">
        <v>3326</v>
      </c>
      <c r="D203" s="63" t="s">
        <v>3324</v>
      </c>
      <c r="E203" s="37" t="str">
        <f>VLOOKUP(Table1[[#This Row],[TRUCK NO  ]],[1]Sheet2!$B:$E,4,0)</f>
        <v>MICHAEL BONIVENTURA SHANGO</v>
      </c>
      <c r="F203" s="36" t="s">
        <v>2950</v>
      </c>
      <c r="G203" s="38" t="s">
        <v>3327</v>
      </c>
      <c r="H203" s="39" t="s">
        <v>2925</v>
      </c>
      <c r="I203" s="53">
        <v>4</v>
      </c>
    </row>
    <row r="204" spans="1:9" x14ac:dyDescent="0.3">
      <c r="A204" s="65">
        <v>203</v>
      </c>
      <c r="B204" s="35" t="s">
        <v>1631</v>
      </c>
      <c r="C204" s="36" t="s">
        <v>3328</v>
      </c>
      <c r="D204" s="63" t="s">
        <v>3324</v>
      </c>
      <c r="E204" s="37" t="str">
        <f>VLOOKUP(Table1[[#This Row],[TRUCK NO  ]],[1]Sheet2!$B:$E,4,0)</f>
        <v>KASSIM ATHUMAN RASHID</v>
      </c>
      <c r="F204" s="36" t="s">
        <v>2944</v>
      </c>
      <c r="G204" s="38" t="s">
        <v>3329</v>
      </c>
      <c r="H204" s="39" t="s">
        <v>2925</v>
      </c>
      <c r="I204" s="53">
        <v>2</v>
      </c>
    </row>
    <row r="205" spans="1:9" x14ac:dyDescent="0.3">
      <c r="A205" s="65">
        <v>204</v>
      </c>
      <c r="B205" s="35" t="s">
        <v>1202</v>
      </c>
      <c r="C205" s="36" t="s">
        <v>3330</v>
      </c>
      <c r="D205" s="63" t="s">
        <v>3324</v>
      </c>
      <c r="E205" s="37" t="str">
        <f>VLOOKUP(Table1[[#This Row],[TRUCK NO  ]],[1]Sheet2!$B:$E,4,0)</f>
        <v>ZUBERI HATIBU MJAHIDI</v>
      </c>
      <c r="F205" s="36" t="s">
        <v>2969</v>
      </c>
      <c r="G205" s="38" t="s">
        <v>2942</v>
      </c>
      <c r="H205" s="39" t="s">
        <v>2925</v>
      </c>
      <c r="I205" s="53">
        <v>4</v>
      </c>
    </row>
    <row r="206" spans="1:9" x14ac:dyDescent="0.3">
      <c r="A206" s="65">
        <v>205</v>
      </c>
      <c r="B206" s="35" t="s">
        <v>1054</v>
      </c>
      <c r="C206" s="36" t="s">
        <v>3331</v>
      </c>
      <c r="D206" s="63" t="s">
        <v>3324</v>
      </c>
      <c r="E206" s="37" t="str">
        <f>VLOOKUP(Table1[[#This Row],[TRUCK NO  ]],[1]Sheet2!$B:$E,4,0)</f>
        <v>KHALFANI EMMANUEL MUHIGI</v>
      </c>
      <c r="F206" s="36" t="s">
        <v>2936</v>
      </c>
      <c r="G206" s="38" t="s">
        <v>3332</v>
      </c>
      <c r="H206" s="39" t="s">
        <v>2925</v>
      </c>
      <c r="I206" s="53">
        <v>3</v>
      </c>
    </row>
    <row r="207" spans="1:9" x14ac:dyDescent="0.3">
      <c r="A207" s="65">
        <v>206</v>
      </c>
      <c r="B207" s="35" t="s">
        <v>38</v>
      </c>
      <c r="C207" s="36" t="s">
        <v>3333</v>
      </c>
      <c r="D207" s="63" t="s">
        <v>3324</v>
      </c>
      <c r="E207" s="37" t="str">
        <f>VLOOKUP(Table1[[#This Row],[TRUCK NO  ]],[1]Sheet2!$B:$E,4,0)</f>
        <v>GODFREY FRANK MBOJA</v>
      </c>
      <c r="F207" s="36" t="s">
        <v>2941</v>
      </c>
      <c r="G207" s="38" t="s">
        <v>3334</v>
      </c>
      <c r="H207" s="39" t="s">
        <v>2925</v>
      </c>
      <c r="I207" s="53">
        <v>1</v>
      </c>
    </row>
    <row r="208" spans="1:9" x14ac:dyDescent="0.3">
      <c r="A208" s="65">
        <v>207</v>
      </c>
      <c r="B208" s="35" t="s">
        <v>39</v>
      </c>
      <c r="C208" s="36" t="s">
        <v>3335</v>
      </c>
      <c r="D208" s="63" t="s">
        <v>13</v>
      </c>
      <c r="E208" s="37" t="str">
        <f>VLOOKUP(Table1[[#This Row],[TRUCK NO  ]],[1]Sheet2!$B:$E,4,0)</f>
        <v>SEIF SAID MOHAMED</v>
      </c>
      <c r="F208" s="36" t="s">
        <v>2927</v>
      </c>
      <c r="G208" s="38" t="s">
        <v>3036</v>
      </c>
      <c r="H208" s="39" t="s">
        <v>2925</v>
      </c>
      <c r="I208" s="53">
        <v>1</v>
      </c>
    </row>
    <row r="209" spans="1:9" x14ac:dyDescent="0.3">
      <c r="A209" s="65">
        <v>208</v>
      </c>
      <c r="B209" s="35" t="s">
        <v>27</v>
      </c>
      <c r="C209" s="36" t="s">
        <v>3336</v>
      </c>
      <c r="D209" s="63" t="s">
        <v>13</v>
      </c>
      <c r="E209" s="37" t="str">
        <f>VLOOKUP(Table1[[#This Row],[TRUCK NO  ]],[1]Sheet2!$B:$E,4,0)</f>
        <v>ALPHONCE SIMO HORO</v>
      </c>
      <c r="F209" s="36" t="s">
        <v>2944</v>
      </c>
      <c r="G209" s="38" t="s">
        <v>3337</v>
      </c>
      <c r="H209" s="39" t="s">
        <v>2925</v>
      </c>
      <c r="I209" s="53">
        <v>11</v>
      </c>
    </row>
    <row r="210" spans="1:9" x14ac:dyDescent="0.3">
      <c r="A210" s="65">
        <v>209</v>
      </c>
      <c r="B210" s="35" t="s">
        <v>42</v>
      </c>
      <c r="C210" s="36" t="s">
        <v>3338</v>
      </c>
      <c r="D210" s="63" t="s">
        <v>13</v>
      </c>
      <c r="E210" s="37" t="str">
        <f>VLOOKUP(Table1[[#This Row],[TRUCK NO  ]],[1]Sheet2!$B:$E,4,0)</f>
        <v>OTHUMAN SALUM MSIKA</v>
      </c>
      <c r="F210" s="36" t="s">
        <v>2964</v>
      </c>
      <c r="G210" s="38" t="s">
        <v>3339</v>
      </c>
      <c r="H210" s="39" t="s">
        <v>2925</v>
      </c>
      <c r="I210" s="53">
        <v>1</v>
      </c>
    </row>
    <row r="211" spans="1:9" x14ac:dyDescent="0.3">
      <c r="A211" s="65">
        <v>210</v>
      </c>
      <c r="B211" s="35" t="s">
        <v>35</v>
      </c>
      <c r="C211" s="36" t="s">
        <v>3340</v>
      </c>
      <c r="D211" s="63" t="s">
        <v>13</v>
      </c>
      <c r="E211" s="37" t="str">
        <f>VLOOKUP(Table1[[#This Row],[TRUCK NO  ]],[1]Sheet2!$B:$E,4,0)</f>
        <v>MICHAEL BONIVENTURA SHANGO</v>
      </c>
      <c r="F211" s="36" t="s">
        <v>2957</v>
      </c>
      <c r="G211" s="38" t="s">
        <v>3341</v>
      </c>
      <c r="H211" s="39" t="s">
        <v>2925</v>
      </c>
      <c r="I211" s="53">
        <v>1</v>
      </c>
    </row>
    <row r="212" spans="1:9" x14ac:dyDescent="0.3">
      <c r="A212" s="65">
        <v>211</v>
      </c>
      <c r="B212" s="35" t="s">
        <v>37</v>
      </c>
      <c r="C212" s="36" t="s">
        <v>3342</v>
      </c>
      <c r="D212" s="63" t="s">
        <v>13</v>
      </c>
      <c r="E212" s="37" t="str">
        <f>VLOOKUP(Table1[[#This Row],[TRUCK NO  ]],[1]Sheet2!$B:$E,4,0)</f>
        <v>ATHUMANI IDDY MOHAMEDY</v>
      </c>
      <c r="F212" s="36" t="s">
        <v>2927</v>
      </c>
      <c r="G212" s="38" t="s">
        <v>3036</v>
      </c>
      <c r="H212" s="39" t="s">
        <v>2925</v>
      </c>
      <c r="I212" s="53">
        <v>1</v>
      </c>
    </row>
    <row r="213" spans="1:9" x14ac:dyDescent="0.3">
      <c r="A213" s="65">
        <v>212</v>
      </c>
      <c r="B213" s="35" t="s">
        <v>48</v>
      </c>
      <c r="C213" s="36" t="s">
        <v>3343</v>
      </c>
      <c r="D213" s="63" t="s">
        <v>13</v>
      </c>
      <c r="E213" s="37" t="str">
        <f>VLOOKUP(Table1[[#This Row],[TRUCK NO  ]],[1]Sheet2!$B:$E,4,0)</f>
        <v>MIKIDADI RASHIDI MGEZA</v>
      </c>
      <c r="F213" s="36" t="s">
        <v>2936</v>
      </c>
      <c r="G213" s="38" t="s">
        <v>3344</v>
      </c>
      <c r="H213" s="39" t="s">
        <v>2925</v>
      </c>
      <c r="I213" s="53">
        <v>1</v>
      </c>
    </row>
    <row r="214" spans="1:9" x14ac:dyDescent="0.3">
      <c r="A214" s="65">
        <v>213</v>
      </c>
      <c r="B214" s="35" t="s">
        <v>50</v>
      </c>
      <c r="C214" s="36" t="s">
        <v>3345</v>
      </c>
      <c r="D214" s="63" t="s">
        <v>13</v>
      </c>
      <c r="E214" s="37" t="str">
        <f>VLOOKUP(Table1[[#This Row],[TRUCK NO  ]],[1]Sheet2!$B:$E,4,0)</f>
        <v>ABILLAH BAKARI MHINA</v>
      </c>
      <c r="F214" s="36" t="s">
        <v>2957</v>
      </c>
      <c r="G214" s="38" t="s">
        <v>3036</v>
      </c>
      <c r="H214" s="39" t="s">
        <v>2925</v>
      </c>
      <c r="I214" s="53">
        <v>1</v>
      </c>
    </row>
    <row r="215" spans="1:9" x14ac:dyDescent="0.3">
      <c r="A215" s="65">
        <v>214</v>
      </c>
      <c r="B215" s="35" t="s">
        <v>31</v>
      </c>
      <c r="C215" s="36" t="s">
        <v>3346</v>
      </c>
      <c r="D215" s="63" t="s">
        <v>13</v>
      </c>
      <c r="E215" s="37" t="str">
        <f>VLOOKUP(Table1[[#This Row],[TRUCK NO  ]],[1]Sheet2!$B:$E,4,0)</f>
        <v>TWAHIR RASHID MSAKA</v>
      </c>
      <c r="F215" s="36" t="s">
        <v>2957</v>
      </c>
      <c r="G215" s="38" t="s">
        <v>3337</v>
      </c>
      <c r="H215" s="39" t="s">
        <v>2925</v>
      </c>
      <c r="I215" s="53">
        <v>1</v>
      </c>
    </row>
    <row r="216" spans="1:9" x14ac:dyDescent="0.3">
      <c r="A216" s="65">
        <v>215</v>
      </c>
      <c r="B216" s="35" t="s">
        <v>38</v>
      </c>
      <c r="C216" s="36" t="s">
        <v>3347</v>
      </c>
      <c r="D216" s="63" t="s">
        <v>13</v>
      </c>
      <c r="E216" s="37" t="str">
        <f>VLOOKUP(Table1[[#This Row],[TRUCK NO  ]],[1]Sheet2!$B:$E,4,0)</f>
        <v>GODFREY FRANK MBOJA</v>
      </c>
      <c r="F216" s="36" t="s">
        <v>2944</v>
      </c>
      <c r="G216" s="38" t="s">
        <v>3131</v>
      </c>
      <c r="H216" s="39" t="s">
        <v>2925</v>
      </c>
      <c r="I216" s="53">
        <v>4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1"/>
  <sheetViews>
    <sheetView workbookViewId="0">
      <pane ySplit="1" topLeftCell="A70" activePane="bottomLeft" state="frozen"/>
      <selection pane="bottomLeft" activeCell="B87" sqref="B87:D91"/>
    </sheetView>
  </sheetViews>
  <sheetFormatPr defaultRowHeight="14.4" x14ac:dyDescent="0.3"/>
  <cols>
    <col min="1" max="1" width="10.6640625" style="3" bestFit="1" customWidth="1"/>
    <col min="2" max="2" width="23.6640625" bestFit="1" customWidth="1"/>
    <col min="3" max="3" width="17.88671875" bestFit="1" customWidth="1"/>
    <col min="4" max="4" width="9.5546875" bestFit="1" customWidth="1"/>
    <col min="5" max="5" width="14.33203125" style="71" bestFit="1" customWidth="1"/>
    <col min="6" max="6" width="8.77734375" style="68" customWidth="1"/>
    <col min="7" max="7" width="38.109375" bestFit="1" customWidth="1"/>
    <col min="8" max="8" width="14.33203125" style="59" bestFit="1" customWidth="1"/>
    <col min="9" max="9" width="38.109375" bestFit="1" customWidth="1"/>
    <col min="10" max="10" width="10.33203125" style="56" bestFit="1" customWidth="1"/>
    <col min="11" max="11" width="9.77734375" style="11" bestFit="1" customWidth="1"/>
    <col min="12" max="12" width="21.44140625" bestFit="1" customWidth="1"/>
  </cols>
  <sheetData>
    <row r="1" spans="1:12" s="20" customFormat="1" ht="25.8" customHeight="1" x14ac:dyDescent="0.25">
      <c r="A1" s="26" t="s">
        <v>3348</v>
      </c>
      <c r="B1" s="23" t="s">
        <v>3349</v>
      </c>
      <c r="C1" s="23" t="s">
        <v>3350</v>
      </c>
      <c r="D1" s="23" t="s">
        <v>3351</v>
      </c>
      <c r="E1" s="69" t="s">
        <v>3352</v>
      </c>
      <c r="F1" s="66" t="s">
        <v>11</v>
      </c>
      <c r="G1" s="23" t="s">
        <v>3353</v>
      </c>
      <c r="H1" s="69" t="s">
        <v>3354</v>
      </c>
      <c r="I1" s="23" t="s">
        <v>3355</v>
      </c>
      <c r="J1" s="66" t="s">
        <v>3356</v>
      </c>
      <c r="K1" s="24" t="s">
        <v>3357</v>
      </c>
      <c r="L1" s="25" t="s">
        <v>3358</v>
      </c>
    </row>
    <row r="2" spans="1:12" x14ac:dyDescent="0.3">
      <c r="A2" s="27" t="s">
        <v>1612</v>
      </c>
      <c r="B2" s="21" t="str">
        <f>VLOOKUP(Table4[[#This Row],[Vehicle no]],[1]Sheet2!$B:$J,4,0)</f>
        <v>SHUKURU MARTIN SANGA</v>
      </c>
      <c r="C2" s="21" t="str">
        <f>VLOOKUP(Table4[[#This Row],[Vehicle no]],[1]Sheet2!$B:$J,9,0)</f>
        <v>IRENE SHIJA</v>
      </c>
      <c r="D2" s="21" t="str">
        <f>VLOOKUP(Table4[[#This Row],[Vehicle no]],[1]Sheet2!$B:$J,8,0)</f>
        <v>116-410-346</v>
      </c>
      <c r="E2" s="70">
        <v>46054.231076388889</v>
      </c>
      <c r="F2" s="67" t="s">
        <v>82</v>
      </c>
      <c r="G2" s="21" t="s">
        <v>1868</v>
      </c>
      <c r="H2" s="70">
        <v>46054.293981481482</v>
      </c>
      <c r="I2" s="21" t="s">
        <v>3359</v>
      </c>
      <c r="J2" s="67" t="s">
        <v>3360</v>
      </c>
      <c r="K2" s="22" t="s">
        <v>3361</v>
      </c>
      <c r="L2" s="28" t="s">
        <v>2</v>
      </c>
    </row>
    <row r="3" spans="1:12" x14ac:dyDescent="0.3">
      <c r="A3" s="27" t="s">
        <v>149</v>
      </c>
      <c r="B3" s="21" t="str">
        <f>VLOOKUP(Table4[[#This Row],[Vehicle no]],[1]Sheet2!$B:$J,4,0)</f>
        <v>AMINI JUMA AHMADI</v>
      </c>
      <c r="C3" s="21" t="str">
        <f>VLOOKUP(Table4[[#This Row],[Vehicle no]],[1]Sheet2!$B:$J,9,0)</f>
        <v>LUSAJO KASUNGA</v>
      </c>
      <c r="D3" s="21" t="str">
        <f>VLOOKUP(Table4[[#This Row],[Vehicle no]],[1]Sheet2!$B:$J,8,0)</f>
        <v>131-255675</v>
      </c>
      <c r="E3" s="70">
        <v>46054.232685185183</v>
      </c>
      <c r="F3" s="67" t="s">
        <v>82</v>
      </c>
      <c r="G3" s="21" t="s">
        <v>3362</v>
      </c>
      <c r="H3" s="70">
        <v>46054.378078703703</v>
      </c>
      <c r="I3" s="21" t="s">
        <v>151</v>
      </c>
      <c r="J3" s="67" t="s">
        <v>3363</v>
      </c>
      <c r="K3" s="22" t="s">
        <v>3364</v>
      </c>
      <c r="L3" s="28" t="s">
        <v>2</v>
      </c>
    </row>
    <row r="4" spans="1:12" x14ac:dyDescent="0.3">
      <c r="A4" s="27" t="s">
        <v>1531</v>
      </c>
      <c r="B4" s="21" t="str">
        <f>VLOOKUP(Table4[[#This Row],[Vehicle no]],[1]Sheet2!$B:$J,4,0)</f>
        <v>JAMES RASHIDI GWAU</v>
      </c>
      <c r="C4" s="21" t="str">
        <f>VLOOKUP(Table4[[#This Row],[Vehicle no]],[1]Sheet2!$B:$J,9,0)</f>
        <v>Martha GOLODI</v>
      </c>
      <c r="D4" s="21">
        <f>VLOOKUP(Table4[[#This Row],[Vehicle no]],[1]Sheet2!$B:$J,8,0)</f>
        <v>0</v>
      </c>
      <c r="E4" s="70">
        <v>46054.233067129629</v>
      </c>
      <c r="F4" s="67" t="s">
        <v>82</v>
      </c>
      <c r="G4" s="21" t="s">
        <v>3362</v>
      </c>
      <c r="H4" s="70">
        <v>46054.385474537034</v>
      </c>
      <c r="I4" s="21" t="s">
        <v>151</v>
      </c>
      <c r="J4" s="67" t="s">
        <v>3365</v>
      </c>
      <c r="K4" s="22" t="s">
        <v>3366</v>
      </c>
      <c r="L4" s="28" t="s">
        <v>2</v>
      </c>
    </row>
    <row r="5" spans="1:12" x14ac:dyDescent="0.3">
      <c r="A5" s="27" t="s">
        <v>246</v>
      </c>
      <c r="B5" s="21" t="str">
        <f>VLOOKUP(Table4[[#This Row],[Vehicle no]],[1]Sheet2!$B:$J,4,0)</f>
        <v>HAMIS BUNDALA IZINA</v>
      </c>
      <c r="C5" s="21" t="str">
        <f>VLOOKUP(Table4[[#This Row],[Vehicle no]],[1]Sheet2!$B:$J,9,0)</f>
        <v>PLASDUS MAHUMBA</v>
      </c>
      <c r="D5" s="21" t="str">
        <f>VLOOKUP(Table4[[#This Row],[Vehicle no]],[1]Sheet2!$B:$J,8,0)</f>
        <v>115-917-447</v>
      </c>
      <c r="E5" s="70">
        <v>46054.216689814813</v>
      </c>
      <c r="F5" s="67" t="s">
        <v>82</v>
      </c>
      <c r="G5" s="21" t="s">
        <v>553</v>
      </c>
      <c r="H5" s="70">
        <v>46054.297905092593</v>
      </c>
      <c r="I5" s="21" t="s">
        <v>3367</v>
      </c>
      <c r="J5" s="67" t="s">
        <v>3368</v>
      </c>
      <c r="K5" s="22" t="s">
        <v>3369</v>
      </c>
      <c r="L5" s="28" t="s">
        <v>2</v>
      </c>
    </row>
    <row r="6" spans="1:12" x14ac:dyDescent="0.3">
      <c r="A6" s="27" t="s">
        <v>167</v>
      </c>
      <c r="B6" s="21" t="str">
        <f>VLOOKUP(Table4[[#This Row],[Vehicle no]],[1]Sheet2!$B:$J,4,0)</f>
        <v>IBRAHIM MWINSHEHE KILAKALA</v>
      </c>
      <c r="C6" s="21" t="str">
        <f>VLOOKUP(Table4[[#This Row],[Vehicle no]],[1]Sheet2!$B:$J,9,0)</f>
        <v>PLASDUS MAHUMBA</v>
      </c>
      <c r="D6" s="21" t="e">
        <f>VLOOKUP(Table4[[#This Row],[Vehicle no]],[1]Sheet2!$B:$J,8,0)</f>
        <v>#N/A</v>
      </c>
      <c r="E6" s="70">
        <v>46055.236539351848</v>
      </c>
      <c r="F6" s="67" t="s">
        <v>284</v>
      </c>
      <c r="G6" s="21" t="s">
        <v>3370</v>
      </c>
      <c r="H6" s="70">
        <v>46055.423703703702</v>
      </c>
      <c r="I6" s="21" t="s">
        <v>3371</v>
      </c>
      <c r="J6" s="67" t="s">
        <v>3372</v>
      </c>
      <c r="K6" s="22" t="s">
        <v>3373</v>
      </c>
      <c r="L6" s="28" t="s">
        <v>2</v>
      </c>
    </row>
    <row r="7" spans="1:12" x14ac:dyDescent="0.3">
      <c r="A7" s="27" t="s">
        <v>205</v>
      </c>
      <c r="B7" s="21" t="str">
        <f>VLOOKUP(Table4[[#This Row],[Vehicle no]],[1]Sheet2!$B:$J,4,0)</f>
        <v>ISIHAKA IDRISA HAMIDU</v>
      </c>
      <c r="C7" s="21" t="str">
        <f>VLOOKUP(Table4[[#This Row],[Vehicle no]],[1]Sheet2!$B:$J,9,0)</f>
        <v>SADI KIMWAGA</v>
      </c>
      <c r="D7" s="21" t="str">
        <f>VLOOKUP(Table4[[#This Row],[Vehicle no]],[1]Sheet2!$B:$J,8,0)</f>
        <v>112-800-034</v>
      </c>
      <c r="E7" s="70">
        <v>46055.913032407407</v>
      </c>
      <c r="F7" s="67" t="s">
        <v>284</v>
      </c>
      <c r="G7" s="21" t="s">
        <v>3374</v>
      </c>
      <c r="H7" s="70">
        <v>46055.999884259261</v>
      </c>
      <c r="I7" s="21" t="s">
        <v>3165</v>
      </c>
      <c r="J7" s="67" t="s">
        <v>3375</v>
      </c>
      <c r="K7" s="22" t="s">
        <v>3376</v>
      </c>
      <c r="L7" s="28" t="s">
        <v>1</v>
      </c>
    </row>
    <row r="8" spans="1:12" x14ac:dyDescent="0.3">
      <c r="A8" s="27" t="s">
        <v>3377</v>
      </c>
      <c r="B8" s="21" t="str">
        <f>VLOOKUP(Table4[[#This Row],[Vehicle no]],[1]Sheet2!$B:$J,4,0)</f>
        <v>LAIZER DOMINIKUS MANDIKE</v>
      </c>
      <c r="C8" s="21" t="str">
        <f>VLOOKUP(Table4[[#This Row],[Vehicle no]],[1]Sheet2!$B:$J,9,0)</f>
        <v>LUSAJO KASUNGA</v>
      </c>
      <c r="D8" s="21" t="e">
        <f>VLOOKUP(Table4[[#This Row],[Vehicle no]],[1]Sheet2!$B:$J,8,0)</f>
        <v>#N/A</v>
      </c>
      <c r="E8" s="70">
        <v>46056.210636574076</v>
      </c>
      <c r="F8" s="67" t="s">
        <v>386</v>
      </c>
      <c r="G8" s="21" t="s">
        <v>1410</v>
      </c>
      <c r="H8" s="70">
        <v>46056.318472222221</v>
      </c>
      <c r="I8" s="21" t="s">
        <v>3378</v>
      </c>
      <c r="J8" s="67" t="s">
        <v>3379</v>
      </c>
      <c r="K8" s="22" t="s">
        <v>3380</v>
      </c>
      <c r="L8" s="28" t="s">
        <v>2</v>
      </c>
    </row>
    <row r="9" spans="1:12" x14ac:dyDescent="0.3">
      <c r="A9" s="27" t="s">
        <v>500</v>
      </c>
      <c r="B9" s="21" t="str">
        <f>VLOOKUP(Table4[[#This Row],[Vehicle no]],[1]Sheet2!$B:$J,4,0)</f>
        <v>BAKARI MOHAMEDI SAIDI</v>
      </c>
      <c r="C9" s="21" t="str">
        <f>VLOOKUP(Table4[[#This Row],[Vehicle no]],[1]Sheet2!$B:$J,9,0)</f>
        <v>LUSAJO KASUNGA</v>
      </c>
      <c r="D9" s="21" t="str">
        <f>VLOOKUP(Table4[[#This Row],[Vehicle no]],[1]Sheet2!$B:$J,8,0)</f>
        <v>102-227-107</v>
      </c>
      <c r="E9" s="70">
        <v>46057.227372685193</v>
      </c>
      <c r="F9" s="67" t="s">
        <v>492</v>
      </c>
      <c r="G9" s="21" t="s">
        <v>2942</v>
      </c>
      <c r="H9" s="70">
        <v>46057.919236111113</v>
      </c>
      <c r="I9" s="21" t="s">
        <v>3359</v>
      </c>
      <c r="J9" s="67" t="s">
        <v>3381</v>
      </c>
      <c r="K9" s="22" t="s">
        <v>3382</v>
      </c>
      <c r="L9" s="28" t="s">
        <v>2</v>
      </c>
    </row>
    <row r="10" spans="1:12" x14ac:dyDescent="0.3">
      <c r="A10" s="27" t="s">
        <v>429</v>
      </c>
      <c r="B10" s="21" t="str">
        <f>VLOOKUP(Table4[[#This Row],[Vehicle no]],[1]Sheet2!$B:$J,4,0)</f>
        <v>MATHIAS ISDORY MGOMBE</v>
      </c>
      <c r="C10" s="21" t="str">
        <f>VLOOKUP(Table4[[#This Row],[Vehicle no]],[1]Sheet2!$B:$J,9,0)</f>
        <v>LUSAJO KASUNGA</v>
      </c>
      <c r="D10" s="21">
        <f>VLOOKUP(Table4[[#This Row],[Vehicle no]],[1]Sheet2!$B:$J,8,0)</f>
        <v>111297576</v>
      </c>
      <c r="E10" s="70">
        <v>46057.231851851851</v>
      </c>
      <c r="F10" s="67" t="s">
        <v>492</v>
      </c>
      <c r="G10" s="21" t="s">
        <v>3383</v>
      </c>
      <c r="H10" s="70">
        <v>46057.417013888888</v>
      </c>
      <c r="I10" s="21" t="s">
        <v>545</v>
      </c>
      <c r="J10" s="67" t="s">
        <v>3384</v>
      </c>
      <c r="K10" s="22" t="s">
        <v>3385</v>
      </c>
      <c r="L10" s="28" t="s">
        <v>2</v>
      </c>
    </row>
    <row r="11" spans="1:12" x14ac:dyDescent="0.3">
      <c r="A11" s="27" t="s">
        <v>588</v>
      </c>
      <c r="B11" s="21" t="str">
        <f>VLOOKUP(Table4[[#This Row],[Vehicle no]],[1]Sheet2!$B:$J,4,0)</f>
        <v>PAUL NKAMU SENGWA</v>
      </c>
      <c r="C11" s="21" t="str">
        <f>VLOOKUP(Table4[[#This Row],[Vehicle no]],[1]Sheet2!$B:$J,9,0)</f>
        <v>Ayoub BENESTA</v>
      </c>
      <c r="D11" s="21">
        <f>VLOOKUP(Table4[[#This Row],[Vehicle no]],[1]Sheet2!$B:$J,8,0)</f>
        <v>111917663</v>
      </c>
      <c r="E11" s="70">
        <v>46057.223645833343</v>
      </c>
      <c r="F11" s="67" t="s">
        <v>492</v>
      </c>
      <c r="G11" s="21" t="s">
        <v>3386</v>
      </c>
      <c r="H11" s="70">
        <v>46057.389884259261</v>
      </c>
      <c r="I11" s="21" t="s">
        <v>590</v>
      </c>
      <c r="J11" s="67" t="s">
        <v>3387</v>
      </c>
      <c r="K11" s="22" t="s">
        <v>3388</v>
      </c>
      <c r="L11" s="28" t="s">
        <v>2</v>
      </c>
    </row>
    <row r="12" spans="1:12" x14ac:dyDescent="0.3">
      <c r="A12" s="27" t="s">
        <v>1290</v>
      </c>
      <c r="B12" s="21" t="str">
        <f>VLOOKUP(Table4[[#This Row],[Vehicle no]],[1]Sheet2!$B:$J,4,0)</f>
        <v>BOAZI GWILA MAKALANGA</v>
      </c>
      <c r="C12" s="21" t="str">
        <f>VLOOKUP(Table4[[#This Row],[Vehicle no]],[1]Sheet2!$B:$J,9,0)</f>
        <v>Ayoub BENESTA</v>
      </c>
      <c r="D12" s="21">
        <f>VLOOKUP(Table4[[#This Row],[Vehicle no]],[1]Sheet2!$B:$J,8,0)</f>
        <v>117784944</v>
      </c>
      <c r="E12" s="70">
        <v>46058.232037037043</v>
      </c>
      <c r="F12" s="67" t="s">
        <v>632</v>
      </c>
      <c r="G12" s="21" t="s">
        <v>3389</v>
      </c>
      <c r="H12" s="70">
        <v>46058.952893518523</v>
      </c>
      <c r="I12" s="21" t="s">
        <v>3390</v>
      </c>
      <c r="J12" s="67" t="s">
        <v>3391</v>
      </c>
      <c r="K12" s="22" t="s">
        <v>3392</v>
      </c>
      <c r="L12" s="28" t="s">
        <v>2</v>
      </c>
    </row>
    <row r="13" spans="1:12" x14ac:dyDescent="0.3">
      <c r="A13" s="27" t="s">
        <v>3393</v>
      </c>
      <c r="B13" s="21" t="str">
        <f>VLOOKUP(Table4[[#This Row],[Vehicle no]],[1]Sheet2!$B:$J,4,0)</f>
        <v>RICHARD OMBENI KIOGWE</v>
      </c>
      <c r="C13" s="21" t="str">
        <f>VLOOKUP(Table4[[#This Row],[Vehicle no]],[1]Sheet2!$B:$J,9,0)</f>
        <v>Ayoub BENESTA</v>
      </c>
      <c r="D13" s="21" t="str">
        <f>VLOOKUP(Table4[[#This Row],[Vehicle no]],[1]Sheet2!$B:$J,8,0)</f>
        <v>111-718-776</v>
      </c>
      <c r="E13" s="70">
        <v>46058.233530092592</v>
      </c>
      <c r="F13" s="67" t="s">
        <v>632</v>
      </c>
      <c r="G13" s="21" t="s">
        <v>3394</v>
      </c>
      <c r="H13" s="70">
        <v>46058.37903935185</v>
      </c>
      <c r="I13" s="21" t="s">
        <v>1495</v>
      </c>
      <c r="J13" s="67" t="s">
        <v>3395</v>
      </c>
      <c r="K13" s="22" t="s">
        <v>3396</v>
      </c>
      <c r="L13" s="28" t="s">
        <v>2</v>
      </c>
    </row>
    <row r="14" spans="1:12" x14ac:dyDescent="0.3">
      <c r="A14" s="27" t="s">
        <v>842</v>
      </c>
      <c r="B14" s="21" t="str">
        <f>VLOOKUP(Table4[[#This Row],[Vehicle no]],[1]Sheet2!$B:$J,4,0)</f>
        <v>SWAMIMU SWAIBU MUFURUKI</v>
      </c>
      <c r="C14" s="21" t="str">
        <f>VLOOKUP(Table4[[#This Row],[Vehicle no]],[1]Sheet2!$B:$J,9,0)</f>
        <v>IRENE SHIJA</v>
      </c>
      <c r="D14" s="21" t="e">
        <f>VLOOKUP(Table4[[#This Row],[Vehicle no]],[1]Sheet2!$B:$J,8,0)</f>
        <v>#N/A</v>
      </c>
      <c r="E14" s="70">
        <v>46058.235127314823</v>
      </c>
      <c r="F14" s="67" t="s">
        <v>632</v>
      </c>
      <c r="G14" s="21" t="s">
        <v>553</v>
      </c>
      <c r="H14" s="70">
        <v>46058.355439814812</v>
      </c>
      <c r="I14" s="21" t="s">
        <v>266</v>
      </c>
      <c r="J14" s="67" t="s">
        <v>3397</v>
      </c>
      <c r="K14" s="22" t="s">
        <v>3398</v>
      </c>
      <c r="L14" s="28" t="s">
        <v>2</v>
      </c>
    </row>
    <row r="15" spans="1:12" x14ac:dyDescent="0.3">
      <c r="A15" s="27" t="s">
        <v>1480</v>
      </c>
      <c r="B15" s="21" t="str">
        <f>VLOOKUP(Table4[[#This Row],[Vehicle no]],[1]Sheet2!$B:$J,4,0)</f>
        <v>MAKERE GACHUMA MAKERE</v>
      </c>
      <c r="C15" s="21" t="str">
        <f>VLOOKUP(Table4[[#This Row],[Vehicle no]],[1]Sheet2!$B:$J,9,0)</f>
        <v>Martha GOLODI</v>
      </c>
      <c r="D15" s="21">
        <f>VLOOKUP(Table4[[#This Row],[Vehicle no]],[1]Sheet2!$B:$J,8,0)</f>
        <v>111992398</v>
      </c>
      <c r="E15" s="70">
        <v>46058.231631944444</v>
      </c>
      <c r="F15" s="67" t="s">
        <v>632</v>
      </c>
      <c r="G15" s="21" t="s">
        <v>3389</v>
      </c>
      <c r="H15" s="70">
        <v>46058.995185185187</v>
      </c>
      <c r="I15" s="21" t="s">
        <v>3378</v>
      </c>
      <c r="J15" s="67" t="s">
        <v>3399</v>
      </c>
      <c r="K15" s="22" t="s">
        <v>3400</v>
      </c>
      <c r="L15" s="28" t="s">
        <v>2</v>
      </c>
    </row>
    <row r="16" spans="1:12" x14ac:dyDescent="0.3">
      <c r="A16" s="27" t="s">
        <v>1401</v>
      </c>
      <c r="B16" s="21" t="str">
        <f>VLOOKUP(Table4[[#This Row],[Vehicle no]],[1]Sheet2!$B:$J,4,0)</f>
        <v>HASSAN RAMADHANI ALLY</v>
      </c>
      <c r="C16" s="21" t="str">
        <f>VLOOKUP(Table4[[#This Row],[Vehicle no]],[1]Sheet2!$B:$J,9,0)</f>
        <v>PLASDUS MAHUMBA</v>
      </c>
      <c r="D16" s="21" t="e">
        <f>VLOOKUP(Table4[[#This Row],[Vehicle no]],[1]Sheet2!$B:$J,8,0)</f>
        <v>#N/A</v>
      </c>
      <c r="E16" s="70">
        <v>46058.23128472222</v>
      </c>
      <c r="F16" s="67" t="s">
        <v>632</v>
      </c>
      <c r="G16" s="21" t="s">
        <v>3394</v>
      </c>
      <c r="H16" s="70">
        <v>46058.465833333343</v>
      </c>
      <c r="I16" s="21" t="s">
        <v>3401</v>
      </c>
      <c r="J16" s="67" t="s">
        <v>3402</v>
      </c>
      <c r="K16" s="22" t="s">
        <v>3403</v>
      </c>
      <c r="L16" s="28" t="s">
        <v>2</v>
      </c>
    </row>
    <row r="17" spans="1:12" x14ac:dyDescent="0.3">
      <c r="A17" s="27" t="s">
        <v>1597</v>
      </c>
      <c r="B17" s="21" t="str">
        <f>VLOOKUP(Table4[[#This Row],[Vehicle no]],[1]Sheet2!$B:$J,4,0)</f>
        <v>JUMA KOBA SAID</v>
      </c>
      <c r="C17" s="21" t="str">
        <f>VLOOKUP(Table4[[#This Row],[Vehicle no]],[1]Sheet2!$B:$J,9,0)</f>
        <v>LUSAJO KASUNGA</v>
      </c>
      <c r="D17" s="21" t="str">
        <f>VLOOKUP(Table4[[#This Row],[Vehicle no]],[1]Sheet2!$B:$J,8,0)</f>
        <v>120-026-526</v>
      </c>
      <c r="E17" s="70">
        <v>46059.230844907397</v>
      </c>
      <c r="F17" s="67" t="s">
        <v>743</v>
      </c>
      <c r="G17" s="21" t="s">
        <v>3389</v>
      </c>
      <c r="H17" s="70">
        <v>46059.978935185187</v>
      </c>
      <c r="I17" s="21" t="s">
        <v>3378</v>
      </c>
      <c r="J17" s="67" t="s">
        <v>3404</v>
      </c>
      <c r="K17" s="22" t="s">
        <v>3405</v>
      </c>
      <c r="L17" s="28" t="s">
        <v>2</v>
      </c>
    </row>
    <row r="18" spans="1:12" x14ac:dyDescent="0.3">
      <c r="A18" s="27" t="s">
        <v>1030</v>
      </c>
      <c r="B18" s="21" t="str">
        <f>VLOOKUP(Table4[[#This Row],[Vehicle no]],[1]Sheet2!$B:$J,4,0)</f>
        <v>JACKSON JACOB BURA</v>
      </c>
      <c r="C18" s="21" t="str">
        <f>VLOOKUP(Table4[[#This Row],[Vehicle no]],[1]Sheet2!$B:$J,9,0)</f>
        <v>PLASDUS MAHUMBA</v>
      </c>
      <c r="D18" s="21" t="e">
        <f>VLOOKUP(Table4[[#This Row],[Vehicle no]],[1]Sheet2!$B:$J,8,0)</f>
        <v>#N/A</v>
      </c>
      <c r="E18" s="70">
        <v>46060.233981481477</v>
      </c>
      <c r="F18" s="67" t="s">
        <v>897</v>
      </c>
      <c r="G18" s="21" t="s">
        <v>3406</v>
      </c>
      <c r="H18" s="70">
        <v>46060.394606481481</v>
      </c>
      <c r="I18" s="21" t="s">
        <v>3371</v>
      </c>
      <c r="J18" s="67" t="s">
        <v>3407</v>
      </c>
      <c r="K18" s="22" t="s">
        <v>3408</v>
      </c>
      <c r="L18" s="28" t="s">
        <v>2</v>
      </c>
    </row>
    <row r="19" spans="1:12" x14ac:dyDescent="0.3">
      <c r="A19" s="27" t="s">
        <v>1062</v>
      </c>
      <c r="B19" s="21" t="str">
        <f>VLOOKUP(Table4[[#This Row],[Vehicle no]],[1]Sheet2!$B:$J,4,0)</f>
        <v>SEIF AMARY HAMAD</v>
      </c>
      <c r="C19" s="21" t="str">
        <f>VLOOKUP(Table4[[#This Row],[Vehicle no]],[1]Sheet2!$B:$J,9,0)</f>
        <v>IRENE SHIJA</v>
      </c>
      <c r="D19" s="21" t="str">
        <f>VLOOKUP(Table4[[#This Row],[Vehicle no]],[1]Sheet2!$B:$J,8,0)</f>
        <v>121-656-582</v>
      </c>
      <c r="E19" s="70">
        <v>46060.230868055558</v>
      </c>
      <c r="F19" s="67" t="s">
        <v>897</v>
      </c>
      <c r="G19" s="21" t="s">
        <v>1890</v>
      </c>
      <c r="H19" s="70">
        <v>46060.42324074074</v>
      </c>
      <c r="I19" s="21" t="s">
        <v>3409</v>
      </c>
      <c r="J19" s="67" t="s">
        <v>3410</v>
      </c>
      <c r="K19" s="22" t="s">
        <v>3411</v>
      </c>
      <c r="L19" s="28" t="s">
        <v>2</v>
      </c>
    </row>
    <row r="20" spans="1:12" x14ac:dyDescent="0.3">
      <c r="A20" s="27" t="s">
        <v>770</v>
      </c>
      <c r="B20" s="21" t="str">
        <f>VLOOKUP(Table4[[#This Row],[Vehicle no]],[1]Sheet2!$B:$J,4,0)</f>
        <v>ALLY SAID MANDINGO</v>
      </c>
      <c r="C20" s="21" t="str">
        <f>VLOOKUP(Table4[[#This Row],[Vehicle no]],[1]Sheet2!$B:$J,9,0)</f>
        <v>LUSAJO KASUNGA</v>
      </c>
      <c r="D20" s="21" t="str">
        <f>VLOOKUP(Table4[[#This Row],[Vehicle no]],[1]Sheet2!$B:$J,8,0)</f>
        <v>115-904-280</v>
      </c>
      <c r="E20" s="70">
        <v>46062.233784722222</v>
      </c>
      <c r="F20" s="67" t="s">
        <v>1072</v>
      </c>
      <c r="G20" s="21" t="s">
        <v>289</v>
      </c>
      <c r="H20" s="70">
        <v>46062.387638888889</v>
      </c>
      <c r="I20" s="21" t="s">
        <v>3412</v>
      </c>
      <c r="J20" s="67" t="s">
        <v>3413</v>
      </c>
      <c r="K20" s="22" t="s">
        <v>3414</v>
      </c>
      <c r="L20" s="28" t="s">
        <v>2</v>
      </c>
    </row>
    <row r="21" spans="1:12" x14ac:dyDescent="0.3">
      <c r="A21" s="27" t="s">
        <v>1046</v>
      </c>
      <c r="B21" s="21" t="str">
        <f>VLOOKUP(Table4[[#This Row],[Vehicle no]],[1]Sheet2!$B:$J,4,0)</f>
        <v>HAMISI SELEMAN ZITTO</v>
      </c>
      <c r="C21" s="21" t="str">
        <f>VLOOKUP(Table4[[#This Row],[Vehicle no]],[1]Sheet2!$B:$J,9,0)</f>
        <v>Martha GOLODI</v>
      </c>
      <c r="D21" s="21" t="e">
        <f>VLOOKUP(Table4[[#This Row],[Vehicle no]],[1]Sheet2!$B:$J,8,0)</f>
        <v>#N/A</v>
      </c>
      <c r="E21" s="70">
        <v>46062.233402777783</v>
      </c>
      <c r="F21" s="67" t="s">
        <v>1072</v>
      </c>
      <c r="G21" s="21" t="s">
        <v>3415</v>
      </c>
      <c r="H21" s="70">
        <v>46062.408425925933</v>
      </c>
      <c r="I21" s="21" t="s">
        <v>3416</v>
      </c>
      <c r="J21" s="67" t="s">
        <v>3417</v>
      </c>
      <c r="K21" s="22" t="s">
        <v>3418</v>
      </c>
      <c r="L21" s="28" t="s">
        <v>2</v>
      </c>
    </row>
    <row r="22" spans="1:12" x14ac:dyDescent="0.3">
      <c r="A22" s="27" t="s">
        <v>1827</v>
      </c>
      <c r="B22" s="21" t="str">
        <f>VLOOKUP(Table4[[#This Row],[Vehicle no]],[1]Sheet2!$B:$J,4,0)</f>
        <v>SALUM KITENGE ALLY</v>
      </c>
      <c r="C22" s="21" t="str">
        <f>VLOOKUP(Table4[[#This Row],[Vehicle no]],[1]Sheet2!$B:$J,9,0)</f>
        <v>SADI KIMWAGA</v>
      </c>
      <c r="D22" s="21" t="str">
        <f>VLOOKUP(Table4[[#This Row],[Vehicle no]],[1]Sheet2!$B:$J,8,0)</f>
        <v>114-626-732</v>
      </c>
      <c r="E22" s="70">
        <v>46063.18822916667</v>
      </c>
      <c r="F22" s="67" t="s">
        <v>1142</v>
      </c>
      <c r="G22" s="21" t="s">
        <v>3419</v>
      </c>
      <c r="H22" s="70">
        <v>46063.275034722217</v>
      </c>
      <c r="I22" s="21" t="s">
        <v>3420</v>
      </c>
      <c r="J22" s="67" t="s">
        <v>3421</v>
      </c>
      <c r="K22" s="22" t="s">
        <v>3422</v>
      </c>
      <c r="L22" s="28" t="s">
        <v>2</v>
      </c>
    </row>
    <row r="23" spans="1:12" x14ac:dyDescent="0.3">
      <c r="A23" s="27" t="s">
        <v>734</v>
      </c>
      <c r="B23" s="21" t="str">
        <f>VLOOKUP(Table4[[#This Row],[Vehicle no]],[1]Sheet2!$B:$J,4,0)</f>
        <v>JEPHA ANDREW JORAM</v>
      </c>
      <c r="C23" s="21" t="str">
        <f>VLOOKUP(Table4[[#This Row],[Vehicle no]],[1]Sheet2!$B:$J,9,0)</f>
        <v>Ayoub BENESTA</v>
      </c>
      <c r="D23" s="21">
        <f>VLOOKUP(Table4[[#This Row],[Vehicle no]],[1]Sheet2!$B:$J,8,0)</f>
        <v>115259709</v>
      </c>
      <c r="E23" s="70">
        <v>46063.235324074078</v>
      </c>
      <c r="F23" s="67" t="s">
        <v>1142</v>
      </c>
      <c r="G23" s="21" t="s">
        <v>3423</v>
      </c>
      <c r="H23" s="70">
        <v>46063.444664351853</v>
      </c>
      <c r="I23" s="21" t="s">
        <v>3370</v>
      </c>
      <c r="J23" s="67" t="s">
        <v>3424</v>
      </c>
      <c r="K23" s="22" t="s">
        <v>3425</v>
      </c>
      <c r="L23" s="28" t="s">
        <v>2</v>
      </c>
    </row>
    <row r="24" spans="1:12" x14ac:dyDescent="0.3">
      <c r="A24" s="27" t="s">
        <v>1504</v>
      </c>
      <c r="B24" s="21" t="str">
        <f>VLOOKUP(Table4[[#This Row],[Vehicle no]],[1]Sheet2!$B:$J,4,0)</f>
        <v>FARAJA COSMAS THOMAS</v>
      </c>
      <c r="C24" s="21" t="str">
        <f>VLOOKUP(Table4[[#This Row],[Vehicle no]],[1]Sheet2!$B:$J,9,0)</f>
        <v>LUSAJO KASUNGA</v>
      </c>
      <c r="D24" s="21">
        <f>VLOOKUP(Table4[[#This Row],[Vehicle no]],[1]Sheet2!$B:$J,8,0)</f>
        <v>132843198</v>
      </c>
      <c r="E24" s="70">
        <v>46064.968657407408</v>
      </c>
      <c r="F24" s="67" t="s">
        <v>1231</v>
      </c>
      <c r="G24" s="21" t="s">
        <v>3426</v>
      </c>
      <c r="H24" s="70">
        <v>46064.98542824074</v>
      </c>
      <c r="I24" s="21" t="s">
        <v>3019</v>
      </c>
      <c r="J24" s="67" t="s">
        <v>3427</v>
      </c>
      <c r="K24" s="22" t="s">
        <v>3428</v>
      </c>
      <c r="L24" s="28" t="s">
        <v>1</v>
      </c>
    </row>
    <row r="25" spans="1:12" x14ac:dyDescent="0.3">
      <c r="A25" s="27" t="s">
        <v>1082</v>
      </c>
      <c r="B25" s="21" t="str">
        <f>VLOOKUP(Table4[[#This Row],[Vehicle no]],[1]Sheet2!$B:$J,4,0)</f>
        <v>JUMANNE ALLY MUHINA</v>
      </c>
      <c r="C25" s="21" t="str">
        <f>VLOOKUP(Table4[[#This Row],[Vehicle no]],[1]Sheet2!$B:$J,9,0)</f>
        <v>PLASDUS MAHUMBA</v>
      </c>
      <c r="D25" s="21" t="str">
        <f>VLOOKUP(Table4[[#This Row],[Vehicle no]],[1]Sheet2!$B:$J,8,0)</f>
        <v>101-022-153</v>
      </c>
      <c r="E25" s="70">
        <v>46064.227523148147</v>
      </c>
      <c r="F25" s="67" t="s">
        <v>1231</v>
      </c>
      <c r="G25" s="21" t="s">
        <v>90</v>
      </c>
      <c r="H25" s="70">
        <v>46064.297986111109</v>
      </c>
      <c r="I25" s="21" t="s">
        <v>1243</v>
      </c>
      <c r="J25" s="67" t="s">
        <v>3429</v>
      </c>
      <c r="K25" s="22" t="s">
        <v>3430</v>
      </c>
      <c r="L25" s="28" t="s">
        <v>2</v>
      </c>
    </row>
    <row r="26" spans="1:12" x14ac:dyDescent="0.3">
      <c r="A26" s="27" t="s">
        <v>1430</v>
      </c>
      <c r="B26" s="21" t="str">
        <f>VLOOKUP(Table4[[#This Row],[Vehicle no]],[1]Sheet2!$B:$J,4,0)</f>
        <v>AMIRI HASHIMU KUMBUKILA</v>
      </c>
      <c r="C26" s="21" t="str">
        <f>VLOOKUP(Table4[[#This Row],[Vehicle no]],[1]Sheet2!$B:$J,9,0)</f>
        <v>IRENE SHIJA</v>
      </c>
      <c r="D26" s="21" t="e">
        <f>VLOOKUP(Table4[[#This Row],[Vehicle no]],[1]Sheet2!$B:$J,8,0)</f>
        <v>#N/A</v>
      </c>
      <c r="E26" s="70">
        <v>46064.980995370373</v>
      </c>
      <c r="F26" s="67" t="s">
        <v>1231</v>
      </c>
      <c r="G26" s="21" t="s">
        <v>3426</v>
      </c>
      <c r="H26" s="70">
        <v>46064.992997685193</v>
      </c>
      <c r="I26" s="21" t="s">
        <v>3019</v>
      </c>
      <c r="J26" s="67" t="s">
        <v>3431</v>
      </c>
      <c r="K26" s="22" t="s">
        <v>3432</v>
      </c>
      <c r="L26" s="28" t="s">
        <v>1</v>
      </c>
    </row>
    <row r="27" spans="1:12" x14ac:dyDescent="0.3">
      <c r="A27" s="27" t="s">
        <v>1522</v>
      </c>
      <c r="B27" s="21" t="str">
        <f>VLOOKUP(Table4[[#This Row],[Vehicle no]],[1]Sheet2!$B:$J,4,0)</f>
        <v>PRAYGOD THOMASI KIWAYA</v>
      </c>
      <c r="C27" s="21" t="str">
        <f>VLOOKUP(Table4[[#This Row],[Vehicle no]],[1]Sheet2!$B:$J,9,0)</f>
        <v>SADI KIMWAGA</v>
      </c>
      <c r="D27" s="21" t="str">
        <f>VLOOKUP(Table4[[#This Row],[Vehicle no]],[1]Sheet2!$B:$J,8,0)</f>
        <v>138-462-005</v>
      </c>
      <c r="E27" s="70">
        <v>46064.923900462964</v>
      </c>
      <c r="F27" s="67" t="s">
        <v>1231</v>
      </c>
      <c r="G27" s="21" t="s">
        <v>3426</v>
      </c>
      <c r="H27" s="70">
        <v>46064.936886574083</v>
      </c>
      <c r="I27" s="21" t="s">
        <v>3019</v>
      </c>
      <c r="J27" s="67" t="s">
        <v>3433</v>
      </c>
      <c r="K27" s="22" t="s">
        <v>3434</v>
      </c>
      <c r="L27" s="28" t="s">
        <v>1</v>
      </c>
    </row>
    <row r="28" spans="1:12" x14ac:dyDescent="0.3">
      <c r="A28" s="27" t="s">
        <v>3435</v>
      </c>
      <c r="B28" s="21" t="str">
        <f>VLOOKUP(Table4[[#This Row],[Vehicle no]],[1]Sheet2!$B:$J,4,0)</f>
        <v>MUSSA MASHAKA KAUZE</v>
      </c>
      <c r="C28" s="21" t="str">
        <f>VLOOKUP(Table4[[#This Row],[Vehicle no]],[1]Sheet2!$B:$J,9,0)</f>
        <v>LUSAJO KASUNGA</v>
      </c>
      <c r="D28" s="21">
        <f>VLOOKUP(Table4[[#This Row],[Vehicle no]],[1]Sheet2!$B:$J,8,0)</f>
        <v>111480176</v>
      </c>
      <c r="E28" s="70">
        <v>46064.222997685189</v>
      </c>
      <c r="F28" s="67" t="s">
        <v>1231</v>
      </c>
      <c r="G28" s="21" t="s">
        <v>90</v>
      </c>
      <c r="H28" s="70">
        <v>46064.319594907407</v>
      </c>
      <c r="I28" s="21" t="s">
        <v>967</v>
      </c>
      <c r="J28" s="67" t="s">
        <v>3436</v>
      </c>
      <c r="K28" s="22" t="s">
        <v>3437</v>
      </c>
      <c r="L28" s="28" t="s">
        <v>2</v>
      </c>
    </row>
    <row r="29" spans="1:12" x14ac:dyDescent="0.3">
      <c r="A29" s="27" t="s">
        <v>1525</v>
      </c>
      <c r="B29" s="21" t="str">
        <f>VLOOKUP(Table4[[#This Row],[Vehicle no]],[1]Sheet2!$B:$J,4,0)</f>
        <v>JOSEPHAT MARO KEBURE</v>
      </c>
      <c r="C29" s="21" t="str">
        <f>VLOOKUP(Table4[[#This Row],[Vehicle no]],[1]Sheet2!$B:$J,9,0)</f>
        <v>Martha GOLODI</v>
      </c>
      <c r="D29" s="21" t="str">
        <f>VLOOKUP(Table4[[#This Row],[Vehicle no]],[1]Sheet2!$B:$J,8,0)</f>
        <v>117-893-677</v>
      </c>
      <c r="E29" s="70">
        <v>46064.965046296304</v>
      </c>
      <c r="F29" s="67" t="s">
        <v>1231</v>
      </c>
      <c r="G29" s="21" t="s">
        <v>3426</v>
      </c>
      <c r="H29" s="70">
        <v>46064.982719907413</v>
      </c>
      <c r="I29" s="21" t="s">
        <v>3019</v>
      </c>
      <c r="J29" s="67" t="s">
        <v>3438</v>
      </c>
      <c r="K29" s="22" t="s">
        <v>3439</v>
      </c>
      <c r="L29" s="28" t="s">
        <v>1</v>
      </c>
    </row>
    <row r="30" spans="1:12" x14ac:dyDescent="0.3">
      <c r="A30" s="27" t="s">
        <v>1612</v>
      </c>
      <c r="B30" s="21" t="str">
        <f>VLOOKUP(Table4[[#This Row],[Vehicle no]],[1]Sheet2!$B:$J,4,0)</f>
        <v>SHUKURU MARTIN SANGA</v>
      </c>
      <c r="C30" s="21" t="str">
        <f>VLOOKUP(Table4[[#This Row],[Vehicle no]],[1]Sheet2!$B:$J,9,0)</f>
        <v>IRENE SHIJA</v>
      </c>
      <c r="D30" s="21" t="str">
        <f>VLOOKUP(Table4[[#This Row],[Vehicle no]],[1]Sheet2!$B:$J,8,0)</f>
        <v>116-410-346</v>
      </c>
      <c r="E30" s="70">
        <v>46064.979305555556</v>
      </c>
      <c r="F30" s="67" t="s">
        <v>1231</v>
      </c>
      <c r="G30" s="21" t="s">
        <v>3426</v>
      </c>
      <c r="H30" s="70">
        <v>46064.993344907409</v>
      </c>
      <c r="I30" s="21" t="s">
        <v>3019</v>
      </c>
      <c r="J30" s="67" t="s">
        <v>3440</v>
      </c>
      <c r="K30" s="22" t="s">
        <v>3441</v>
      </c>
      <c r="L30" s="28" t="s">
        <v>1</v>
      </c>
    </row>
    <row r="31" spans="1:12" x14ac:dyDescent="0.3">
      <c r="A31" s="27" t="s">
        <v>149</v>
      </c>
      <c r="B31" s="21" t="str">
        <f>VLOOKUP(Table4[[#This Row],[Vehicle no]],[1]Sheet2!$B:$J,4,0)</f>
        <v>AMINI JUMA AHMADI</v>
      </c>
      <c r="C31" s="21" t="str">
        <f>VLOOKUP(Table4[[#This Row],[Vehicle no]],[1]Sheet2!$B:$J,9,0)</f>
        <v>LUSAJO KASUNGA</v>
      </c>
      <c r="D31" s="21" t="str">
        <f>VLOOKUP(Table4[[#This Row],[Vehicle no]],[1]Sheet2!$B:$J,8,0)</f>
        <v>131-255675</v>
      </c>
      <c r="E31" s="70">
        <v>46064.924004629633</v>
      </c>
      <c r="F31" s="67" t="s">
        <v>1231</v>
      </c>
      <c r="G31" s="21" t="s">
        <v>3426</v>
      </c>
      <c r="H31" s="70">
        <v>46064.941064814811</v>
      </c>
      <c r="I31" s="21" t="s">
        <v>3019</v>
      </c>
      <c r="J31" s="67" t="s">
        <v>3442</v>
      </c>
      <c r="K31" s="22" t="s">
        <v>3443</v>
      </c>
      <c r="L31" s="28" t="s">
        <v>1</v>
      </c>
    </row>
    <row r="32" spans="1:12" x14ac:dyDescent="0.3">
      <c r="A32" s="27" t="s">
        <v>1531</v>
      </c>
      <c r="B32" s="21" t="str">
        <f>VLOOKUP(Table4[[#This Row],[Vehicle no]],[1]Sheet2!$B:$J,4,0)</f>
        <v>JAMES RASHIDI GWAU</v>
      </c>
      <c r="C32" s="21" t="str">
        <f>VLOOKUP(Table4[[#This Row],[Vehicle no]],[1]Sheet2!$B:$J,9,0)</f>
        <v>Martha GOLODI</v>
      </c>
      <c r="D32" s="21">
        <f>VLOOKUP(Table4[[#This Row],[Vehicle no]],[1]Sheet2!$B:$J,8,0)</f>
        <v>0</v>
      </c>
      <c r="E32" s="70">
        <v>46064.977395833332</v>
      </c>
      <c r="F32" s="67" t="s">
        <v>1231</v>
      </c>
      <c r="G32" s="21" t="s">
        <v>3426</v>
      </c>
      <c r="H32" s="70">
        <v>46064.991608796299</v>
      </c>
      <c r="I32" s="21" t="s">
        <v>3019</v>
      </c>
      <c r="J32" s="67" t="s">
        <v>3444</v>
      </c>
      <c r="K32" s="22" t="s">
        <v>3441</v>
      </c>
      <c r="L32" s="28" t="s">
        <v>1</v>
      </c>
    </row>
    <row r="33" spans="1:12" x14ac:dyDescent="0.3">
      <c r="A33" s="27" t="s">
        <v>3445</v>
      </c>
      <c r="B33" s="21" t="str">
        <f>VLOOKUP(Table4[[#This Row],[Vehicle no]],[1]Sheet2!$B:$J,4,0)</f>
        <v>SALEHE HAMISI ABDALLAH</v>
      </c>
      <c r="C33" s="21" t="str">
        <f>VLOOKUP(Table4[[#This Row],[Vehicle no]],[1]Sheet2!$B:$J,9,0)</f>
        <v>PLASDUS MAHUMBA</v>
      </c>
      <c r="D33" s="21" t="e">
        <f>VLOOKUP(Table4[[#This Row],[Vehicle no]],[1]Sheet2!$B:$J,8,0)</f>
        <v>#N/A</v>
      </c>
      <c r="E33" s="70">
        <v>46064.234907407408</v>
      </c>
      <c r="F33" s="67" t="s">
        <v>1231</v>
      </c>
      <c r="G33" s="21" t="s">
        <v>1541</v>
      </c>
      <c r="H33" s="70">
        <v>46064.362592592603</v>
      </c>
      <c r="I33" s="21" t="s">
        <v>213</v>
      </c>
      <c r="J33" s="67" t="s">
        <v>3446</v>
      </c>
      <c r="K33" s="22" t="s">
        <v>3447</v>
      </c>
      <c r="L33" s="28" t="s">
        <v>2</v>
      </c>
    </row>
    <row r="34" spans="1:12" x14ac:dyDescent="0.3">
      <c r="A34" s="27" t="s">
        <v>246</v>
      </c>
      <c r="B34" s="21" t="str">
        <f>VLOOKUP(Table4[[#This Row],[Vehicle no]],[1]Sheet2!$B:$J,4,0)</f>
        <v>HAMIS BUNDALA IZINA</v>
      </c>
      <c r="C34" s="21" t="str">
        <f>VLOOKUP(Table4[[#This Row],[Vehicle no]],[1]Sheet2!$B:$J,9,0)</f>
        <v>PLASDUS MAHUMBA</v>
      </c>
      <c r="D34" s="21" t="str">
        <f>VLOOKUP(Table4[[#This Row],[Vehicle no]],[1]Sheet2!$B:$J,8,0)</f>
        <v>115-917-447</v>
      </c>
      <c r="E34" s="70">
        <v>46064.942488425928</v>
      </c>
      <c r="F34" s="67" t="s">
        <v>1231</v>
      </c>
      <c r="G34" s="21" t="s">
        <v>3448</v>
      </c>
      <c r="H34" s="70">
        <v>46064.955891203703</v>
      </c>
      <c r="I34" s="21" t="s">
        <v>3019</v>
      </c>
      <c r="J34" s="67" t="s">
        <v>3449</v>
      </c>
      <c r="K34" s="22" t="s">
        <v>3450</v>
      </c>
      <c r="L34" s="28" t="s">
        <v>1</v>
      </c>
    </row>
    <row r="35" spans="1:12" x14ac:dyDescent="0.3">
      <c r="A35" s="27" t="s">
        <v>1221</v>
      </c>
      <c r="B35" s="21" t="str">
        <f>VLOOKUP(Table4[[#This Row],[Vehicle no]],[1]Sheet2!$B:$J,4,0)</f>
        <v>ISSA MOHAMED KIMWAGA</v>
      </c>
      <c r="C35" s="21" t="str">
        <f>VLOOKUP(Table4[[#This Row],[Vehicle no]],[1]Sheet2!$B:$J,9,0)</f>
        <v>SADI KIMWAGA</v>
      </c>
      <c r="D35" s="21" t="str">
        <f>VLOOKUP(Table4[[#This Row],[Vehicle no]],[1]Sheet2!$B:$J,8,0)</f>
        <v>117-626-539</v>
      </c>
      <c r="E35" s="70">
        <v>46064.22724537037</v>
      </c>
      <c r="F35" s="67" t="s">
        <v>1231</v>
      </c>
      <c r="G35" s="21" t="s">
        <v>90</v>
      </c>
      <c r="H35" s="70">
        <v>46064.362905092603</v>
      </c>
      <c r="I35" s="21" t="s">
        <v>346</v>
      </c>
      <c r="J35" s="67" t="s">
        <v>3451</v>
      </c>
      <c r="K35" s="22" t="s">
        <v>3452</v>
      </c>
      <c r="L35" s="28" t="s">
        <v>2</v>
      </c>
    </row>
    <row r="36" spans="1:12" x14ac:dyDescent="0.3">
      <c r="A36" s="27" t="s">
        <v>41</v>
      </c>
      <c r="B36" s="21" t="str">
        <f>VLOOKUP(Table4[[#This Row],[Vehicle no]],[1]Sheet2!$B:$J,4,0)</f>
        <v>OMARI ATHUMANI SELEMANI</v>
      </c>
      <c r="C36" s="21" t="str">
        <f>VLOOKUP(Table4[[#This Row],[Vehicle no]],[1]Sheet2!$B:$J,9,0)</f>
        <v>SADI KIMWAGA</v>
      </c>
      <c r="D36" s="21" t="str">
        <f>VLOOKUP(Table4[[#This Row],[Vehicle no]],[1]Sheet2!$B:$J,8,0)</f>
        <v>116-765-526</v>
      </c>
      <c r="E36" s="70">
        <v>46064.905138888891</v>
      </c>
      <c r="F36" s="67" t="s">
        <v>1231</v>
      </c>
      <c r="G36" s="21" t="s">
        <v>3426</v>
      </c>
      <c r="H36" s="70">
        <v>46064.965115740742</v>
      </c>
      <c r="I36" s="21" t="s">
        <v>3359</v>
      </c>
      <c r="J36" s="67" t="s">
        <v>3453</v>
      </c>
      <c r="K36" s="22" t="s">
        <v>3454</v>
      </c>
      <c r="L36" s="28" t="s">
        <v>1</v>
      </c>
    </row>
    <row r="37" spans="1:12" x14ac:dyDescent="0.3">
      <c r="A37" s="27" t="s">
        <v>1919</v>
      </c>
      <c r="B37" s="21" t="str">
        <f>VLOOKUP(Table4[[#This Row],[Vehicle no]],[1]Sheet2!$B:$J,4,0)</f>
        <v>SWEDI SALEHE MAJORO</v>
      </c>
      <c r="C37" s="21" t="str">
        <f>VLOOKUP(Table4[[#This Row],[Vehicle no]],[1]Sheet2!$B:$J,9,0)</f>
        <v>Martha GOLODI</v>
      </c>
      <c r="D37" s="21" t="str">
        <f>VLOOKUP(Table4[[#This Row],[Vehicle no]],[1]Sheet2!$B:$J,8,0)</f>
        <v>138-321-932</v>
      </c>
      <c r="E37" s="70">
        <v>46064.224861111114</v>
      </c>
      <c r="F37" s="67" t="s">
        <v>1231</v>
      </c>
      <c r="G37" s="21" t="s">
        <v>3455</v>
      </c>
      <c r="H37" s="70">
        <v>46064.451990740738</v>
      </c>
      <c r="I37" s="21" t="s">
        <v>3456</v>
      </c>
      <c r="J37" s="67" t="s">
        <v>3457</v>
      </c>
      <c r="K37" s="22" t="s">
        <v>3458</v>
      </c>
      <c r="L37" s="28" t="s">
        <v>2</v>
      </c>
    </row>
    <row r="38" spans="1:12" x14ac:dyDescent="0.3">
      <c r="A38" s="27" t="s">
        <v>1301</v>
      </c>
      <c r="B38" s="21" t="str">
        <f>VLOOKUP(Table4[[#This Row],[Vehicle no]],[1]Sheet2!$B:$J,4,0)</f>
        <v>ERICK JOSEPH KIDUGE</v>
      </c>
      <c r="C38" s="21" t="str">
        <f>VLOOKUP(Table4[[#This Row],[Vehicle no]],[1]Sheet2!$B:$J,9,0)</f>
        <v>IRENE SHIJA</v>
      </c>
      <c r="D38" s="21" t="str">
        <f>VLOOKUP(Table4[[#This Row],[Vehicle no]],[1]Sheet2!$B:$J,8,0)</f>
        <v>111-444-986</v>
      </c>
      <c r="E38" s="70">
        <v>46065.90892361111</v>
      </c>
      <c r="F38" s="67" t="s">
        <v>1291</v>
      </c>
      <c r="G38" s="21" t="s">
        <v>3459</v>
      </c>
      <c r="H38" s="70">
        <v>46065.939201388886</v>
      </c>
      <c r="I38" s="21" t="s">
        <v>3394</v>
      </c>
      <c r="J38" s="67" t="s">
        <v>3460</v>
      </c>
      <c r="K38" s="22" t="s">
        <v>3461</v>
      </c>
      <c r="L38" s="28" t="s">
        <v>1</v>
      </c>
    </row>
    <row r="39" spans="1:12" x14ac:dyDescent="0.3">
      <c r="A39" s="27" t="s">
        <v>1372</v>
      </c>
      <c r="B39" s="21" t="str">
        <f>VLOOKUP(Table4[[#This Row],[Vehicle no]],[1]Sheet2!$B:$J,4,0)</f>
        <v>RIZIKI HASSAN HAMISI</v>
      </c>
      <c r="C39" s="21" t="str">
        <f>VLOOKUP(Table4[[#This Row],[Vehicle no]],[1]Sheet2!$B:$J,9,0)</f>
        <v>Martha GOLODI</v>
      </c>
      <c r="D39" s="21">
        <f>VLOOKUP(Table4[[#This Row],[Vehicle no]],[1]Sheet2!$B:$J,8,0)</f>
        <v>130267378</v>
      </c>
      <c r="E39" s="70">
        <v>46066.224432870367</v>
      </c>
      <c r="F39" s="67" t="s">
        <v>1360</v>
      </c>
      <c r="G39" s="21" t="s">
        <v>3462</v>
      </c>
      <c r="H39" s="70">
        <v>46066.376620370371</v>
      </c>
      <c r="I39" s="21" t="s">
        <v>3370</v>
      </c>
      <c r="J39" s="67" t="s">
        <v>3463</v>
      </c>
      <c r="K39" s="22" t="s">
        <v>3464</v>
      </c>
      <c r="L39" s="28" t="s">
        <v>2</v>
      </c>
    </row>
    <row r="40" spans="1:12" x14ac:dyDescent="0.3">
      <c r="A40" s="27" t="s">
        <v>1406</v>
      </c>
      <c r="B40" s="21" t="str">
        <f>VLOOKUP(Table4[[#This Row],[Vehicle no]],[1]Sheet2!$B:$J,4,0)</f>
        <v>ZAKARIA RAJABU KINANA</v>
      </c>
      <c r="C40" s="21" t="str">
        <f>VLOOKUP(Table4[[#This Row],[Vehicle no]],[1]Sheet2!$B:$J,9,0)</f>
        <v>PLASDUS MAHUMBA</v>
      </c>
      <c r="D40" s="21" t="str">
        <f>VLOOKUP(Table4[[#This Row],[Vehicle no]],[1]Sheet2!$B:$J,8,0)</f>
        <v>114-733-857</v>
      </c>
      <c r="E40" s="70">
        <v>46066.223437499997</v>
      </c>
      <c r="F40" s="67" t="s">
        <v>1360</v>
      </c>
      <c r="G40" s="21" t="s">
        <v>3462</v>
      </c>
      <c r="H40" s="70">
        <v>46066.377337962957</v>
      </c>
      <c r="I40" s="21" t="s">
        <v>3370</v>
      </c>
      <c r="J40" s="67" t="s">
        <v>3465</v>
      </c>
      <c r="K40" s="22" t="s">
        <v>3466</v>
      </c>
      <c r="L40" s="28" t="s">
        <v>2</v>
      </c>
    </row>
    <row r="41" spans="1:12" x14ac:dyDescent="0.3">
      <c r="A41" s="27" t="s">
        <v>1372</v>
      </c>
      <c r="B41" s="21" t="str">
        <f>VLOOKUP(Table4[[#This Row],[Vehicle no]],[1]Sheet2!$B:$J,4,0)</f>
        <v>RIZIKI HASSAN HAMISI</v>
      </c>
      <c r="C41" s="21" t="str">
        <f>VLOOKUP(Table4[[#This Row],[Vehicle no]],[1]Sheet2!$B:$J,9,0)</f>
        <v>Martha GOLODI</v>
      </c>
      <c r="D41" s="21">
        <f>VLOOKUP(Table4[[#This Row],[Vehicle no]],[1]Sheet2!$B:$J,8,0)</f>
        <v>130267378</v>
      </c>
      <c r="E41" s="70">
        <v>46067.236331018517</v>
      </c>
      <c r="F41" s="67" t="s">
        <v>1414</v>
      </c>
      <c r="G41" s="21" t="s">
        <v>266</v>
      </c>
      <c r="H41" s="70">
        <v>46067.441990740743</v>
      </c>
      <c r="I41" s="21" t="s">
        <v>973</v>
      </c>
      <c r="J41" s="67" t="s">
        <v>3467</v>
      </c>
      <c r="K41" s="22" t="s">
        <v>3468</v>
      </c>
      <c r="L41" s="28" t="s">
        <v>2</v>
      </c>
    </row>
    <row r="42" spans="1:12" x14ac:dyDescent="0.3">
      <c r="A42" s="27" t="s">
        <v>50</v>
      </c>
      <c r="B42" s="21" t="str">
        <f>VLOOKUP(Table4[[#This Row],[Vehicle no]],[1]Sheet2!$B:$J,4,0)</f>
        <v>ABILLAH BAKARI MHINA</v>
      </c>
      <c r="C42" s="21" t="str">
        <f>VLOOKUP(Table4[[#This Row],[Vehicle no]],[1]Sheet2!$B:$J,9,0)</f>
        <v>IRENE SHIJA</v>
      </c>
      <c r="D42" s="21" t="str">
        <f>VLOOKUP(Table4[[#This Row],[Vehicle no]],[1]Sheet2!$B:$J,8,0)</f>
        <v>118-565-363</v>
      </c>
      <c r="E42" s="70">
        <v>46067.900613425933</v>
      </c>
      <c r="F42" s="67" t="s">
        <v>1414</v>
      </c>
      <c r="G42" s="21" t="s">
        <v>3469</v>
      </c>
      <c r="H42" s="70">
        <v>46067.939745370371</v>
      </c>
      <c r="I42" s="21" t="s">
        <v>3470</v>
      </c>
      <c r="J42" s="67" t="s">
        <v>3471</v>
      </c>
      <c r="K42" s="22" t="s">
        <v>3472</v>
      </c>
      <c r="L42" s="28" t="s">
        <v>1</v>
      </c>
    </row>
    <row r="43" spans="1:12" x14ac:dyDescent="0.3">
      <c r="A43" s="27" t="s">
        <v>3473</v>
      </c>
      <c r="B43" s="21" t="str">
        <f>VLOOKUP(Table4[[#This Row],[Vehicle no]],[1]Sheet2!$B:$J,4,0)</f>
        <v>MESKO MASOUD MALEKELA</v>
      </c>
      <c r="C43" s="21" t="str">
        <f>VLOOKUP(Table4[[#This Row],[Vehicle no]],[1]Sheet2!$B:$J,9,0)</f>
        <v>Ayoub BENESTA</v>
      </c>
      <c r="D43" s="21">
        <f>VLOOKUP(Table4[[#This Row],[Vehicle no]],[1]Sheet2!$B:$J,8,0)</f>
        <v>113977868</v>
      </c>
      <c r="E43" s="70">
        <v>46067.231736111113</v>
      </c>
      <c r="F43" s="67" t="s">
        <v>1414</v>
      </c>
      <c r="G43" s="21" t="s">
        <v>1868</v>
      </c>
      <c r="H43" s="70">
        <v>46067.367685185192</v>
      </c>
      <c r="I43" s="21" t="s">
        <v>3359</v>
      </c>
      <c r="J43" s="67" t="s">
        <v>3474</v>
      </c>
      <c r="K43" s="22" t="s">
        <v>3475</v>
      </c>
      <c r="L43" s="28" t="s">
        <v>2</v>
      </c>
    </row>
    <row r="44" spans="1:12" x14ac:dyDescent="0.3">
      <c r="A44" s="27" t="s">
        <v>1552</v>
      </c>
      <c r="B44" s="21" t="str">
        <f>VLOOKUP(Table4[[#This Row],[Vehicle no]],[1]Sheet2!$B:$J,4,0)</f>
        <v>AHMAD ABDULRRAHMAN AMIN</v>
      </c>
      <c r="C44" s="21" t="str">
        <f>VLOOKUP(Table4[[#This Row],[Vehicle no]],[1]Sheet2!$B:$J,9,0)</f>
        <v>LUSAJO KASUNGA</v>
      </c>
      <c r="D44" s="21" t="e">
        <f>VLOOKUP(Table4[[#This Row],[Vehicle no]],[1]Sheet2!$B:$J,8,0)</f>
        <v>#N/A</v>
      </c>
      <c r="E44" s="70">
        <v>46068.232245370367</v>
      </c>
      <c r="F44" s="67" t="s">
        <v>1502</v>
      </c>
      <c r="G44" s="21" t="s">
        <v>3370</v>
      </c>
      <c r="H44" s="70">
        <v>46068.368148148147</v>
      </c>
      <c r="I44" s="21" t="s">
        <v>90</v>
      </c>
      <c r="J44" s="67" t="s">
        <v>3476</v>
      </c>
      <c r="K44" s="22" t="s">
        <v>3477</v>
      </c>
      <c r="L44" s="28" t="s">
        <v>2</v>
      </c>
    </row>
    <row r="45" spans="1:12" x14ac:dyDescent="0.3">
      <c r="A45" s="27" t="s">
        <v>58</v>
      </c>
      <c r="B45" s="21" t="str">
        <f>VLOOKUP(Table4[[#This Row],[Vehicle no]],[1]Sheet2!$B:$J,4,0)</f>
        <v>EZEKIEL AIZACK KIHANZA</v>
      </c>
      <c r="C45" s="21" t="str">
        <f>VLOOKUP(Table4[[#This Row],[Vehicle no]],[1]Sheet2!$B:$J,9,0)</f>
        <v>PLASDUS MAHUMBA</v>
      </c>
      <c r="D45" s="21">
        <f>VLOOKUP(Table4[[#This Row],[Vehicle no]],[1]Sheet2!$B:$J,8,0)</f>
        <v>115168665</v>
      </c>
      <c r="E45" s="70">
        <v>46068.236354166656</v>
      </c>
      <c r="F45" s="67" t="s">
        <v>1502</v>
      </c>
      <c r="G45" s="21" t="s">
        <v>3389</v>
      </c>
      <c r="H45" s="70">
        <v>46068.355081018519</v>
      </c>
      <c r="I45" s="21" t="s">
        <v>3394</v>
      </c>
      <c r="J45" s="67" t="s">
        <v>3478</v>
      </c>
      <c r="K45" s="22" t="s">
        <v>3479</v>
      </c>
      <c r="L45" s="28" t="s">
        <v>2</v>
      </c>
    </row>
    <row r="46" spans="1:12" x14ac:dyDescent="0.3">
      <c r="A46" s="27" t="s">
        <v>219</v>
      </c>
      <c r="B46" s="21" t="str">
        <f>VLOOKUP(Table4[[#This Row],[Vehicle no]],[1]Sheet2!$B:$J,4,0)</f>
        <v>N/A</v>
      </c>
      <c r="C46" s="21" t="str">
        <f>VLOOKUP(Table4[[#This Row],[Vehicle no]],[1]Sheet2!$B:$J,9,0)</f>
        <v>SADI KIMWAGA</v>
      </c>
      <c r="D46" s="21" t="e">
        <f>VLOOKUP(Table4[[#This Row],[Vehicle no]],[1]Sheet2!$B:$J,8,0)</f>
        <v>#N/A</v>
      </c>
      <c r="E46" s="70" t="s">
        <v>3480</v>
      </c>
      <c r="F46" s="67" t="s">
        <v>1502</v>
      </c>
      <c r="G46" s="21" t="s">
        <v>2991</v>
      </c>
      <c r="H46" s="70" t="s">
        <v>3481</v>
      </c>
      <c r="I46" s="21" t="s">
        <v>2962</v>
      </c>
      <c r="J46" s="67" t="s">
        <v>3482</v>
      </c>
      <c r="K46" s="22" t="s">
        <v>3483</v>
      </c>
      <c r="L46" s="28" t="s">
        <v>3484</v>
      </c>
    </row>
    <row r="47" spans="1:12" x14ac:dyDescent="0.3">
      <c r="A47" s="27" t="s">
        <v>42</v>
      </c>
      <c r="B47" s="21" t="str">
        <f>VLOOKUP(Table4[[#This Row],[Vehicle no]],[1]Sheet2!$B:$J,4,0)</f>
        <v>OTHUMAN SALUM MSIKA</v>
      </c>
      <c r="C47" s="21" t="str">
        <f>VLOOKUP(Table4[[#This Row],[Vehicle no]],[1]Sheet2!$B:$J,9,0)</f>
        <v>IRENE SHIJA</v>
      </c>
      <c r="D47" s="21" t="str">
        <f>VLOOKUP(Table4[[#This Row],[Vehicle no]],[1]Sheet2!$B:$J,8,0)</f>
        <v>111-885-796</v>
      </c>
      <c r="E47" s="70">
        <v>46069.896307870367</v>
      </c>
      <c r="F47" s="67" t="s">
        <v>1579</v>
      </c>
      <c r="G47" s="21" t="s">
        <v>3485</v>
      </c>
      <c r="H47" s="70">
        <v>46069.935891203713</v>
      </c>
      <c r="I47" s="21" t="s">
        <v>3486</v>
      </c>
      <c r="J47" s="67" t="s">
        <v>3487</v>
      </c>
      <c r="K47" s="22" t="s">
        <v>3488</v>
      </c>
      <c r="L47" s="28" t="s">
        <v>1</v>
      </c>
    </row>
    <row r="48" spans="1:12" x14ac:dyDescent="0.3">
      <c r="A48" s="27" t="s">
        <v>2001</v>
      </c>
      <c r="B48" s="21" t="str">
        <f>VLOOKUP(Table4[[#This Row],[Vehicle no]],[1]Sheet2!$B:$J,4,0)</f>
        <v xml:space="preserve">MOUD KIMWELI MUSSA </v>
      </c>
      <c r="C48" s="21" t="str">
        <f>VLOOKUP(Table4[[#This Row],[Vehicle no]],[1]Sheet2!$B:$J,9,0)</f>
        <v>PLASDUS MAHUMBA</v>
      </c>
      <c r="D48" s="21" t="e">
        <f>VLOOKUP(Table4[[#This Row],[Vehicle no]],[1]Sheet2!$B:$J,8,0)</f>
        <v>#N/A</v>
      </c>
      <c r="E48" s="70">
        <v>46069.959918981483</v>
      </c>
      <c r="F48" s="67" t="s">
        <v>1579</v>
      </c>
      <c r="G48" s="21" t="s">
        <v>2930</v>
      </c>
      <c r="H48" s="70">
        <v>46069.985011574077</v>
      </c>
      <c r="I48" s="21" t="s">
        <v>3489</v>
      </c>
      <c r="J48" s="67" t="s">
        <v>3490</v>
      </c>
      <c r="K48" s="22" t="s">
        <v>3491</v>
      </c>
      <c r="L48" s="28" t="s">
        <v>1</v>
      </c>
    </row>
    <row r="49" spans="1:12" x14ac:dyDescent="0.3">
      <c r="A49" s="27" t="s">
        <v>208</v>
      </c>
      <c r="B49" s="21" t="str">
        <f>VLOOKUP(Table4[[#This Row],[Vehicle no]],[1]Sheet2!$B:$J,4,0)</f>
        <v>ALLY ALIAMINI MSAMI</v>
      </c>
      <c r="C49" s="21" t="str">
        <f>VLOOKUP(Table4[[#This Row],[Vehicle no]],[1]Sheet2!$B:$J,9,0)</f>
        <v>SADI KIMWAGA</v>
      </c>
      <c r="D49" s="21" t="e">
        <f>VLOOKUP(Table4[[#This Row],[Vehicle no]],[1]Sheet2!$B:$J,8,0)</f>
        <v>#N/A</v>
      </c>
      <c r="E49" s="70">
        <v>46069.981539351851</v>
      </c>
      <c r="F49" s="67" t="s">
        <v>1579</v>
      </c>
      <c r="G49" s="21" t="s">
        <v>2930</v>
      </c>
      <c r="H49" s="70">
        <v>46069.999837962961</v>
      </c>
      <c r="I49" s="21" t="s">
        <v>2930</v>
      </c>
      <c r="J49" s="67" t="s">
        <v>3492</v>
      </c>
      <c r="K49" s="22" t="s">
        <v>3493</v>
      </c>
      <c r="L49" s="28" t="s">
        <v>1</v>
      </c>
    </row>
    <row r="50" spans="1:12" x14ac:dyDescent="0.3">
      <c r="A50" s="27" t="s">
        <v>955</v>
      </c>
      <c r="B50" s="21" t="str">
        <f>VLOOKUP(Table4[[#This Row],[Vehicle no]],[1]Sheet2!$B:$J,4,0)</f>
        <v>ZACHALIA JOSEPH SHIMBI</v>
      </c>
      <c r="C50" s="21" t="str">
        <f>VLOOKUP(Table4[[#This Row],[Vehicle no]],[1]Sheet2!$B:$J,9,0)</f>
        <v>PLASDUS MAHUMBA</v>
      </c>
      <c r="D50" s="21" t="e">
        <f>VLOOKUP(Table4[[#This Row],[Vehicle no]],[1]Sheet2!$B:$J,8,0)</f>
        <v>#N/A</v>
      </c>
      <c r="E50" s="70">
        <v>46069.98233796296</v>
      </c>
      <c r="F50" s="67" t="s">
        <v>1579</v>
      </c>
      <c r="G50" s="21" t="s">
        <v>2930</v>
      </c>
      <c r="H50" s="70">
        <v>46069.999791666669</v>
      </c>
      <c r="I50" s="21" t="s">
        <v>2930</v>
      </c>
      <c r="J50" s="67" t="s">
        <v>3494</v>
      </c>
      <c r="K50" s="22" t="s">
        <v>3495</v>
      </c>
      <c r="L50" s="28" t="s">
        <v>1</v>
      </c>
    </row>
    <row r="51" spans="1:12" x14ac:dyDescent="0.3">
      <c r="A51" s="27" t="s">
        <v>958</v>
      </c>
      <c r="B51" s="21" t="str">
        <f>VLOOKUP(Table4[[#This Row],[Vehicle no]],[1]Sheet2!$B:$J,4,0)</f>
        <v>OPTATUS SYLVESTER MUHINDO</v>
      </c>
      <c r="C51" s="21" t="str">
        <f>VLOOKUP(Table4[[#This Row],[Vehicle no]],[1]Sheet2!$B:$J,9,0)</f>
        <v>PLASDUS MAHUMBA</v>
      </c>
      <c r="D51" s="21" t="e">
        <f>VLOOKUP(Table4[[#This Row],[Vehicle no]],[1]Sheet2!$B:$J,8,0)</f>
        <v>#N/A</v>
      </c>
      <c r="E51" s="70">
        <v>46069.959953703707</v>
      </c>
      <c r="F51" s="67" t="s">
        <v>1579</v>
      </c>
      <c r="G51" s="21" t="s">
        <v>2930</v>
      </c>
      <c r="H51" s="70">
        <v>46069.985474537039</v>
      </c>
      <c r="I51" s="21" t="s">
        <v>3489</v>
      </c>
      <c r="J51" s="67" t="s">
        <v>3496</v>
      </c>
      <c r="K51" s="22" t="s">
        <v>3497</v>
      </c>
      <c r="L51" s="28" t="s">
        <v>1</v>
      </c>
    </row>
    <row r="52" spans="1:12" x14ac:dyDescent="0.3">
      <c r="A52" s="27" t="s">
        <v>2028</v>
      </c>
      <c r="B52" s="21" t="str">
        <f>VLOOKUP(Table4[[#This Row],[Vehicle no]],[1]Sheet2!$B:$J,4,0)</f>
        <v>ENOCK ADRIANO MUSHI</v>
      </c>
      <c r="C52" s="21" t="str">
        <f>VLOOKUP(Table4[[#This Row],[Vehicle no]],[1]Sheet2!$B:$J,9,0)</f>
        <v>IRENE SHIJA</v>
      </c>
      <c r="D52" s="21" t="str">
        <f>VLOOKUP(Table4[[#This Row],[Vehicle no]],[1]Sheet2!$B:$J,8,0)</f>
        <v>125-578-209</v>
      </c>
      <c r="E52" s="70">
        <v>46071.223807870367</v>
      </c>
      <c r="F52" s="67" t="s">
        <v>1753</v>
      </c>
      <c r="G52" s="21" t="s">
        <v>3498</v>
      </c>
      <c r="H52" s="70">
        <v>46071.383206018523</v>
      </c>
      <c r="I52" s="21" t="s">
        <v>3499</v>
      </c>
      <c r="J52" s="67" t="s">
        <v>3500</v>
      </c>
      <c r="K52" s="22" t="s">
        <v>3501</v>
      </c>
      <c r="L52" s="28" t="s">
        <v>2</v>
      </c>
    </row>
    <row r="53" spans="1:12" x14ac:dyDescent="0.3">
      <c r="A53" s="27" t="s">
        <v>715</v>
      </c>
      <c r="B53" s="21" t="str">
        <f>VLOOKUP(Table4[[#This Row],[Vehicle no]],[1]Sheet2!$B:$J,4,0)</f>
        <v>AMIRI TALIB SHEIN</v>
      </c>
      <c r="C53" s="21" t="str">
        <f>VLOOKUP(Table4[[#This Row],[Vehicle no]],[1]Sheet2!$B:$J,9,0)</f>
        <v>PLASDUS MAHUMBA</v>
      </c>
      <c r="D53" s="21" t="e">
        <f>VLOOKUP(Table4[[#This Row],[Vehicle no]],[1]Sheet2!$B:$J,8,0)</f>
        <v>#N/A</v>
      </c>
      <c r="E53" s="70">
        <v>46071.916527777779</v>
      </c>
      <c r="F53" s="67" t="s">
        <v>1753</v>
      </c>
      <c r="G53" s="21" t="s">
        <v>3502</v>
      </c>
      <c r="H53" s="70">
        <v>46071.997152777767</v>
      </c>
      <c r="I53" s="21" t="s">
        <v>3503</v>
      </c>
      <c r="J53" s="67" t="s">
        <v>3504</v>
      </c>
      <c r="K53" s="22" t="s">
        <v>3505</v>
      </c>
      <c r="L53" s="28" t="s">
        <v>1</v>
      </c>
    </row>
    <row r="54" spans="1:12" x14ac:dyDescent="0.3">
      <c r="A54" s="27" t="s">
        <v>429</v>
      </c>
      <c r="B54" s="21" t="str">
        <f>VLOOKUP(Table4[[#This Row],[Vehicle no]],[1]Sheet2!$B:$J,4,0)</f>
        <v>MATHIAS ISDORY MGOMBE</v>
      </c>
      <c r="C54" s="21" t="str">
        <f>VLOOKUP(Table4[[#This Row],[Vehicle no]],[1]Sheet2!$B:$J,9,0)</f>
        <v>LUSAJO KASUNGA</v>
      </c>
      <c r="D54" s="21">
        <f>VLOOKUP(Table4[[#This Row],[Vehicle no]],[1]Sheet2!$B:$J,8,0)</f>
        <v>111297576</v>
      </c>
      <c r="E54" s="70">
        <v>46072.234895833331</v>
      </c>
      <c r="F54" s="67" t="s">
        <v>1837</v>
      </c>
      <c r="G54" s="21" t="s">
        <v>1565</v>
      </c>
      <c r="H54" s="70">
        <v>46072.387766203698</v>
      </c>
      <c r="I54" s="21" t="s">
        <v>3359</v>
      </c>
      <c r="J54" s="67" t="s">
        <v>3506</v>
      </c>
      <c r="K54" s="22" t="s">
        <v>3507</v>
      </c>
      <c r="L54" s="28" t="s">
        <v>2</v>
      </c>
    </row>
    <row r="55" spans="1:12" x14ac:dyDescent="0.3">
      <c r="A55" s="27" t="s">
        <v>1424</v>
      </c>
      <c r="B55" s="21" t="str">
        <f>VLOOKUP(Table4[[#This Row],[Vehicle no]],[1]Sheet2!$B:$J,4,0)</f>
        <v>NASSORO ALLY AMBALI</v>
      </c>
      <c r="C55" s="21" t="str">
        <f>VLOOKUP(Table4[[#This Row],[Vehicle no]],[1]Sheet2!$B:$J,9,0)</f>
        <v>Ayoub BENESTA</v>
      </c>
      <c r="D55" s="21">
        <f>VLOOKUP(Table4[[#This Row],[Vehicle no]],[1]Sheet2!$B:$J,8,0)</f>
        <v>112217495</v>
      </c>
      <c r="E55" s="70">
        <v>46073.903368055559</v>
      </c>
      <c r="F55" s="67" t="s">
        <v>1925</v>
      </c>
      <c r="G55" s="21" t="s">
        <v>1161</v>
      </c>
      <c r="H55" s="70">
        <v>46073.976423611108</v>
      </c>
      <c r="I55" s="21" t="s">
        <v>3508</v>
      </c>
      <c r="J55" s="67" t="s">
        <v>3509</v>
      </c>
      <c r="K55" s="22" t="s">
        <v>3510</v>
      </c>
      <c r="L55" s="28" t="s">
        <v>1</v>
      </c>
    </row>
    <row r="56" spans="1:12" x14ac:dyDescent="0.3">
      <c r="A56" s="27" t="s">
        <v>42</v>
      </c>
      <c r="B56" s="21" t="str">
        <f>VLOOKUP(Table4[[#This Row],[Vehicle no]],[1]Sheet2!$B:$J,4,0)</f>
        <v>OTHUMAN SALUM MSIKA</v>
      </c>
      <c r="C56" s="21" t="str">
        <f>VLOOKUP(Table4[[#This Row],[Vehicle no]],[1]Sheet2!$B:$J,9,0)</f>
        <v>IRENE SHIJA</v>
      </c>
      <c r="D56" s="21" t="str">
        <f>VLOOKUP(Table4[[#This Row],[Vehicle no]],[1]Sheet2!$B:$J,8,0)</f>
        <v>111-885-796</v>
      </c>
      <c r="E56" s="70">
        <v>46073.21230324074</v>
      </c>
      <c r="F56" s="67" t="s">
        <v>1925</v>
      </c>
      <c r="G56" s="21" t="s">
        <v>3462</v>
      </c>
      <c r="H56" s="70">
        <v>46073.841111111113</v>
      </c>
      <c r="I56" s="21" t="s">
        <v>213</v>
      </c>
      <c r="J56" s="67" t="s">
        <v>3511</v>
      </c>
      <c r="K56" s="22" t="s">
        <v>3512</v>
      </c>
      <c r="L56" s="28" t="s">
        <v>2</v>
      </c>
    </row>
    <row r="57" spans="1:12" x14ac:dyDescent="0.3">
      <c r="A57" s="27" t="s">
        <v>1097</v>
      </c>
      <c r="B57" s="21" t="str">
        <f>VLOOKUP(Table4[[#This Row],[Vehicle no]],[1]Sheet2!$B:$J,4,0)</f>
        <v>MUSSA OMARY HAMZA</v>
      </c>
      <c r="C57" s="21" t="str">
        <f>VLOOKUP(Table4[[#This Row],[Vehicle no]],[1]Sheet2!$B:$J,9,0)</f>
        <v>Martha GOLODI</v>
      </c>
      <c r="D57" s="21" t="e">
        <f>VLOOKUP(Table4[[#This Row],[Vehicle no]],[1]Sheet2!$B:$J,8,0)</f>
        <v>#N/A</v>
      </c>
      <c r="E57" s="70">
        <v>46073.22997685185</v>
      </c>
      <c r="F57" s="67" t="s">
        <v>1925</v>
      </c>
      <c r="G57" s="21" t="s">
        <v>3370</v>
      </c>
      <c r="H57" s="70">
        <v>46073.366967592592</v>
      </c>
      <c r="I57" s="21" t="s">
        <v>3513</v>
      </c>
      <c r="J57" s="67" t="s">
        <v>3514</v>
      </c>
      <c r="K57" s="22" t="s">
        <v>3515</v>
      </c>
      <c r="L57" s="28" t="s">
        <v>2</v>
      </c>
    </row>
    <row r="58" spans="1:12" x14ac:dyDescent="0.3">
      <c r="A58" s="27" t="s">
        <v>929</v>
      </c>
      <c r="B58" s="21" t="str">
        <f>VLOOKUP(Table4[[#This Row],[Vehicle no]],[1]Sheet2!$B:$J,4,0)</f>
        <v>RAMADHANI SALIMU SHEDAFA</v>
      </c>
      <c r="C58" s="21" t="str">
        <f>VLOOKUP(Table4[[#This Row],[Vehicle no]],[1]Sheet2!$B:$J,9,0)</f>
        <v>Ayoub BENESTA</v>
      </c>
      <c r="D58" s="21">
        <f>VLOOKUP(Table4[[#This Row],[Vehicle no]],[1]Sheet2!$B:$J,8,0)</f>
        <v>113000848</v>
      </c>
      <c r="E58" s="70">
        <v>46073.233680555553</v>
      </c>
      <c r="F58" s="67" t="s">
        <v>1925</v>
      </c>
      <c r="G58" s="21" t="s">
        <v>3455</v>
      </c>
      <c r="H58" s="70">
        <v>46073.475648148153</v>
      </c>
      <c r="I58" s="21" t="s">
        <v>3516</v>
      </c>
      <c r="J58" s="67" t="s">
        <v>3517</v>
      </c>
      <c r="K58" s="22" t="s">
        <v>3518</v>
      </c>
      <c r="L58" s="28" t="s">
        <v>2</v>
      </c>
    </row>
    <row r="59" spans="1:12" x14ac:dyDescent="0.3">
      <c r="A59" s="27" t="s">
        <v>1956</v>
      </c>
      <c r="B59" s="21" t="str">
        <f>VLOOKUP(Table4[[#This Row],[Vehicle no]],[1]Sheet2!$B:$J,4,0)</f>
        <v>ATHUMANI SAID MAKANJILA</v>
      </c>
      <c r="C59" s="21" t="str">
        <f>VLOOKUP(Table4[[#This Row],[Vehicle no]],[1]Sheet2!$B:$J,9,0)</f>
        <v>Ayoub BENESTA</v>
      </c>
      <c r="D59" s="21">
        <f>VLOOKUP(Table4[[#This Row],[Vehicle no]],[1]Sheet2!$B:$J,8,0)</f>
        <v>121274876</v>
      </c>
      <c r="E59" s="70">
        <v>46073.903229166674</v>
      </c>
      <c r="F59" s="67" t="s">
        <v>1925</v>
      </c>
      <c r="G59" s="21" t="s">
        <v>3519</v>
      </c>
      <c r="H59" s="70">
        <v>46073.975868055553</v>
      </c>
      <c r="I59" s="21" t="s">
        <v>3508</v>
      </c>
      <c r="J59" s="67" t="s">
        <v>3520</v>
      </c>
      <c r="K59" s="22" t="s">
        <v>3521</v>
      </c>
      <c r="L59" s="28" t="s">
        <v>1</v>
      </c>
    </row>
    <row r="60" spans="1:12" x14ac:dyDescent="0.3">
      <c r="A60" s="27" t="s">
        <v>715</v>
      </c>
      <c r="B60" s="21" t="str">
        <f>VLOOKUP(Table4[[#This Row],[Vehicle no]],[1]Sheet2!$B:$J,4,0)</f>
        <v>AMIRI TALIB SHEIN</v>
      </c>
      <c r="C60" s="21" t="str">
        <f>VLOOKUP(Table4[[#This Row],[Vehicle no]],[1]Sheet2!$B:$J,9,0)</f>
        <v>PLASDUS MAHUMBA</v>
      </c>
      <c r="D60" s="21" t="e">
        <f>VLOOKUP(Table4[[#This Row],[Vehicle no]],[1]Sheet2!$B:$J,8,0)</f>
        <v>#N/A</v>
      </c>
      <c r="E60" s="70">
        <v>46073.217673611107</v>
      </c>
      <c r="F60" s="67" t="s">
        <v>1925</v>
      </c>
      <c r="G60" s="21" t="s">
        <v>558</v>
      </c>
      <c r="H60" s="70">
        <v>46073.37877314815</v>
      </c>
      <c r="I60" s="21" t="s">
        <v>3522</v>
      </c>
      <c r="J60" s="67" t="s">
        <v>3523</v>
      </c>
      <c r="K60" s="22" t="s">
        <v>3524</v>
      </c>
      <c r="L60" s="28" t="s">
        <v>2</v>
      </c>
    </row>
    <row r="61" spans="1:12" x14ac:dyDescent="0.3">
      <c r="A61" s="27" t="s">
        <v>45</v>
      </c>
      <c r="B61" s="21" t="str">
        <f>VLOOKUP(Table4[[#This Row],[Vehicle no]],[1]Sheet2!$B:$J,4,0)</f>
        <v>SAMSONI JOSEPH USEGA</v>
      </c>
      <c r="C61" s="21" t="str">
        <f>VLOOKUP(Table4[[#This Row],[Vehicle no]],[1]Sheet2!$B:$J,9,0)</f>
        <v>Ayoub BENESTA</v>
      </c>
      <c r="D61" s="21" t="str">
        <f>VLOOKUP(Table4[[#This Row],[Vehicle no]],[1]Sheet2!$B:$J,8,0)</f>
        <v>121-305-011</v>
      </c>
      <c r="E61" s="70">
        <v>46073.227534722217</v>
      </c>
      <c r="F61" s="67" t="s">
        <v>1925</v>
      </c>
      <c r="G61" s="21" t="s">
        <v>3525</v>
      </c>
      <c r="H61" s="70">
        <v>46073.32439814815</v>
      </c>
      <c r="I61" s="21" t="s">
        <v>1288</v>
      </c>
      <c r="J61" s="67" t="s">
        <v>3526</v>
      </c>
      <c r="K61" s="22" t="s">
        <v>3527</v>
      </c>
      <c r="L61" s="28" t="s">
        <v>2</v>
      </c>
    </row>
    <row r="62" spans="1:12" x14ac:dyDescent="0.3">
      <c r="A62" s="27" t="s">
        <v>1525</v>
      </c>
      <c r="B62" s="21" t="str">
        <f>VLOOKUP(Table4[[#This Row],[Vehicle no]],[1]Sheet2!$B:$J,4,0)</f>
        <v>JOSEPHAT MARO KEBURE</v>
      </c>
      <c r="C62" s="21" t="str">
        <f>VLOOKUP(Table4[[#This Row],[Vehicle no]],[1]Sheet2!$B:$J,9,0)</f>
        <v>Martha GOLODI</v>
      </c>
      <c r="D62" s="21" t="str">
        <f>VLOOKUP(Table4[[#This Row],[Vehicle no]],[1]Sheet2!$B:$J,8,0)</f>
        <v>117-893-677</v>
      </c>
      <c r="E62" s="70">
        <v>46075.921226851853</v>
      </c>
      <c r="F62" s="67" t="s">
        <v>1982</v>
      </c>
      <c r="G62" s="21" t="s">
        <v>3528</v>
      </c>
      <c r="H62" s="70">
        <v>46075.959224537037</v>
      </c>
      <c r="I62" s="21" t="s">
        <v>3529</v>
      </c>
      <c r="J62" s="67" t="s">
        <v>3530</v>
      </c>
      <c r="K62" s="22" t="s">
        <v>3531</v>
      </c>
      <c r="L62" s="28" t="s">
        <v>1</v>
      </c>
    </row>
    <row r="63" spans="1:12" x14ac:dyDescent="0.3">
      <c r="A63" s="27" t="s">
        <v>138</v>
      </c>
      <c r="B63" s="21" t="str">
        <f>VLOOKUP(Table4[[#This Row],[Vehicle no]],[1]Sheet2!$B:$J,4,0)</f>
        <v>FADHILI SAIDI MTULILA</v>
      </c>
      <c r="C63" s="21" t="str">
        <f>VLOOKUP(Table4[[#This Row],[Vehicle no]],[1]Sheet2!$B:$J,9,0)</f>
        <v>IRENE SHIJA</v>
      </c>
      <c r="D63" s="21" t="e">
        <f>VLOOKUP(Table4[[#This Row],[Vehicle no]],[1]Sheet2!$B:$J,8,0)</f>
        <v>#N/A</v>
      </c>
      <c r="E63" s="70">
        <v>46075.231076388889</v>
      </c>
      <c r="F63" s="67" t="s">
        <v>1982</v>
      </c>
      <c r="G63" s="21" t="s">
        <v>3532</v>
      </c>
      <c r="H63" s="70">
        <v>46075.403935185182</v>
      </c>
      <c r="I63" s="21" t="s">
        <v>3533</v>
      </c>
      <c r="J63" s="67" t="s">
        <v>3534</v>
      </c>
      <c r="K63" s="22" t="s">
        <v>3535</v>
      </c>
      <c r="L63" s="28" t="s">
        <v>2</v>
      </c>
    </row>
    <row r="64" spans="1:12" x14ac:dyDescent="0.3">
      <c r="A64" s="27" t="s">
        <v>3023</v>
      </c>
      <c r="B64" s="21" t="e">
        <f>VLOOKUP(Table4[[#This Row],[Vehicle no]],[1]Sheet2!$B:$J,4,0)</f>
        <v>#N/A</v>
      </c>
      <c r="C64" s="21" t="e">
        <f>VLOOKUP(Table4[[#This Row],[Vehicle no]],[1]Sheet2!$B:$J,9,0)</f>
        <v>#N/A</v>
      </c>
      <c r="D64" s="21" t="e">
        <f>VLOOKUP(Table4[[#This Row],[Vehicle no]],[1]Sheet2!$B:$J,8,0)</f>
        <v>#N/A</v>
      </c>
      <c r="E64" s="70">
        <v>46075.233020833337</v>
      </c>
      <c r="F64" s="67" t="s">
        <v>1982</v>
      </c>
      <c r="G64" s="21" t="s">
        <v>1335</v>
      </c>
      <c r="H64" s="70">
        <v>46075.531793981478</v>
      </c>
      <c r="I64" s="21" t="s">
        <v>553</v>
      </c>
      <c r="J64" s="67" t="s">
        <v>3536</v>
      </c>
      <c r="K64" s="22" t="s">
        <v>3537</v>
      </c>
      <c r="L64" s="28" t="s">
        <v>2</v>
      </c>
    </row>
    <row r="65" spans="1:12" x14ac:dyDescent="0.3">
      <c r="A65" s="27" t="s">
        <v>1057</v>
      </c>
      <c r="B65" s="21" t="str">
        <f>VLOOKUP(Table4[[#This Row],[Vehicle no]],[1]Sheet2!$B:$J,4,0)</f>
        <v>BAKARI MOHAMED MBOGO</v>
      </c>
      <c r="C65" s="21" t="str">
        <f>VLOOKUP(Table4[[#This Row],[Vehicle no]],[1]Sheet2!$B:$J,9,0)</f>
        <v>PLASDUS MAHUMBA</v>
      </c>
      <c r="D65" s="21" t="str">
        <f>VLOOKUP(Table4[[#This Row],[Vehicle no]],[1]Sheet2!$B:$J,8,0)</f>
        <v>118-971-086</v>
      </c>
      <c r="E65" s="70">
        <v>46075.219537037039</v>
      </c>
      <c r="F65" s="67" t="s">
        <v>1982</v>
      </c>
      <c r="G65" s="21" t="s">
        <v>1541</v>
      </c>
      <c r="H65" s="70">
        <v>46075.354675925933</v>
      </c>
      <c r="I65" s="21" t="s">
        <v>213</v>
      </c>
      <c r="J65" s="67" t="s">
        <v>3538</v>
      </c>
      <c r="K65" s="22" t="s">
        <v>3539</v>
      </c>
      <c r="L65" s="28" t="s">
        <v>2</v>
      </c>
    </row>
    <row r="66" spans="1:12" x14ac:dyDescent="0.3">
      <c r="A66" s="27" t="s">
        <v>272</v>
      </c>
      <c r="B66" s="21" t="str">
        <f>VLOOKUP(Table4[[#This Row],[Vehicle no]],[1]Sheet2!$B:$J,4,0)</f>
        <v>ALBERT GIBSON MWAKAJILEKE</v>
      </c>
      <c r="C66" s="21" t="str">
        <f>VLOOKUP(Table4[[#This Row],[Vehicle no]],[1]Sheet2!$B:$J,9,0)</f>
        <v>Ayoub BENESTA</v>
      </c>
      <c r="D66" s="21" t="str">
        <f>VLOOKUP(Table4[[#This Row],[Vehicle no]],[1]Sheet2!$B:$J,8,0)</f>
        <v>111-385-882</v>
      </c>
      <c r="E66" s="70">
        <v>46075.216412037043</v>
      </c>
      <c r="F66" s="67" t="s">
        <v>1982</v>
      </c>
      <c r="G66" s="21" t="s">
        <v>3540</v>
      </c>
      <c r="H66" s="70">
        <v>46075.365624999999</v>
      </c>
      <c r="I66" s="21" t="s">
        <v>1710</v>
      </c>
      <c r="J66" s="67" t="s">
        <v>3541</v>
      </c>
      <c r="K66" s="22" t="s">
        <v>3542</v>
      </c>
      <c r="L66" s="28" t="s">
        <v>2</v>
      </c>
    </row>
    <row r="67" spans="1:12" x14ac:dyDescent="0.3">
      <c r="A67" s="27" t="s">
        <v>1604</v>
      </c>
      <c r="B67" s="21" t="str">
        <f>VLOOKUP(Table4[[#This Row],[Vehicle no]],[1]Sheet2!$B:$J,4,0)</f>
        <v>OMARI SALIMU MOHAMEDI</v>
      </c>
      <c r="C67" s="21" t="str">
        <f>VLOOKUP(Table4[[#This Row],[Vehicle no]],[1]Sheet2!$B:$J,9,0)</f>
        <v>SADI KIMWAGA</v>
      </c>
      <c r="D67" s="21">
        <f>VLOOKUP(Table4[[#This Row],[Vehicle no]],[1]Sheet2!$B:$J,8,0)</f>
        <v>136382101</v>
      </c>
      <c r="E67" s="70">
        <v>46076.220925925933</v>
      </c>
      <c r="F67" s="67" t="s">
        <v>2024</v>
      </c>
      <c r="G67" s="21" t="s">
        <v>1410</v>
      </c>
      <c r="H67" s="70">
        <v>46076.373611111107</v>
      </c>
      <c r="I67" s="21" t="s">
        <v>3420</v>
      </c>
      <c r="J67" s="67" t="s">
        <v>3543</v>
      </c>
      <c r="K67" s="22" t="s">
        <v>3544</v>
      </c>
      <c r="L67" s="28" t="s">
        <v>2</v>
      </c>
    </row>
    <row r="68" spans="1:12" x14ac:dyDescent="0.3">
      <c r="A68" s="27" t="s">
        <v>2529</v>
      </c>
      <c r="B68" s="21" t="str">
        <f>VLOOKUP(Table4[[#This Row],[Vehicle no]],[1]Sheet2!$B:$J,4,0)</f>
        <v>ATANASI PETRO MAGOHE</v>
      </c>
      <c r="C68" s="21" t="str">
        <f>VLOOKUP(Table4[[#This Row],[Vehicle no]],[1]Sheet2!$B:$J,9,0)</f>
        <v>SADI KIMWAGA</v>
      </c>
      <c r="D68" s="21">
        <f>VLOOKUP(Table4[[#This Row],[Vehicle no]],[1]Sheet2!$B:$J,8,0)</f>
        <v>130721125</v>
      </c>
      <c r="E68" s="70">
        <v>46076.221782407411</v>
      </c>
      <c r="F68" s="67" t="s">
        <v>2024</v>
      </c>
      <c r="G68" s="21" t="s">
        <v>1410</v>
      </c>
      <c r="H68" s="70">
        <v>46076.373865740738</v>
      </c>
      <c r="I68" s="21" t="s">
        <v>3420</v>
      </c>
      <c r="J68" s="67" t="s">
        <v>3545</v>
      </c>
      <c r="K68" s="22" t="s">
        <v>3546</v>
      </c>
      <c r="L68" s="28" t="s">
        <v>2</v>
      </c>
    </row>
    <row r="69" spans="1:12" x14ac:dyDescent="0.3">
      <c r="A69" s="27" t="s">
        <v>102</v>
      </c>
      <c r="B69" s="21" t="str">
        <f>VLOOKUP(Table4[[#This Row],[Vehicle no]],[1]Sheet2!$B:$J,4,0)</f>
        <v>SAIMON GEORGE KAAYA</v>
      </c>
      <c r="C69" s="21" t="str">
        <f>VLOOKUP(Table4[[#This Row],[Vehicle no]],[1]Sheet2!$B:$J,9,0)</f>
        <v>LUSAJO KASUNGA</v>
      </c>
      <c r="D69" s="21" t="e">
        <f>VLOOKUP(Table4[[#This Row],[Vehicle no]],[1]Sheet2!$B:$J,8,0)</f>
        <v>#N/A</v>
      </c>
      <c r="E69" s="70" t="s">
        <v>3547</v>
      </c>
      <c r="F69" s="67" t="str">
        <f>LEFT(E:E,10)</f>
        <v>2026-02-23</v>
      </c>
      <c r="G69" s="21" t="s">
        <v>3548</v>
      </c>
      <c r="H69" s="70" t="s">
        <v>3549</v>
      </c>
      <c r="I69" s="21" t="s">
        <v>3550</v>
      </c>
      <c r="J69" s="67" t="s">
        <v>3551</v>
      </c>
      <c r="K69" s="22">
        <v>16.710142999999999</v>
      </c>
      <c r="L69" s="28" t="s">
        <v>1</v>
      </c>
    </row>
    <row r="70" spans="1:12" x14ac:dyDescent="0.3">
      <c r="A70" s="27" t="s">
        <v>2117</v>
      </c>
      <c r="B70" s="21" t="str">
        <f>VLOOKUP(Table4[[#This Row],[Vehicle no]],[1]Sheet2!$B:$J,4,0)</f>
        <v>RAJABU KONGO LADISLAUS</v>
      </c>
      <c r="C70" s="21" t="str">
        <f>VLOOKUP(Table4[[#This Row],[Vehicle no]],[1]Sheet2!$B:$J,9,0)</f>
        <v>SADI KIMWAGA</v>
      </c>
      <c r="D70" s="21">
        <f>VLOOKUP(Table4[[#This Row],[Vehicle no]],[1]Sheet2!$B:$J,8,0)</f>
        <v>112304606</v>
      </c>
      <c r="E70" s="70" t="str">
        <f>VLOOKUP(A70,[2]TRIPS!A:G,2,)</f>
        <v>2026-02-23 20:45:42</v>
      </c>
      <c r="F70" s="67" t="str">
        <f>LEFT(E:E,10)</f>
        <v>2026-02-23</v>
      </c>
      <c r="G70" s="21" t="str">
        <f>VLOOKUP(A70,[2]TRIPS!A:G,3,)</f>
        <v>WENDA WBG</v>
      </c>
      <c r="H70" s="70" t="str">
        <f>VLOOKUP(A70,[2]TRIPS!A:G,4,)</f>
        <v>2026-02-23 21:45:29</v>
      </c>
      <c r="I70" s="21" t="str">
        <f>VLOOKUP(A70,[2]TRIPS!A:G,5,)</f>
        <v>Dar - Mbeya Highway, Ndiuka</v>
      </c>
      <c r="J70" s="67" t="str">
        <f>VLOOKUP(A70,[2]TRIPS!A:G,6,)</f>
        <v>0:32:45</v>
      </c>
      <c r="K70" s="22">
        <f>VLOOKUP(A70,[2]TRIPS!A:G,7,)</f>
        <v>20.174108</v>
      </c>
      <c r="L70" s="28" t="s">
        <v>1</v>
      </c>
    </row>
    <row r="71" spans="1:12" x14ac:dyDescent="0.3">
      <c r="A71" s="27" t="s">
        <v>105</v>
      </c>
      <c r="B71" s="21" t="str">
        <f>VLOOKUP(Table4[[#This Row],[Vehicle no]],[1]Sheet2!$B:$J,4,0)</f>
        <v>KITENGU HAMISI KITENGU</v>
      </c>
      <c r="C71" s="21" t="str">
        <f>VLOOKUP(Table4[[#This Row],[Vehicle no]],[1]Sheet2!$B:$J,9,0)</f>
        <v>Martha GOLODI</v>
      </c>
      <c r="D71" s="21">
        <f>VLOOKUP(Table4[[#This Row],[Vehicle no]],[1]Sheet2!$B:$J,8,0)</f>
        <v>0</v>
      </c>
      <c r="E71" s="70">
        <v>46077.91028935185</v>
      </c>
      <c r="F71" s="67" t="s">
        <v>2059</v>
      </c>
      <c r="G71" s="21" t="s">
        <v>2231</v>
      </c>
      <c r="H71" s="70">
        <v>46077.99962962963</v>
      </c>
      <c r="I71" s="21" t="s">
        <v>3552</v>
      </c>
      <c r="J71" s="67" t="s">
        <v>3553</v>
      </c>
      <c r="K71" s="22" t="s">
        <v>3554</v>
      </c>
      <c r="L71" s="28" t="s">
        <v>1</v>
      </c>
    </row>
    <row r="72" spans="1:12" x14ac:dyDescent="0.3">
      <c r="A72" s="27" t="s">
        <v>2028</v>
      </c>
      <c r="B72" s="21" t="str">
        <f>VLOOKUP(Table4[[#This Row],[Vehicle no]],[1]Sheet2!$B:$J,4,0)</f>
        <v>ENOCK ADRIANO MUSHI</v>
      </c>
      <c r="C72" s="21" t="str">
        <f>VLOOKUP(Table4[[#This Row],[Vehicle no]],[1]Sheet2!$B:$J,9,0)</f>
        <v>IRENE SHIJA</v>
      </c>
      <c r="D72" s="21" t="str">
        <f>VLOOKUP(Table4[[#This Row],[Vehicle no]],[1]Sheet2!$B:$J,8,0)</f>
        <v>125-578-209</v>
      </c>
      <c r="E72" s="70">
        <v>46077.208437499998</v>
      </c>
      <c r="F72" s="67" t="s">
        <v>2059</v>
      </c>
      <c r="G72" s="21" t="s">
        <v>3555</v>
      </c>
      <c r="H72" s="70">
        <v>46077.374236111107</v>
      </c>
      <c r="I72" s="21" t="s">
        <v>3359</v>
      </c>
      <c r="J72" s="67" t="s">
        <v>3556</v>
      </c>
      <c r="K72" s="22" t="s">
        <v>3557</v>
      </c>
      <c r="L72" s="28" t="s">
        <v>2</v>
      </c>
    </row>
    <row r="73" spans="1:12" x14ac:dyDescent="0.3">
      <c r="A73" s="27" t="s">
        <v>917</v>
      </c>
      <c r="B73" s="21" t="str">
        <f>VLOOKUP(Table4[[#This Row],[Vehicle no]],[1]Sheet2!$B:$J,4,0)</f>
        <v>MOHAMED BAKARI MSHIRAZI</v>
      </c>
      <c r="C73" s="21" t="str">
        <f>VLOOKUP(Table4[[#This Row],[Vehicle no]],[1]Sheet2!$B:$J,9,0)</f>
        <v>Martha GOLODI</v>
      </c>
      <c r="D73" s="21" t="str">
        <f>VLOOKUP(Table4[[#This Row],[Vehicle no]],[1]Sheet2!$B:$J,8,0)</f>
        <v>133-846-425</v>
      </c>
      <c r="E73" s="70">
        <v>46077.231840277767</v>
      </c>
      <c r="F73" s="67" t="s">
        <v>2059</v>
      </c>
      <c r="G73" s="21" t="s">
        <v>2100</v>
      </c>
      <c r="H73" s="70">
        <v>46077.441099537027</v>
      </c>
      <c r="I73" s="21" t="s">
        <v>2296</v>
      </c>
      <c r="J73" s="67" t="s">
        <v>3558</v>
      </c>
      <c r="K73" s="22" t="s">
        <v>3559</v>
      </c>
      <c r="L73" s="28" t="s">
        <v>2</v>
      </c>
    </row>
    <row r="74" spans="1:12" x14ac:dyDescent="0.3">
      <c r="A74" s="27" t="s">
        <v>734</v>
      </c>
      <c r="B74" s="21" t="str">
        <f>VLOOKUP(Table4[[#This Row],[Vehicle no]],[1]Sheet2!$B:$J,4,0)</f>
        <v>JEPHA ANDREW JORAM</v>
      </c>
      <c r="C74" s="21" t="str">
        <f>VLOOKUP(Table4[[#This Row],[Vehicle no]],[1]Sheet2!$B:$J,9,0)</f>
        <v>Ayoub BENESTA</v>
      </c>
      <c r="D74" s="21">
        <f>VLOOKUP(Table4[[#This Row],[Vehicle no]],[1]Sheet2!$B:$J,8,0)</f>
        <v>115259709</v>
      </c>
      <c r="E74" s="70">
        <v>46077.234305555547</v>
      </c>
      <c r="F74" s="67" t="s">
        <v>2059</v>
      </c>
      <c r="G74" s="21" t="s">
        <v>3560</v>
      </c>
      <c r="H74" s="70">
        <v>46077.462870370371</v>
      </c>
      <c r="I74" s="21" t="s">
        <v>3371</v>
      </c>
      <c r="J74" s="67" t="s">
        <v>3561</v>
      </c>
      <c r="K74" s="22" t="s">
        <v>3562</v>
      </c>
      <c r="L74" s="28" t="s">
        <v>2</v>
      </c>
    </row>
    <row r="75" spans="1:12" x14ac:dyDescent="0.3">
      <c r="A75" s="27" t="s">
        <v>278</v>
      </c>
      <c r="B75" s="21" t="str">
        <f>VLOOKUP(Table4[[#This Row],[Vehicle no]],[1]Sheet2!$B:$J,4,0)</f>
        <v>THADEUS CHARLES HONGOLI</v>
      </c>
      <c r="C75" s="21" t="str">
        <f>VLOOKUP(Table4[[#This Row],[Vehicle no]],[1]Sheet2!$B:$J,9,0)</f>
        <v>IRENE SHIJA</v>
      </c>
      <c r="D75" s="21" t="e">
        <f>VLOOKUP(Table4[[#This Row],[Vehicle no]],[1]Sheet2!$B:$J,8,0)</f>
        <v>#N/A</v>
      </c>
      <c r="E75" s="70">
        <v>46077.228460648148</v>
      </c>
      <c r="F75" s="67" t="s">
        <v>2059</v>
      </c>
      <c r="G75" s="21" t="s">
        <v>3462</v>
      </c>
      <c r="H75" s="70">
        <v>46077.359155092592</v>
      </c>
      <c r="I75" s="21" t="s">
        <v>3370</v>
      </c>
      <c r="J75" s="67" t="s">
        <v>3563</v>
      </c>
      <c r="K75" s="22" t="s">
        <v>3564</v>
      </c>
      <c r="L75" s="28" t="s">
        <v>2</v>
      </c>
    </row>
    <row r="76" spans="1:12" x14ac:dyDescent="0.3">
      <c r="A76" s="27" t="s">
        <v>907</v>
      </c>
      <c r="B76" s="21" t="str">
        <f>VLOOKUP(Table4[[#This Row],[Vehicle no]],[1]Sheet2!$B:$J,4,0)</f>
        <v>MOHAMEDI IDDI KULWA</v>
      </c>
      <c r="C76" s="21" t="str">
        <f>VLOOKUP(Table4[[#This Row],[Vehicle no]],[1]Sheet2!$B:$J,9,0)</f>
        <v>LUSAJO KASUNGA</v>
      </c>
      <c r="D76" s="21" t="e">
        <f>VLOOKUP(Table4[[#This Row],[Vehicle no]],[1]Sheet2!$B:$J,8,0)</f>
        <v>#N/A</v>
      </c>
      <c r="E76" s="70">
        <v>46078.235810185193</v>
      </c>
      <c r="F76" s="67" t="s">
        <v>2120</v>
      </c>
      <c r="G76" s="21" t="s">
        <v>3565</v>
      </c>
      <c r="H76" s="70">
        <v>46078.488738425927</v>
      </c>
      <c r="I76" s="21" t="s">
        <v>2073</v>
      </c>
      <c r="J76" s="67" t="s">
        <v>3566</v>
      </c>
      <c r="K76" s="22" t="s">
        <v>3567</v>
      </c>
      <c r="L76" s="28" t="s">
        <v>2</v>
      </c>
    </row>
    <row r="77" spans="1:12" x14ac:dyDescent="0.3">
      <c r="A77" s="27" t="s">
        <v>1940</v>
      </c>
      <c r="B77" s="21" t="str">
        <f>VLOOKUP(Table4[[#This Row],[Vehicle no]],[1]Sheet2!$B:$J,4,0)</f>
        <v>MWALIMU OMARY KIANGA</v>
      </c>
      <c r="C77" s="21" t="str">
        <f>VLOOKUP(Table4[[#This Row],[Vehicle no]],[1]Sheet2!$B:$J,9,0)</f>
        <v>SADI KIMWAGA</v>
      </c>
      <c r="D77" s="21" t="str">
        <f>VLOOKUP(Table4[[#This Row],[Vehicle no]],[1]Sheet2!$B:$J,8,0)</f>
        <v>124-306-531</v>
      </c>
      <c r="E77" s="70">
        <v>46078.963587962957</v>
      </c>
      <c r="F77" s="67" t="s">
        <v>2120</v>
      </c>
      <c r="G77" s="21" t="s">
        <v>2189</v>
      </c>
      <c r="H77" s="70">
        <v>46078.997627314813</v>
      </c>
      <c r="I77" s="21" t="s">
        <v>3568</v>
      </c>
      <c r="J77" s="67" t="s">
        <v>3569</v>
      </c>
      <c r="K77" s="22" t="s">
        <v>3570</v>
      </c>
      <c r="L77" s="28" t="s">
        <v>1</v>
      </c>
    </row>
    <row r="78" spans="1:12" x14ac:dyDescent="0.3">
      <c r="A78" s="27" t="s">
        <v>219</v>
      </c>
      <c r="B78" s="21" t="str">
        <f>VLOOKUP(Table4[[#This Row],[Vehicle no]],[1]Sheet2!$B:$J,4,0)</f>
        <v>N/A</v>
      </c>
      <c r="C78" s="21" t="str">
        <f>VLOOKUP(Table4[[#This Row],[Vehicle no]],[1]Sheet2!$B:$J,9,0)</f>
        <v>SADI KIMWAGA</v>
      </c>
      <c r="D78" s="21" t="e">
        <f>VLOOKUP(Table4[[#This Row],[Vehicle no]],[1]Sheet2!$B:$J,8,0)</f>
        <v>#N/A</v>
      </c>
      <c r="E78" s="70">
        <v>46078.970393518517</v>
      </c>
      <c r="F78" s="67" t="s">
        <v>2120</v>
      </c>
      <c r="G78" s="21" t="s">
        <v>3571</v>
      </c>
      <c r="H78" s="70">
        <v>46078.999884259261</v>
      </c>
      <c r="I78" s="21" t="s">
        <v>3572</v>
      </c>
      <c r="J78" s="67" t="s">
        <v>3573</v>
      </c>
      <c r="K78" s="22" t="s">
        <v>3574</v>
      </c>
      <c r="L78" s="28" t="s">
        <v>1</v>
      </c>
    </row>
    <row r="79" spans="1:12" x14ac:dyDescent="0.3">
      <c r="A79" s="27" t="s">
        <v>278</v>
      </c>
      <c r="B79" s="21" t="str">
        <f>VLOOKUP(Table4[[#This Row],[Vehicle no]],[1]Sheet2!$B:$J,4,0)</f>
        <v>THADEUS CHARLES HONGOLI</v>
      </c>
      <c r="C79" s="21" t="str">
        <f>VLOOKUP(Table4[[#This Row],[Vehicle no]],[1]Sheet2!$B:$J,9,0)</f>
        <v>IRENE SHIJA</v>
      </c>
      <c r="D79" s="21" t="e">
        <f>VLOOKUP(Table4[[#This Row],[Vehicle no]],[1]Sheet2!$B:$J,8,0)</f>
        <v>#N/A</v>
      </c>
      <c r="E79" s="70">
        <v>46078.228935185187</v>
      </c>
      <c r="F79" s="67" t="s">
        <v>2120</v>
      </c>
      <c r="G79" s="21" t="s">
        <v>3560</v>
      </c>
      <c r="H79" s="70">
        <v>46078.400925925933</v>
      </c>
      <c r="I79" s="21" t="s">
        <v>2098</v>
      </c>
      <c r="J79" s="67" t="s">
        <v>3575</v>
      </c>
      <c r="K79" s="22" t="s">
        <v>3576</v>
      </c>
      <c r="L79" s="28" t="s">
        <v>2</v>
      </c>
    </row>
    <row r="80" spans="1:12" x14ac:dyDescent="0.3">
      <c r="A80" s="27" t="s">
        <v>2062</v>
      </c>
      <c r="B80" s="21" t="str">
        <f>VLOOKUP(Table4[[#This Row],[Vehicle no]],[1]Sheet2!$B:$J,4,0)</f>
        <v>HASSAN ABDALLAH JUMA</v>
      </c>
      <c r="C80" s="21" t="str">
        <f>VLOOKUP(Table4[[#This Row],[Vehicle no]],[1]Sheet2!$B:$J,9,0)</f>
        <v>Ayoub BENESTA</v>
      </c>
      <c r="D80" s="21" t="str">
        <f>VLOOKUP(Table4[[#This Row],[Vehicle no]],[1]Sheet2!$B:$J,8,0)</f>
        <v>115-774-107</v>
      </c>
      <c r="E80" s="70">
        <v>46079.214791666673</v>
      </c>
      <c r="F80" s="67" t="s">
        <v>2167</v>
      </c>
      <c r="G80" s="21" t="s">
        <v>2061</v>
      </c>
      <c r="H80" s="70">
        <v>46079.322893518518</v>
      </c>
      <c r="I80" s="21" t="s">
        <v>3420</v>
      </c>
      <c r="J80" s="67" t="s">
        <v>3577</v>
      </c>
      <c r="K80" s="22" t="s">
        <v>3578</v>
      </c>
      <c r="L80" s="28" t="s">
        <v>2</v>
      </c>
    </row>
    <row r="81" spans="1:12" x14ac:dyDescent="0.3">
      <c r="A81" s="27" t="s">
        <v>556</v>
      </c>
      <c r="B81" s="21" t="str">
        <f>VLOOKUP(Table4[[#This Row],[Vehicle no]],[1]Sheet2!$B:$J,4,0)</f>
        <v>SAMWEL KIBANGA SEMSEY</v>
      </c>
      <c r="C81" s="21" t="str">
        <f>VLOOKUP(Table4[[#This Row],[Vehicle no]],[1]Sheet2!$B:$J,9,0)</f>
        <v>Martha GOLODI</v>
      </c>
      <c r="D81" s="21" t="e">
        <f>VLOOKUP(Table4[[#This Row],[Vehicle no]],[1]Sheet2!$B:$J,8,0)</f>
        <v>#N/A</v>
      </c>
      <c r="E81" s="70">
        <v>46079.229456018518</v>
      </c>
      <c r="F81" s="67" t="s">
        <v>2167</v>
      </c>
      <c r="G81" s="21" t="s">
        <v>3579</v>
      </c>
      <c r="H81" s="70">
        <v>46079.528622685182</v>
      </c>
      <c r="I81" s="21" t="s">
        <v>3370</v>
      </c>
      <c r="J81" s="67" t="s">
        <v>3580</v>
      </c>
      <c r="K81" s="22" t="s">
        <v>3581</v>
      </c>
      <c r="L81" s="28" t="s">
        <v>2</v>
      </c>
    </row>
    <row r="82" spans="1:12" x14ac:dyDescent="0.3">
      <c r="A82" s="27" t="s">
        <v>41</v>
      </c>
      <c r="B82" s="21" t="str">
        <f>VLOOKUP(Table4[[#This Row],[Vehicle no]],[1]Sheet2!$B:$J,4,0)</f>
        <v>OMARI ATHUMANI SELEMANI</v>
      </c>
      <c r="C82" s="21" t="str">
        <f>VLOOKUP(Table4[[#This Row],[Vehicle no]],[1]Sheet2!$B:$J,9,0)</f>
        <v>SADI KIMWAGA</v>
      </c>
      <c r="D82" s="21" t="str">
        <f>VLOOKUP(Table4[[#This Row],[Vehicle no]],[1]Sheet2!$B:$J,8,0)</f>
        <v>116-765-526</v>
      </c>
      <c r="E82" s="70">
        <v>46079.942685185182</v>
      </c>
      <c r="F82" s="67" t="s">
        <v>2167</v>
      </c>
      <c r="G82" s="21" t="s">
        <v>3582</v>
      </c>
      <c r="H82" s="70">
        <v>46079.967685185176</v>
      </c>
      <c r="I82" s="21" t="s">
        <v>3583</v>
      </c>
      <c r="J82" s="67" t="s">
        <v>3584</v>
      </c>
      <c r="K82" s="22" t="s">
        <v>3585</v>
      </c>
      <c r="L82" s="28" t="s">
        <v>1</v>
      </c>
    </row>
    <row r="83" spans="1:12" x14ac:dyDescent="0.3">
      <c r="A83" s="27" t="s">
        <v>2119</v>
      </c>
      <c r="B83" s="21" t="str">
        <f>VLOOKUP(Table4[[#This Row],[Vehicle no]],[1]Sheet2!$B:$J,4,0)</f>
        <v>RICHARD ALOYCE MAKYAO</v>
      </c>
      <c r="C83" s="21" t="str">
        <f>VLOOKUP(Table4[[#This Row],[Vehicle no]],[1]Sheet2!$B:$J,9,0)</f>
        <v>IRENE SHIJA</v>
      </c>
      <c r="D83" s="21">
        <f>VLOOKUP(Table4[[#This Row],[Vehicle no]],[1]Sheet2!$B:$J,8,0)</f>
        <v>112647015</v>
      </c>
      <c r="E83" s="70">
        <v>46080.190891203703</v>
      </c>
      <c r="F83" s="67" t="s">
        <v>2203</v>
      </c>
      <c r="G83" s="21" t="s">
        <v>3586</v>
      </c>
      <c r="H83" s="70">
        <v>46080.367511574077</v>
      </c>
      <c r="I83" s="21" t="s">
        <v>3390</v>
      </c>
      <c r="J83" s="67" t="s">
        <v>3587</v>
      </c>
      <c r="K83" s="22" t="s">
        <v>3588</v>
      </c>
      <c r="L83" s="28" t="s">
        <v>2</v>
      </c>
    </row>
    <row r="84" spans="1:12" x14ac:dyDescent="0.3">
      <c r="A84" s="27" t="s">
        <v>94</v>
      </c>
      <c r="B84" s="21" t="str">
        <f>VLOOKUP(Table4[[#This Row],[Vehicle no]],[1]Sheet2!$B:$J,4,0)</f>
        <v>ALLY MARICK SEIF</v>
      </c>
      <c r="C84" s="21" t="str">
        <f>VLOOKUP(Table4[[#This Row],[Vehicle no]],[1]Sheet2!$B:$J,9,0)</f>
        <v>LUSAJO KASUNGA</v>
      </c>
      <c r="D84" s="21">
        <f>VLOOKUP(Table4[[#This Row],[Vehicle no]],[1]Sheet2!$B:$J,8,0)</f>
        <v>0</v>
      </c>
      <c r="E84" s="70">
        <v>46080.897812499999</v>
      </c>
      <c r="F84" s="67" t="s">
        <v>2203</v>
      </c>
      <c r="G84" s="21" t="s">
        <v>3426</v>
      </c>
      <c r="H84" s="70">
        <v>46080.937962962962</v>
      </c>
      <c r="I84" s="21" t="s">
        <v>3359</v>
      </c>
      <c r="J84" s="67" t="s">
        <v>3589</v>
      </c>
      <c r="K84" s="22" t="s">
        <v>3590</v>
      </c>
      <c r="L84" s="28" t="s">
        <v>1</v>
      </c>
    </row>
    <row r="85" spans="1:12" x14ac:dyDescent="0.3">
      <c r="A85" s="27" t="s">
        <v>2874</v>
      </c>
      <c r="B85" s="21" t="str">
        <f>VLOOKUP(Table4[[#This Row],[Vehicle no]],[1]Sheet2!$B:$J,4,0)</f>
        <v>ABDUL NASSORO SELEMANI</v>
      </c>
      <c r="C85" s="21" t="str">
        <f>VLOOKUP(Table4[[#This Row],[Vehicle no]],[1]Sheet2!$B:$J,9,0)</f>
        <v>LUSAJO KASUNGA</v>
      </c>
      <c r="D85" s="21" t="e">
        <f>VLOOKUP(Table4[[#This Row],[Vehicle no]],[1]Sheet2!$B:$J,8,0)</f>
        <v>#N/A</v>
      </c>
      <c r="E85" s="70">
        <v>46080.900567129633</v>
      </c>
      <c r="F85" s="67" t="s">
        <v>2203</v>
      </c>
      <c r="G85" s="21" t="s">
        <v>3426</v>
      </c>
      <c r="H85" s="70">
        <v>46080.937118055554</v>
      </c>
      <c r="I85" s="21" t="s">
        <v>3359</v>
      </c>
      <c r="J85" s="67" t="s">
        <v>3591</v>
      </c>
      <c r="K85" s="22" t="s">
        <v>3592</v>
      </c>
      <c r="L85" s="28" t="s">
        <v>1</v>
      </c>
    </row>
    <row r="86" spans="1:12" x14ac:dyDescent="0.3">
      <c r="A86" s="27" t="s">
        <v>36</v>
      </c>
      <c r="B86" s="21" t="str">
        <f>VLOOKUP(Table4[[#This Row],[Vehicle no]],[1]Sheet2!$B:$J,4,0)</f>
        <v>STAN ENISON LULANDALA</v>
      </c>
      <c r="C86" s="21" t="str">
        <f>VLOOKUP(Table4[[#This Row],[Vehicle no]],[1]Sheet2!$B:$J,9,0)</f>
        <v>Ayoub BENESTA</v>
      </c>
      <c r="D86" s="21" t="str">
        <f>VLOOKUP(Table4[[#This Row],[Vehicle no]],[1]Sheet2!$B:$J,8,0)</f>
        <v>115-734-016</v>
      </c>
      <c r="E86" s="70">
        <v>46080.234826388893</v>
      </c>
      <c r="F86" s="67" t="s">
        <v>2203</v>
      </c>
      <c r="G86" s="21" t="s">
        <v>2296</v>
      </c>
      <c r="H86" s="70">
        <v>46080.299618055556</v>
      </c>
      <c r="I86" s="21" t="s">
        <v>2181</v>
      </c>
      <c r="J86" s="67" t="s">
        <v>3593</v>
      </c>
      <c r="K86" s="22" t="s">
        <v>3594</v>
      </c>
      <c r="L86" s="28" t="s">
        <v>2</v>
      </c>
    </row>
    <row r="87" spans="1:12" x14ac:dyDescent="0.3">
      <c r="A87" s="27" t="s">
        <v>2091</v>
      </c>
      <c r="B87" s="21" t="str">
        <f>VLOOKUP(Table4[[#This Row],[Vehicle no]],[1]Sheet2!$B:$J,4,0)</f>
        <v>EZEKIEL MASANJA LUGANDU</v>
      </c>
      <c r="C87" s="21" t="str">
        <f>VLOOKUP(Table4[[#This Row],[Vehicle no]],[1]Sheet2!$B:$J,9,0)</f>
        <v>PLASDUS MAHUMBA</v>
      </c>
      <c r="D87" s="21" t="e">
        <f>VLOOKUP(Table4[[#This Row],[Vehicle no]],[1]Sheet2!$B:$J,8,0)</f>
        <v>#N/A</v>
      </c>
      <c r="E87" s="70">
        <v>46080.23</v>
      </c>
      <c r="F87" s="67" t="s">
        <v>2203</v>
      </c>
      <c r="G87" s="21" t="s">
        <v>2296</v>
      </c>
      <c r="H87" s="70">
        <v>46080.30059027778</v>
      </c>
      <c r="I87" s="21" t="s">
        <v>2181</v>
      </c>
      <c r="J87" s="67" t="s">
        <v>3595</v>
      </c>
      <c r="K87" s="22" t="s">
        <v>3596</v>
      </c>
      <c r="L87" s="28" t="s">
        <v>2</v>
      </c>
    </row>
    <row r="88" spans="1:12" x14ac:dyDescent="0.3">
      <c r="A88" s="27" t="s">
        <v>32</v>
      </c>
      <c r="B88" s="21" t="str">
        <f>VLOOKUP(Table4[[#This Row],[Vehicle no]],[1]Sheet2!$B:$J,4,0)</f>
        <v xml:space="preserve">
AGATHA TOMAS KENJO</v>
      </c>
      <c r="C88" s="21" t="str">
        <f>VLOOKUP(Table4[[#This Row],[Vehicle no]],[1]Sheet2!$B:$J,9,0)</f>
        <v>IRENE SHIJA</v>
      </c>
      <c r="D88" s="21" t="str">
        <f>VLOOKUP(Table4[[#This Row],[Vehicle no]],[1]Sheet2!$B:$J,8,0)</f>
        <v>156-487-198</v>
      </c>
      <c r="E88" s="70">
        <v>46081.216770833344</v>
      </c>
      <c r="F88" s="67" t="s">
        <v>12</v>
      </c>
      <c r="G88" s="21" t="s">
        <v>3597</v>
      </c>
      <c r="H88" s="70">
        <v>46081.403784722221</v>
      </c>
      <c r="I88" s="21" t="s">
        <v>3598</v>
      </c>
      <c r="J88" s="67" t="s">
        <v>3599</v>
      </c>
      <c r="K88" s="22" t="s">
        <v>3600</v>
      </c>
      <c r="L88" s="28" t="s">
        <v>2</v>
      </c>
    </row>
    <row r="89" spans="1:12" x14ac:dyDescent="0.3">
      <c r="A89" s="27" t="s">
        <v>36</v>
      </c>
      <c r="B89" s="21" t="str">
        <f>VLOOKUP(Table4[[#This Row],[Vehicle no]],[1]Sheet2!$B:$J,4,0)</f>
        <v>STAN ENISON LULANDALA</v>
      </c>
      <c r="C89" s="21" t="str">
        <f>VLOOKUP(Table4[[#This Row],[Vehicle no]],[1]Sheet2!$B:$J,9,0)</f>
        <v>Ayoub BENESTA</v>
      </c>
      <c r="D89" s="21" t="str">
        <f>VLOOKUP(Table4[[#This Row],[Vehicle no]],[1]Sheet2!$B:$J,8,0)</f>
        <v>115-734-016</v>
      </c>
      <c r="E89" s="70">
        <v>46081.232303240737</v>
      </c>
      <c r="F89" s="67" t="s">
        <v>12</v>
      </c>
      <c r="G89" s="21" t="s">
        <v>2079</v>
      </c>
      <c r="H89" s="70">
        <v>46081.373599537037</v>
      </c>
      <c r="I89" s="21" t="s">
        <v>3371</v>
      </c>
      <c r="J89" s="67" t="s">
        <v>3601</v>
      </c>
      <c r="K89" s="22" t="s">
        <v>3602</v>
      </c>
      <c r="L89" s="28" t="s">
        <v>2</v>
      </c>
    </row>
    <row r="90" spans="1:12" x14ac:dyDescent="0.3">
      <c r="A90" s="27" t="s">
        <v>35</v>
      </c>
      <c r="B90" s="21" t="str">
        <f>VLOOKUP(Table4[[#This Row],[Vehicle no]],[1]Sheet2!$B:$J,4,0)</f>
        <v>MICHAEL BONIVENTURA SHANGO</v>
      </c>
      <c r="C90" s="21" t="str">
        <f>VLOOKUP(Table4[[#This Row],[Vehicle no]],[1]Sheet2!$B:$J,9,0)</f>
        <v>Ayoub BENESTA</v>
      </c>
      <c r="D90" s="21">
        <f>VLOOKUP(Table4[[#This Row],[Vehicle no]],[1]Sheet2!$B:$J,8,0)</f>
        <v>0</v>
      </c>
      <c r="E90" s="70">
        <v>46081.23541666667</v>
      </c>
      <c r="F90" s="67" t="s">
        <v>12</v>
      </c>
      <c r="G90" s="21" t="s">
        <v>3603</v>
      </c>
      <c r="H90" s="70">
        <v>46081.433287037027</v>
      </c>
      <c r="I90" s="21" t="s">
        <v>3604</v>
      </c>
      <c r="J90" s="67" t="s">
        <v>3605</v>
      </c>
      <c r="K90" s="22" t="s">
        <v>3606</v>
      </c>
      <c r="L90" s="28" t="s">
        <v>2</v>
      </c>
    </row>
    <row r="91" spans="1:12" x14ac:dyDescent="0.3">
      <c r="A91" s="27" t="s">
        <v>43</v>
      </c>
      <c r="B91" s="21" t="str">
        <f>VLOOKUP(Table4[[#This Row],[Vehicle no]],[1]Sheet2!$B:$J,4,0)</f>
        <v>APOLO PETER MSIGWA</v>
      </c>
      <c r="C91" s="21" t="str">
        <f>VLOOKUP(Table4[[#This Row],[Vehicle no]],[1]Sheet2!$B:$J,9,0)</f>
        <v>SADI KIMWAGA</v>
      </c>
      <c r="D91" s="21" t="e">
        <f>VLOOKUP(Table4[[#This Row],[Vehicle no]],[1]Sheet2!$B:$J,8,0)</f>
        <v>#N/A</v>
      </c>
      <c r="E91" s="70">
        <v>46081.219212962962</v>
      </c>
      <c r="F91" s="67" t="s">
        <v>12</v>
      </c>
      <c r="G91" s="21" t="s">
        <v>2268</v>
      </c>
      <c r="H91" s="70">
        <v>46081.375543981478</v>
      </c>
      <c r="I91" s="21" t="s">
        <v>3370</v>
      </c>
      <c r="J91" s="67" t="s">
        <v>3607</v>
      </c>
      <c r="K91" s="22" t="s">
        <v>3608</v>
      </c>
      <c r="L91" s="28" t="s">
        <v>2</v>
      </c>
    </row>
  </sheetData>
  <conditionalFormatting sqref="B1:D1">
    <cfRule type="duplicateValues" dxfId="1" priority="19"/>
    <cfRule type="duplicateValues" dxfId="0" priority="20"/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F9" sqref="F9"/>
    </sheetView>
  </sheetViews>
  <sheetFormatPr defaultRowHeight="14.4" x14ac:dyDescent="0.3"/>
  <cols>
    <col min="1" max="1" width="23.5546875" style="20" bestFit="1" customWidth="1"/>
    <col min="2" max="2" width="8.88671875" style="20" customWidth="1"/>
  </cols>
  <sheetData>
    <row r="1" spans="1:1" x14ac:dyDescent="0.3">
      <c r="A1" s="52" t="s">
        <v>3358</v>
      </c>
    </row>
    <row r="2" spans="1:1" x14ac:dyDescent="0.3">
      <c r="A2" s="50" t="s">
        <v>1</v>
      </c>
    </row>
    <row r="3" spans="1:1" x14ac:dyDescent="0.3">
      <c r="A3" s="51" t="s">
        <v>3484</v>
      </c>
    </row>
    <row r="4" spans="1:1" x14ac:dyDescent="0.3">
      <c r="A4" s="51" t="s">
        <v>3</v>
      </c>
    </row>
    <row r="5" spans="1:1" x14ac:dyDescent="0.3">
      <c r="A5" s="50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8"/>
  <sheetViews>
    <sheetView workbookViewId="0">
      <pane ySplit="7" topLeftCell="A10" activePane="bottomLeft" state="frozen"/>
      <selection pane="bottomLeft" activeCell="A4" sqref="A4"/>
    </sheetView>
  </sheetViews>
  <sheetFormatPr defaultRowHeight="14.4" x14ac:dyDescent="0.3"/>
  <cols>
    <col min="1" max="1" width="108.5546875" bestFit="1" customWidth="1"/>
    <col min="2" max="2" width="34" customWidth="1"/>
    <col min="3" max="3" width="12" customWidth="1"/>
    <col min="4" max="4" width="14" customWidth="1"/>
    <col min="5" max="5" width="12" customWidth="1"/>
    <col min="6" max="6" width="28" customWidth="1"/>
  </cols>
  <sheetData>
    <row r="1" spans="1:6" ht="18" x14ac:dyDescent="0.35">
      <c r="A1" s="91" t="s">
        <v>3609</v>
      </c>
      <c r="B1" s="92"/>
      <c r="C1" s="92"/>
      <c r="D1" s="92"/>
      <c r="E1" s="92"/>
      <c r="F1" s="92"/>
    </row>
    <row r="2" spans="1:6" x14ac:dyDescent="0.3">
      <c r="A2" t="s">
        <v>3610</v>
      </c>
    </row>
    <row r="3" spans="1:6" x14ac:dyDescent="0.3">
      <c r="A3" t="s">
        <v>3611</v>
      </c>
      <c r="B3">
        <v>1160</v>
      </c>
    </row>
    <row r="4" spans="1:6" x14ac:dyDescent="0.3">
      <c r="A4" t="s">
        <v>3612</v>
      </c>
      <c r="B4">
        <v>4292</v>
      </c>
    </row>
    <row r="6" spans="1:6" x14ac:dyDescent="0.3">
      <c r="A6" s="74" t="s">
        <v>3613</v>
      </c>
    </row>
    <row r="7" spans="1:6" x14ac:dyDescent="0.3">
      <c r="A7" s="76" t="s">
        <v>3614</v>
      </c>
      <c r="B7" s="76" t="s">
        <v>3615</v>
      </c>
      <c r="C7" s="76" t="s">
        <v>3616</v>
      </c>
      <c r="D7" s="76" t="s">
        <v>80</v>
      </c>
      <c r="E7" s="76" t="s">
        <v>3617</v>
      </c>
      <c r="F7" s="76" t="s">
        <v>3618</v>
      </c>
    </row>
    <row r="8" spans="1:6" x14ac:dyDescent="0.3">
      <c r="A8" s="77" t="s">
        <v>3619</v>
      </c>
      <c r="B8" s="77">
        <v>670</v>
      </c>
      <c r="C8" s="78">
        <v>0.57758620689655171</v>
      </c>
      <c r="D8" s="77">
        <v>2494</v>
      </c>
      <c r="E8" s="78">
        <v>0.58108108108108103</v>
      </c>
      <c r="F8" s="77" t="s">
        <v>3620</v>
      </c>
    </row>
    <row r="9" spans="1:6" x14ac:dyDescent="0.3">
      <c r="A9" s="77" t="s">
        <v>3621</v>
      </c>
      <c r="B9" s="77">
        <v>257</v>
      </c>
      <c r="C9" s="78">
        <v>0.22155172413793101</v>
      </c>
      <c r="D9" s="77">
        <v>894</v>
      </c>
      <c r="E9" s="78">
        <v>0.20829450139794969</v>
      </c>
      <c r="F9" s="77" t="s">
        <v>3622</v>
      </c>
    </row>
    <row r="10" spans="1:6" x14ac:dyDescent="0.3">
      <c r="A10" s="77" t="s">
        <v>3623</v>
      </c>
      <c r="B10" s="77">
        <v>106</v>
      </c>
      <c r="C10" s="78">
        <v>9.1379310344827588E-2</v>
      </c>
      <c r="D10" s="77">
        <v>457</v>
      </c>
      <c r="E10" s="78">
        <v>0.1064771668219944</v>
      </c>
      <c r="F10" s="77" t="s">
        <v>3620</v>
      </c>
    </row>
    <row r="11" spans="1:6" x14ac:dyDescent="0.3">
      <c r="A11" s="77" t="s">
        <v>3624</v>
      </c>
      <c r="B11" s="77">
        <v>108</v>
      </c>
      <c r="C11" s="78">
        <v>9.3103448275862075E-2</v>
      </c>
      <c r="D11" s="77">
        <v>381</v>
      </c>
      <c r="E11" s="78">
        <v>8.8769804287045673E-2</v>
      </c>
      <c r="F11" s="77" t="s">
        <v>3620</v>
      </c>
    </row>
    <row r="12" spans="1:6" x14ac:dyDescent="0.3">
      <c r="A12" s="77" t="s">
        <v>3625</v>
      </c>
      <c r="B12" s="77">
        <v>19</v>
      </c>
      <c r="C12" s="78">
        <v>1.6379310344827591E-2</v>
      </c>
      <c r="D12" s="77">
        <v>66</v>
      </c>
      <c r="E12" s="78">
        <v>1.5377446411929171E-2</v>
      </c>
      <c r="F12" s="77" t="s">
        <v>3620</v>
      </c>
    </row>
    <row r="14" spans="1:6" x14ac:dyDescent="0.3">
      <c r="A14" s="79" t="s">
        <v>3626</v>
      </c>
      <c r="B14" s="83">
        <v>903</v>
      </c>
      <c r="C14" s="82">
        <v>0.77844827586206899</v>
      </c>
      <c r="D14" s="83">
        <v>3398</v>
      </c>
      <c r="E14" s="82">
        <v>0.79170549860205031</v>
      </c>
    </row>
    <row r="15" spans="1:6" x14ac:dyDescent="0.3">
      <c r="A15" s="80" t="s">
        <v>3630</v>
      </c>
      <c r="B15" s="83">
        <v>257</v>
      </c>
      <c r="C15" s="82">
        <v>0.22155172413793101</v>
      </c>
      <c r="D15" s="83">
        <v>894</v>
      </c>
      <c r="E15" s="82">
        <v>0.20829450139794969</v>
      </c>
    </row>
    <row r="17" spans="1:5" x14ac:dyDescent="0.3">
      <c r="A17" s="81" t="s">
        <v>3627</v>
      </c>
    </row>
    <row r="18" spans="1:5" x14ac:dyDescent="0.3">
      <c r="A18" s="75" t="s">
        <v>79</v>
      </c>
      <c r="B18" s="75" t="s">
        <v>3614</v>
      </c>
      <c r="C18" s="75" t="s">
        <v>3615</v>
      </c>
      <c r="D18" s="75" t="s">
        <v>80</v>
      </c>
      <c r="E18" s="75" t="s">
        <v>3617</v>
      </c>
    </row>
    <row r="19" spans="1:5" x14ac:dyDescent="0.3">
      <c r="A19" t="s">
        <v>2061</v>
      </c>
      <c r="B19" t="s">
        <v>3624</v>
      </c>
      <c r="C19">
        <v>50</v>
      </c>
      <c r="D19">
        <v>176</v>
      </c>
      <c r="E19" s="73">
        <v>4.1006523765144458E-2</v>
      </c>
    </row>
    <row r="20" spans="1:5" x14ac:dyDescent="0.3">
      <c r="A20" t="s">
        <v>660</v>
      </c>
      <c r="B20" t="s">
        <v>3623</v>
      </c>
      <c r="C20">
        <v>31</v>
      </c>
      <c r="D20">
        <v>166</v>
      </c>
      <c r="E20" s="73">
        <v>3.8676607642124883E-2</v>
      </c>
    </row>
    <row r="21" spans="1:5" x14ac:dyDescent="0.3">
      <c r="A21" t="s">
        <v>113</v>
      </c>
      <c r="B21" t="s">
        <v>3619</v>
      </c>
      <c r="C21">
        <v>30</v>
      </c>
      <c r="D21">
        <v>96</v>
      </c>
      <c r="E21" s="73">
        <v>2.2367194780987889E-2</v>
      </c>
    </row>
    <row r="22" spans="1:5" x14ac:dyDescent="0.3">
      <c r="A22" t="s">
        <v>90</v>
      </c>
      <c r="B22" t="s">
        <v>3619</v>
      </c>
      <c r="C22">
        <v>18</v>
      </c>
      <c r="D22">
        <v>76</v>
      </c>
      <c r="E22" s="73">
        <v>1.7707362534948739E-2</v>
      </c>
    </row>
    <row r="23" spans="1:5" x14ac:dyDescent="0.3">
      <c r="A23" t="s">
        <v>309</v>
      </c>
      <c r="B23" t="s">
        <v>3621</v>
      </c>
      <c r="C23">
        <v>19</v>
      </c>
      <c r="D23">
        <v>64</v>
      </c>
      <c r="E23" s="73">
        <v>1.4911463187325259E-2</v>
      </c>
    </row>
    <row r="24" spans="1:5" x14ac:dyDescent="0.3">
      <c r="A24" t="s">
        <v>107</v>
      </c>
      <c r="B24" t="s">
        <v>3619</v>
      </c>
      <c r="C24">
        <v>14</v>
      </c>
      <c r="D24">
        <v>56</v>
      </c>
      <c r="E24" s="73">
        <v>1.3047530288909599E-2</v>
      </c>
    </row>
    <row r="25" spans="1:5" x14ac:dyDescent="0.3">
      <c r="A25" t="s">
        <v>266</v>
      </c>
      <c r="B25" t="s">
        <v>3621</v>
      </c>
      <c r="C25">
        <v>16</v>
      </c>
      <c r="D25">
        <v>56</v>
      </c>
      <c r="E25" s="73">
        <v>1.3047530288909599E-2</v>
      </c>
    </row>
    <row r="26" spans="1:5" x14ac:dyDescent="0.3">
      <c r="A26" t="s">
        <v>183</v>
      </c>
      <c r="B26" t="s">
        <v>3619</v>
      </c>
      <c r="C26">
        <v>15</v>
      </c>
      <c r="D26">
        <v>55</v>
      </c>
      <c r="E26" s="73">
        <v>1.281453867660764E-2</v>
      </c>
    </row>
    <row r="27" spans="1:5" x14ac:dyDescent="0.3">
      <c r="A27" t="s">
        <v>213</v>
      </c>
      <c r="B27" t="s">
        <v>3619</v>
      </c>
      <c r="C27">
        <v>17</v>
      </c>
      <c r="D27">
        <v>54</v>
      </c>
      <c r="E27" s="73">
        <v>1.2581547064305681E-2</v>
      </c>
    </row>
    <row r="28" spans="1:5" x14ac:dyDescent="0.3">
      <c r="A28" t="s">
        <v>442</v>
      </c>
      <c r="B28" t="s">
        <v>3624</v>
      </c>
      <c r="C28">
        <v>14</v>
      </c>
      <c r="D28">
        <v>53</v>
      </c>
      <c r="E28" s="73">
        <v>1.234855545200373E-2</v>
      </c>
    </row>
    <row r="29" spans="1:5" x14ac:dyDescent="0.3">
      <c r="A29" t="s">
        <v>296</v>
      </c>
      <c r="B29" t="s">
        <v>3619</v>
      </c>
      <c r="C29">
        <v>13</v>
      </c>
      <c r="D29">
        <v>50</v>
      </c>
      <c r="E29" s="73">
        <v>1.1649580615097859E-2</v>
      </c>
    </row>
    <row r="30" spans="1:5" x14ac:dyDescent="0.3">
      <c r="A30" t="s">
        <v>104</v>
      </c>
      <c r="B30" t="s">
        <v>3619</v>
      </c>
      <c r="C30">
        <v>14</v>
      </c>
      <c r="D30">
        <v>45</v>
      </c>
      <c r="E30" s="73">
        <v>1.048462255358807E-2</v>
      </c>
    </row>
    <row r="31" spans="1:5" x14ac:dyDescent="0.3">
      <c r="A31" t="s">
        <v>1014</v>
      </c>
      <c r="B31" t="s">
        <v>3621</v>
      </c>
      <c r="C31">
        <v>6</v>
      </c>
      <c r="D31">
        <v>44</v>
      </c>
      <c r="E31" s="73">
        <v>1.0251630941286109E-2</v>
      </c>
    </row>
    <row r="32" spans="1:5" x14ac:dyDescent="0.3">
      <c r="A32" t="s">
        <v>98</v>
      </c>
      <c r="B32" t="s">
        <v>3619</v>
      </c>
      <c r="C32">
        <v>9</v>
      </c>
      <c r="D32">
        <v>42</v>
      </c>
      <c r="E32" s="73">
        <v>9.7856477166821994E-3</v>
      </c>
    </row>
    <row r="33" spans="1:5" x14ac:dyDescent="0.3">
      <c r="A33" t="s">
        <v>140</v>
      </c>
      <c r="B33" t="s">
        <v>3621</v>
      </c>
      <c r="C33">
        <v>12</v>
      </c>
      <c r="D33">
        <v>40</v>
      </c>
      <c r="E33" s="73">
        <v>9.3196644920782844E-3</v>
      </c>
    </row>
    <row r="34" spans="1:5" x14ac:dyDescent="0.3">
      <c r="A34" t="s">
        <v>333</v>
      </c>
      <c r="B34" t="s">
        <v>3619</v>
      </c>
      <c r="C34">
        <v>9</v>
      </c>
      <c r="D34">
        <v>37</v>
      </c>
      <c r="E34" s="73">
        <v>8.6206896551724137E-3</v>
      </c>
    </row>
    <row r="35" spans="1:5" x14ac:dyDescent="0.3">
      <c r="A35" t="s">
        <v>1121</v>
      </c>
      <c r="B35" t="s">
        <v>3619</v>
      </c>
      <c r="C35">
        <v>10</v>
      </c>
      <c r="D35">
        <v>37</v>
      </c>
      <c r="E35" s="73">
        <v>8.6206896551724137E-3</v>
      </c>
    </row>
    <row r="36" spans="1:5" x14ac:dyDescent="0.3">
      <c r="A36" t="s">
        <v>553</v>
      </c>
      <c r="B36" t="s">
        <v>3621</v>
      </c>
      <c r="C36">
        <v>10</v>
      </c>
      <c r="D36">
        <v>33</v>
      </c>
      <c r="E36" s="73">
        <v>7.6887232059645854E-3</v>
      </c>
    </row>
    <row r="37" spans="1:5" x14ac:dyDescent="0.3">
      <c r="A37" t="s">
        <v>304</v>
      </c>
      <c r="B37" t="s">
        <v>3619</v>
      </c>
      <c r="C37">
        <v>8</v>
      </c>
      <c r="D37">
        <v>31</v>
      </c>
      <c r="E37" s="73">
        <v>7.2227399813606713E-3</v>
      </c>
    </row>
    <row r="38" spans="1:5" x14ac:dyDescent="0.3">
      <c r="A38" t="s">
        <v>323</v>
      </c>
      <c r="B38" t="s">
        <v>3619</v>
      </c>
      <c r="C38">
        <v>8</v>
      </c>
      <c r="D38">
        <v>30</v>
      </c>
      <c r="E38" s="73">
        <v>6.9897483690587138E-3</v>
      </c>
    </row>
    <row r="39" spans="1:5" x14ac:dyDescent="0.3">
      <c r="A39" t="s">
        <v>1074</v>
      </c>
      <c r="B39" t="s">
        <v>3621</v>
      </c>
      <c r="C39">
        <v>10</v>
      </c>
      <c r="D39">
        <v>30</v>
      </c>
      <c r="E39" s="73">
        <v>6.9897483690587138E-3</v>
      </c>
    </row>
    <row r="40" spans="1:5" x14ac:dyDescent="0.3">
      <c r="A40" t="s">
        <v>514</v>
      </c>
      <c r="B40" t="s">
        <v>3624</v>
      </c>
      <c r="C40">
        <v>8</v>
      </c>
      <c r="D40">
        <v>27</v>
      </c>
      <c r="E40" s="73">
        <v>6.2907735321528421E-3</v>
      </c>
    </row>
    <row r="41" spans="1:5" x14ac:dyDescent="0.3">
      <c r="A41" t="s">
        <v>887</v>
      </c>
      <c r="B41" t="s">
        <v>3619</v>
      </c>
      <c r="C41">
        <v>8</v>
      </c>
      <c r="D41">
        <v>27</v>
      </c>
      <c r="E41" s="73">
        <v>6.2907735321528421E-3</v>
      </c>
    </row>
    <row r="42" spans="1:5" x14ac:dyDescent="0.3">
      <c r="A42" t="s">
        <v>1288</v>
      </c>
      <c r="B42" t="s">
        <v>3619</v>
      </c>
      <c r="C42">
        <v>8</v>
      </c>
      <c r="D42">
        <v>25</v>
      </c>
      <c r="E42" s="73">
        <v>5.824790307548928E-3</v>
      </c>
    </row>
    <row r="43" spans="1:5" x14ac:dyDescent="0.3">
      <c r="A43" t="s">
        <v>1260</v>
      </c>
      <c r="B43" t="s">
        <v>3624</v>
      </c>
      <c r="C43">
        <v>6</v>
      </c>
      <c r="D43">
        <v>23</v>
      </c>
      <c r="E43" s="73">
        <v>5.3588070829450139E-3</v>
      </c>
    </row>
    <row r="44" spans="1:5" x14ac:dyDescent="0.3">
      <c r="A44" t="s">
        <v>1710</v>
      </c>
      <c r="B44" t="s">
        <v>3619</v>
      </c>
      <c r="C44">
        <v>7</v>
      </c>
      <c r="D44">
        <v>22</v>
      </c>
      <c r="E44" s="73">
        <v>5.1258154706430572E-3</v>
      </c>
    </row>
    <row r="45" spans="1:5" x14ac:dyDescent="0.3">
      <c r="A45" t="s">
        <v>973</v>
      </c>
      <c r="B45" t="s">
        <v>3619</v>
      </c>
      <c r="C45">
        <v>7</v>
      </c>
      <c r="D45">
        <v>21</v>
      </c>
      <c r="E45" s="73">
        <v>4.8928238583410997E-3</v>
      </c>
    </row>
    <row r="46" spans="1:5" x14ac:dyDescent="0.3">
      <c r="A46" t="s">
        <v>667</v>
      </c>
      <c r="B46" t="s">
        <v>3619</v>
      </c>
      <c r="C46">
        <v>5</v>
      </c>
      <c r="D46">
        <v>20</v>
      </c>
      <c r="E46" s="73">
        <v>4.6598322460391422E-3</v>
      </c>
    </row>
    <row r="47" spans="1:5" x14ac:dyDescent="0.3">
      <c r="A47" t="s">
        <v>2169</v>
      </c>
      <c r="B47" t="s">
        <v>3619</v>
      </c>
      <c r="C47">
        <v>4</v>
      </c>
      <c r="D47">
        <v>19</v>
      </c>
      <c r="E47" s="73">
        <v>4.4268406337371856E-3</v>
      </c>
    </row>
    <row r="48" spans="1:5" x14ac:dyDescent="0.3">
      <c r="A48" t="s">
        <v>207</v>
      </c>
      <c r="B48" t="s">
        <v>3619</v>
      </c>
      <c r="C48">
        <v>5</v>
      </c>
      <c r="D48">
        <v>18</v>
      </c>
      <c r="E48" s="73">
        <v>4.1938490214352281E-3</v>
      </c>
    </row>
    <row r="49" spans="1:5" x14ac:dyDescent="0.3">
      <c r="A49" t="s">
        <v>861</v>
      </c>
      <c r="B49" t="s">
        <v>3624</v>
      </c>
      <c r="C49">
        <v>5</v>
      </c>
      <c r="D49">
        <v>18</v>
      </c>
      <c r="E49" s="73">
        <v>4.1938490214352281E-3</v>
      </c>
    </row>
    <row r="50" spans="1:5" x14ac:dyDescent="0.3">
      <c r="A50" t="s">
        <v>2098</v>
      </c>
      <c r="B50" t="s">
        <v>3619</v>
      </c>
      <c r="C50">
        <v>5</v>
      </c>
      <c r="D50">
        <v>18</v>
      </c>
      <c r="E50" s="73">
        <v>4.1938490214352281E-3</v>
      </c>
    </row>
    <row r="51" spans="1:5" x14ac:dyDescent="0.3">
      <c r="A51" t="s">
        <v>2181</v>
      </c>
      <c r="B51" t="s">
        <v>3625</v>
      </c>
      <c r="C51">
        <v>4</v>
      </c>
      <c r="D51">
        <v>18</v>
      </c>
      <c r="E51" s="73">
        <v>4.1938490214352281E-3</v>
      </c>
    </row>
    <row r="52" spans="1:5" x14ac:dyDescent="0.3">
      <c r="A52" t="s">
        <v>185</v>
      </c>
      <c r="B52" t="s">
        <v>3619</v>
      </c>
      <c r="C52">
        <v>5</v>
      </c>
      <c r="D52">
        <v>17</v>
      </c>
      <c r="E52" s="73">
        <v>3.9608574091332706E-3</v>
      </c>
    </row>
    <row r="53" spans="1:5" x14ac:dyDescent="0.3">
      <c r="A53" t="s">
        <v>779</v>
      </c>
      <c r="B53" t="s">
        <v>3619</v>
      </c>
      <c r="C53">
        <v>4</v>
      </c>
      <c r="D53">
        <v>17</v>
      </c>
      <c r="E53" s="73">
        <v>3.9608574091332706E-3</v>
      </c>
    </row>
    <row r="54" spans="1:5" x14ac:dyDescent="0.3">
      <c r="A54" t="s">
        <v>1541</v>
      </c>
      <c r="B54" t="s">
        <v>3621</v>
      </c>
      <c r="C54">
        <v>5</v>
      </c>
      <c r="D54">
        <v>17</v>
      </c>
      <c r="E54" s="73">
        <v>3.9608574091332706E-3</v>
      </c>
    </row>
    <row r="55" spans="1:5" x14ac:dyDescent="0.3">
      <c r="A55" t="s">
        <v>242</v>
      </c>
      <c r="B55" t="s">
        <v>3623</v>
      </c>
      <c r="C55">
        <v>5</v>
      </c>
      <c r="D55">
        <v>16</v>
      </c>
      <c r="E55" s="73">
        <v>3.727865796831314E-3</v>
      </c>
    </row>
    <row r="56" spans="1:5" x14ac:dyDescent="0.3">
      <c r="A56" t="s">
        <v>1151</v>
      </c>
      <c r="B56" t="s">
        <v>3621</v>
      </c>
      <c r="C56">
        <v>4</v>
      </c>
      <c r="D56">
        <v>16</v>
      </c>
      <c r="E56" s="73">
        <v>3.727865796831314E-3</v>
      </c>
    </row>
    <row r="57" spans="1:5" x14ac:dyDescent="0.3">
      <c r="A57" t="s">
        <v>1307</v>
      </c>
      <c r="B57" t="s">
        <v>3624</v>
      </c>
      <c r="C57">
        <v>5</v>
      </c>
      <c r="D57">
        <v>16</v>
      </c>
      <c r="E57" s="73">
        <v>3.727865796831314E-3</v>
      </c>
    </row>
    <row r="58" spans="1:5" x14ac:dyDescent="0.3">
      <c r="A58" t="s">
        <v>1702</v>
      </c>
      <c r="B58" t="s">
        <v>3619</v>
      </c>
      <c r="C58">
        <v>5</v>
      </c>
      <c r="D58">
        <v>16</v>
      </c>
      <c r="E58" s="73">
        <v>3.727865796831314E-3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61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1" max="1" width="8" customWidth="1"/>
    <col min="2" max="3" width="14" customWidth="1"/>
    <col min="4" max="4" width="52" customWidth="1"/>
    <col min="5" max="5" width="21.109375" bestFit="1" customWidth="1"/>
    <col min="6" max="6" width="20" customWidth="1"/>
    <col min="7" max="7" width="34" customWidth="1"/>
    <col min="8" max="8" width="14" customWidth="1"/>
  </cols>
  <sheetData>
    <row r="1" spans="1:8" x14ac:dyDescent="0.3">
      <c r="A1" s="75" t="s">
        <v>74</v>
      </c>
      <c r="B1" s="75" t="s">
        <v>20</v>
      </c>
      <c r="C1" s="75" t="s">
        <v>11</v>
      </c>
      <c r="D1" s="75" t="s">
        <v>79</v>
      </c>
      <c r="E1" s="75" t="s">
        <v>3628</v>
      </c>
      <c r="F1" s="75" t="s">
        <v>3629</v>
      </c>
      <c r="G1" s="75" t="s">
        <v>3614</v>
      </c>
      <c r="H1" s="75" t="s">
        <v>80</v>
      </c>
    </row>
    <row r="2" spans="1:8" x14ac:dyDescent="0.3">
      <c r="A2">
        <v>1</v>
      </c>
      <c r="B2" t="s">
        <v>81</v>
      </c>
      <c r="C2" t="s">
        <v>82</v>
      </c>
      <c r="D2" t="s">
        <v>84</v>
      </c>
      <c r="E2">
        <v>1</v>
      </c>
      <c r="F2">
        <v>3</v>
      </c>
      <c r="G2" t="s">
        <v>3621</v>
      </c>
      <c r="H2">
        <v>3</v>
      </c>
    </row>
    <row r="3" spans="1:8" x14ac:dyDescent="0.3">
      <c r="A3">
        <v>2</v>
      </c>
      <c r="B3" t="s">
        <v>85</v>
      </c>
      <c r="C3" t="s">
        <v>82</v>
      </c>
      <c r="D3" t="s">
        <v>87</v>
      </c>
      <c r="E3">
        <v>2</v>
      </c>
      <c r="F3">
        <v>6</v>
      </c>
      <c r="G3" t="s">
        <v>3621</v>
      </c>
      <c r="H3">
        <v>3</v>
      </c>
    </row>
    <row r="4" spans="1:8" x14ac:dyDescent="0.3">
      <c r="A4">
        <v>3</v>
      </c>
      <c r="B4" t="s">
        <v>88</v>
      </c>
      <c r="C4" t="s">
        <v>82</v>
      </c>
      <c r="D4" t="s">
        <v>90</v>
      </c>
      <c r="E4">
        <v>1</v>
      </c>
      <c r="F4">
        <v>5</v>
      </c>
      <c r="G4" t="s">
        <v>3621</v>
      </c>
      <c r="H4">
        <v>5</v>
      </c>
    </row>
    <row r="5" spans="1:8" x14ac:dyDescent="0.3">
      <c r="A5">
        <v>4</v>
      </c>
      <c r="B5" t="s">
        <v>91</v>
      </c>
      <c r="C5" t="s">
        <v>82</v>
      </c>
      <c r="D5" t="s">
        <v>93</v>
      </c>
      <c r="E5">
        <v>2</v>
      </c>
      <c r="F5">
        <v>6</v>
      </c>
      <c r="G5" t="s">
        <v>3623</v>
      </c>
      <c r="H5">
        <v>3</v>
      </c>
    </row>
    <row r="6" spans="1:8" x14ac:dyDescent="0.3">
      <c r="A6">
        <v>5</v>
      </c>
      <c r="B6" t="s">
        <v>94</v>
      </c>
      <c r="C6" t="s">
        <v>82</v>
      </c>
      <c r="D6" t="s">
        <v>96</v>
      </c>
      <c r="E6">
        <v>4</v>
      </c>
      <c r="F6">
        <v>12</v>
      </c>
      <c r="G6" t="s">
        <v>3623</v>
      </c>
      <c r="H6">
        <v>3</v>
      </c>
    </row>
    <row r="7" spans="1:8" x14ac:dyDescent="0.3">
      <c r="A7">
        <v>6</v>
      </c>
      <c r="B7" t="s">
        <v>72</v>
      </c>
      <c r="C7" t="s">
        <v>82</v>
      </c>
      <c r="D7" t="s">
        <v>98</v>
      </c>
      <c r="E7">
        <v>3</v>
      </c>
      <c r="F7">
        <v>16</v>
      </c>
      <c r="G7" t="s">
        <v>3619</v>
      </c>
      <c r="H7">
        <v>3</v>
      </c>
    </row>
    <row r="8" spans="1:8" x14ac:dyDescent="0.3">
      <c r="A8">
        <v>7</v>
      </c>
      <c r="B8" t="s">
        <v>99</v>
      </c>
      <c r="C8" t="s">
        <v>82</v>
      </c>
      <c r="D8" t="s">
        <v>101</v>
      </c>
      <c r="E8">
        <v>3</v>
      </c>
      <c r="F8">
        <v>9</v>
      </c>
      <c r="G8" t="s">
        <v>3619</v>
      </c>
      <c r="H8">
        <v>3</v>
      </c>
    </row>
    <row r="9" spans="1:8" x14ac:dyDescent="0.3">
      <c r="A9">
        <v>8</v>
      </c>
      <c r="B9" t="s">
        <v>102</v>
      </c>
      <c r="C9" t="s">
        <v>82</v>
      </c>
      <c r="D9" t="s">
        <v>104</v>
      </c>
      <c r="E9">
        <v>2</v>
      </c>
      <c r="F9">
        <v>7</v>
      </c>
      <c r="G9" t="s">
        <v>3621</v>
      </c>
      <c r="H9">
        <v>3</v>
      </c>
    </row>
    <row r="10" spans="1:8" x14ac:dyDescent="0.3">
      <c r="A10">
        <v>9</v>
      </c>
      <c r="B10" t="s">
        <v>105</v>
      </c>
      <c r="C10" t="s">
        <v>82</v>
      </c>
      <c r="D10" t="s">
        <v>107</v>
      </c>
      <c r="E10">
        <v>5</v>
      </c>
      <c r="F10">
        <v>24</v>
      </c>
      <c r="G10" t="s">
        <v>3619</v>
      </c>
      <c r="H10">
        <v>7</v>
      </c>
    </row>
    <row r="11" spans="1:8" x14ac:dyDescent="0.3">
      <c r="A11">
        <v>10</v>
      </c>
      <c r="B11" t="s">
        <v>108</v>
      </c>
      <c r="C11" t="s">
        <v>82</v>
      </c>
      <c r="D11" t="s">
        <v>110</v>
      </c>
      <c r="E11">
        <v>2</v>
      </c>
      <c r="F11">
        <v>6</v>
      </c>
      <c r="G11" t="s">
        <v>3621</v>
      </c>
      <c r="H11">
        <v>3</v>
      </c>
    </row>
    <row r="12" spans="1:8" x14ac:dyDescent="0.3">
      <c r="A12">
        <v>11</v>
      </c>
      <c r="B12" t="s">
        <v>111</v>
      </c>
      <c r="C12" t="s">
        <v>82</v>
      </c>
      <c r="D12" t="s">
        <v>113</v>
      </c>
      <c r="E12">
        <v>3</v>
      </c>
      <c r="F12">
        <v>10</v>
      </c>
      <c r="G12" t="s">
        <v>3619</v>
      </c>
      <c r="H12">
        <v>3</v>
      </c>
    </row>
    <row r="13" spans="1:8" x14ac:dyDescent="0.3">
      <c r="A13">
        <v>12</v>
      </c>
      <c r="B13" t="s">
        <v>114</v>
      </c>
      <c r="C13" t="s">
        <v>82</v>
      </c>
      <c r="D13" t="s">
        <v>116</v>
      </c>
      <c r="E13">
        <v>6</v>
      </c>
      <c r="F13">
        <v>29</v>
      </c>
      <c r="G13" t="s">
        <v>3619</v>
      </c>
      <c r="H13">
        <v>5</v>
      </c>
    </row>
    <row r="14" spans="1:8" x14ac:dyDescent="0.3">
      <c r="A14">
        <v>13</v>
      </c>
      <c r="B14" t="s">
        <v>117</v>
      </c>
      <c r="C14" t="s">
        <v>82</v>
      </c>
      <c r="D14" t="s">
        <v>119</v>
      </c>
      <c r="E14">
        <v>1</v>
      </c>
      <c r="F14">
        <v>4</v>
      </c>
      <c r="G14" t="s">
        <v>3621</v>
      </c>
      <c r="H14">
        <v>4</v>
      </c>
    </row>
    <row r="15" spans="1:8" x14ac:dyDescent="0.3">
      <c r="A15">
        <v>14</v>
      </c>
      <c r="B15" t="s">
        <v>120</v>
      </c>
      <c r="C15" t="s">
        <v>82</v>
      </c>
      <c r="D15" t="s">
        <v>122</v>
      </c>
      <c r="E15">
        <v>1</v>
      </c>
      <c r="F15">
        <v>5</v>
      </c>
      <c r="G15" t="s">
        <v>3621</v>
      </c>
      <c r="H15">
        <v>5</v>
      </c>
    </row>
    <row r="16" spans="1:8" x14ac:dyDescent="0.3">
      <c r="A16">
        <v>15</v>
      </c>
      <c r="B16" t="s">
        <v>123</v>
      </c>
      <c r="C16" t="s">
        <v>82</v>
      </c>
      <c r="D16" t="s">
        <v>125</v>
      </c>
      <c r="E16">
        <v>8</v>
      </c>
      <c r="F16">
        <v>35</v>
      </c>
      <c r="G16" t="s">
        <v>3619</v>
      </c>
      <c r="H16">
        <v>4</v>
      </c>
    </row>
    <row r="17" spans="1:8" x14ac:dyDescent="0.3">
      <c r="A17">
        <v>16</v>
      </c>
      <c r="B17" t="s">
        <v>126</v>
      </c>
      <c r="C17" t="s">
        <v>82</v>
      </c>
      <c r="D17" t="s">
        <v>128</v>
      </c>
      <c r="E17">
        <v>8</v>
      </c>
      <c r="F17">
        <v>35</v>
      </c>
      <c r="G17" t="s">
        <v>3619</v>
      </c>
      <c r="H17">
        <v>5</v>
      </c>
    </row>
    <row r="18" spans="1:8" x14ac:dyDescent="0.3">
      <c r="A18">
        <v>17</v>
      </c>
      <c r="B18" t="s">
        <v>53</v>
      </c>
      <c r="C18" t="s">
        <v>82</v>
      </c>
      <c r="D18" t="s">
        <v>98</v>
      </c>
      <c r="E18">
        <v>3</v>
      </c>
      <c r="F18">
        <v>16</v>
      </c>
      <c r="G18" t="s">
        <v>3619</v>
      </c>
      <c r="H18">
        <v>7</v>
      </c>
    </row>
    <row r="19" spans="1:8" x14ac:dyDescent="0.3">
      <c r="A19">
        <v>18</v>
      </c>
      <c r="B19" t="s">
        <v>130</v>
      </c>
      <c r="C19" t="s">
        <v>82</v>
      </c>
      <c r="D19" t="s">
        <v>104</v>
      </c>
      <c r="E19">
        <v>2</v>
      </c>
      <c r="F19">
        <v>7</v>
      </c>
      <c r="G19" t="s">
        <v>3621</v>
      </c>
      <c r="H19">
        <v>4</v>
      </c>
    </row>
    <row r="20" spans="1:8" x14ac:dyDescent="0.3">
      <c r="A20">
        <v>19</v>
      </c>
      <c r="B20" t="s">
        <v>132</v>
      </c>
      <c r="C20" t="s">
        <v>82</v>
      </c>
      <c r="D20" t="s">
        <v>134</v>
      </c>
      <c r="E20">
        <v>4</v>
      </c>
      <c r="F20">
        <v>12</v>
      </c>
      <c r="G20" t="s">
        <v>3619</v>
      </c>
      <c r="H20">
        <v>3</v>
      </c>
    </row>
    <row r="21" spans="1:8" x14ac:dyDescent="0.3">
      <c r="A21">
        <v>20</v>
      </c>
      <c r="B21" t="s">
        <v>135</v>
      </c>
      <c r="C21" t="s">
        <v>82</v>
      </c>
      <c r="D21" t="s">
        <v>137</v>
      </c>
      <c r="E21">
        <v>4</v>
      </c>
      <c r="F21">
        <v>12</v>
      </c>
      <c r="G21" t="s">
        <v>3619</v>
      </c>
      <c r="H21">
        <v>3</v>
      </c>
    </row>
    <row r="22" spans="1:8" x14ac:dyDescent="0.3">
      <c r="A22">
        <v>21</v>
      </c>
      <c r="B22" t="s">
        <v>138</v>
      </c>
      <c r="C22" t="s">
        <v>82</v>
      </c>
      <c r="D22" t="s">
        <v>140</v>
      </c>
      <c r="E22">
        <v>3</v>
      </c>
      <c r="F22">
        <v>9</v>
      </c>
      <c r="G22" t="s">
        <v>3619</v>
      </c>
      <c r="H22">
        <v>3</v>
      </c>
    </row>
    <row r="23" spans="1:8" x14ac:dyDescent="0.3">
      <c r="A23">
        <v>22</v>
      </c>
      <c r="B23" t="s">
        <v>141</v>
      </c>
      <c r="C23" t="s">
        <v>82</v>
      </c>
      <c r="D23" t="s">
        <v>113</v>
      </c>
      <c r="E23">
        <v>3</v>
      </c>
      <c r="F23">
        <v>10</v>
      </c>
      <c r="G23" t="s">
        <v>3619</v>
      </c>
      <c r="H23">
        <v>4</v>
      </c>
    </row>
    <row r="24" spans="1:8" x14ac:dyDescent="0.3">
      <c r="A24">
        <v>23</v>
      </c>
      <c r="B24" t="s">
        <v>30</v>
      </c>
      <c r="C24" t="s">
        <v>82</v>
      </c>
      <c r="D24" t="s">
        <v>140</v>
      </c>
      <c r="E24">
        <v>3</v>
      </c>
      <c r="F24">
        <v>9</v>
      </c>
      <c r="G24" t="s">
        <v>3619</v>
      </c>
      <c r="H24">
        <v>3</v>
      </c>
    </row>
    <row r="25" spans="1:8" x14ac:dyDescent="0.3">
      <c r="A25">
        <v>24</v>
      </c>
      <c r="B25" t="s">
        <v>144</v>
      </c>
      <c r="C25" t="s">
        <v>82</v>
      </c>
      <c r="D25" t="s">
        <v>146</v>
      </c>
      <c r="E25">
        <v>4</v>
      </c>
      <c r="F25">
        <v>12</v>
      </c>
      <c r="G25" t="s">
        <v>3619</v>
      </c>
      <c r="H25">
        <v>3</v>
      </c>
    </row>
    <row r="26" spans="1:8" x14ac:dyDescent="0.3">
      <c r="A26">
        <v>25</v>
      </c>
      <c r="B26" t="s">
        <v>42</v>
      </c>
      <c r="C26" t="s">
        <v>82</v>
      </c>
      <c r="D26" t="s">
        <v>148</v>
      </c>
      <c r="E26">
        <v>8</v>
      </c>
      <c r="F26">
        <v>35</v>
      </c>
      <c r="G26" t="s">
        <v>3619</v>
      </c>
      <c r="H26">
        <v>4</v>
      </c>
    </row>
    <row r="27" spans="1:8" x14ac:dyDescent="0.3">
      <c r="A27">
        <v>26</v>
      </c>
      <c r="B27" t="s">
        <v>149</v>
      </c>
      <c r="C27" t="s">
        <v>82</v>
      </c>
      <c r="D27" t="s">
        <v>151</v>
      </c>
      <c r="E27">
        <v>1</v>
      </c>
      <c r="F27">
        <v>3</v>
      </c>
      <c r="G27" t="s">
        <v>3621</v>
      </c>
      <c r="H27">
        <v>3</v>
      </c>
    </row>
    <row r="28" spans="1:8" x14ac:dyDescent="0.3">
      <c r="A28">
        <v>27</v>
      </c>
      <c r="B28" t="s">
        <v>152</v>
      </c>
      <c r="C28" t="s">
        <v>82</v>
      </c>
      <c r="D28" t="s">
        <v>154</v>
      </c>
      <c r="E28">
        <v>3</v>
      </c>
      <c r="F28">
        <v>9</v>
      </c>
      <c r="G28" t="s">
        <v>3619</v>
      </c>
      <c r="H28">
        <v>3</v>
      </c>
    </row>
    <row r="29" spans="1:8" x14ac:dyDescent="0.3">
      <c r="A29">
        <v>28</v>
      </c>
      <c r="B29" t="s">
        <v>155</v>
      </c>
      <c r="C29" t="s">
        <v>82</v>
      </c>
      <c r="D29" t="s">
        <v>157</v>
      </c>
      <c r="E29">
        <v>1</v>
      </c>
      <c r="F29">
        <v>3</v>
      </c>
      <c r="G29" t="s">
        <v>3621</v>
      </c>
      <c r="H29">
        <v>3</v>
      </c>
    </row>
    <row r="30" spans="1:8" x14ac:dyDescent="0.3">
      <c r="A30">
        <v>29</v>
      </c>
      <c r="B30" t="s">
        <v>158</v>
      </c>
      <c r="C30" t="s">
        <v>82</v>
      </c>
      <c r="D30" t="s">
        <v>160</v>
      </c>
      <c r="E30">
        <v>1</v>
      </c>
      <c r="F30">
        <v>3</v>
      </c>
      <c r="G30" t="s">
        <v>3624</v>
      </c>
      <c r="H30">
        <v>3</v>
      </c>
    </row>
    <row r="31" spans="1:8" x14ac:dyDescent="0.3">
      <c r="A31">
        <v>30</v>
      </c>
      <c r="B31" t="s">
        <v>161</v>
      </c>
      <c r="C31" t="s">
        <v>82</v>
      </c>
      <c r="D31" t="s">
        <v>163</v>
      </c>
      <c r="E31">
        <v>1</v>
      </c>
      <c r="F31">
        <v>4</v>
      </c>
      <c r="G31" t="s">
        <v>3621</v>
      </c>
      <c r="H31">
        <v>4</v>
      </c>
    </row>
    <row r="32" spans="1:8" x14ac:dyDescent="0.3">
      <c r="A32">
        <v>31</v>
      </c>
      <c r="B32" t="s">
        <v>164</v>
      </c>
      <c r="C32" t="s">
        <v>82</v>
      </c>
      <c r="D32" t="s">
        <v>166</v>
      </c>
      <c r="E32">
        <v>8</v>
      </c>
      <c r="F32">
        <v>35</v>
      </c>
      <c r="G32" t="s">
        <v>3619</v>
      </c>
      <c r="H32">
        <v>5</v>
      </c>
    </row>
    <row r="33" spans="1:8" x14ac:dyDescent="0.3">
      <c r="A33">
        <v>32</v>
      </c>
      <c r="B33" t="s">
        <v>167</v>
      </c>
      <c r="C33" t="s">
        <v>82</v>
      </c>
      <c r="D33" t="s">
        <v>169</v>
      </c>
      <c r="E33">
        <v>3</v>
      </c>
      <c r="F33">
        <v>9</v>
      </c>
      <c r="G33" t="s">
        <v>3619</v>
      </c>
      <c r="H33">
        <v>3</v>
      </c>
    </row>
    <row r="34" spans="1:8" x14ac:dyDescent="0.3">
      <c r="A34">
        <v>33</v>
      </c>
      <c r="B34" t="s">
        <v>170</v>
      </c>
      <c r="C34" t="s">
        <v>82</v>
      </c>
      <c r="D34" t="s">
        <v>172</v>
      </c>
      <c r="E34">
        <v>6</v>
      </c>
      <c r="F34">
        <v>39</v>
      </c>
      <c r="G34" t="s">
        <v>3619</v>
      </c>
      <c r="H34">
        <v>5</v>
      </c>
    </row>
    <row r="35" spans="1:8" x14ac:dyDescent="0.3">
      <c r="A35">
        <v>34</v>
      </c>
      <c r="B35" t="s">
        <v>173</v>
      </c>
      <c r="C35" t="s">
        <v>82</v>
      </c>
      <c r="D35" t="s">
        <v>175</v>
      </c>
      <c r="E35">
        <v>2</v>
      </c>
      <c r="F35">
        <v>6</v>
      </c>
      <c r="G35" t="s">
        <v>3619</v>
      </c>
      <c r="H35">
        <v>3</v>
      </c>
    </row>
    <row r="36" spans="1:8" x14ac:dyDescent="0.3">
      <c r="A36">
        <v>35</v>
      </c>
      <c r="B36" t="s">
        <v>176</v>
      </c>
      <c r="C36" t="s">
        <v>82</v>
      </c>
      <c r="D36" t="s">
        <v>178</v>
      </c>
      <c r="E36">
        <v>8</v>
      </c>
      <c r="F36">
        <v>35</v>
      </c>
      <c r="G36" t="s">
        <v>3619</v>
      </c>
      <c r="H36">
        <v>4</v>
      </c>
    </row>
    <row r="37" spans="1:8" x14ac:dyDescent="0.3">
      <c r="A37">
        <v>36</v>
      </c>
      <c r="B37" t="s">
        <v>179</v>
      </c>
      <c r="C37" t="s">
        <v>82</v>
      </c>
      <c r="D37" t="s">
        <v>98</v>
      </c>
      <c r="E37">
        <v>3</v>
      </c>
      <c r="F37">
        <v>16</v>
      </c>
      <c r="G37" t="s">
        <v>3619</v>
      </c>
      <c r="H37">
        <v>6</v>
      </c>
    </row>
    <row r="38" spans="1:8" x14ac:dyDescent="0.3">
      <c r="A38">
        <v>37</v>
      </c>
      <c r="B38" t="s">
        <v>181</v>
      </c>
      <c r="C38" t="s">
        <v>82</v>
      </c>
      <c r="D38" t="s">
        <v>183</v>
      </c>
      <c r="E38">
        <v>5</v>
      </c>
      <c r="F38">
        <v>24</v>
      </c>
      <c r="G38" t="s">
        <v>3619</v>
      </c>
      <c r="H38">
        <v>4</v>
      </c>
    </row>
    <row r="39" spans="1:8" x14ac:dyDescent="0.3">
      <c r="A39">
        <v>38</v>
      </c>
      <c r="B39" t="s">
        <v>62</v>
      </c>
      <c r="C39" t="s">
        <v>82</v>
      </c>
      <c r="D39" t="s">
        <v>185</v>
      </c>
      <c r="E39">
        <v>1</v>
      </c>
      <c r="F39">
        <v>4</v>
      </c>
      <c r="G39" t="s">
        <v>3619</v>
      </c>
      <c r="H39">
        <v>4</v>
      </c>
    </row>
    <row r="40" spans="1:8" x14ac:dyDescent="0.3">
      <c r="A40">
        <v>39</v>
      </c>
      <c r="B40" t="s">
        <v>186</v>
      </c>
      <c r="C40" t="s">
        <v>82</v>
      </c>
      <c r="D40" t="s">
        <v>188</v>
      </c>
      <c r="E40">
        <v>1</v>
      </c>
      <c r="F40">
        <v>3</v>
      </c>
      <c r="G40" t="s">
        <v>3621</v>
      </c>
      <c r="H40">
        <v>3</v>
      </c>
    </row>
    <row r="41" spans="1:8" x14ac:dyDescent="0.3">
      <c r="A41">
        <v>40</v>
      </c>
      <c r="B41" t="s">
        <v>189</v>
      </c>
      <c r="C41" t="s">
        <v>82</v>
      </c>
      <c r="D41" t="s">
        <v>191</v>
      </c>
      <c r="E41">
        <v>1</v>
      </c>
      <c r="F41">
        <v>4</v>
      </c>
      <c r="G41" t="s">
        <v>3621</v>
      </c>
      <c r="H41">
        <v>4</v>
      </c>
    </row>
    <row r="42" spans="1:8" x14ac:dyDescent="0.3">
      <c r="A42">
        <v>41</v>
      </c>
      <c r="B42" t="s">
        <v>35</v>
      </c>
      <c r="C42" t="s">
        <v>82</v>
      </c>
      <c r="D42" t="s">
        <v>193</v>
      </c>
      <c r="E42">
        <v>1</v>
      </c>
      <c r="F42">
        <v>4</v>
      </c>
      <c r="G42" t="s">
        <v>3621</v>
      </c>
      <c r="H42">
        <v>4</v>
      </c>
    </row>
    <row r="43" spans="1:8" x14ac:dyDescent="0.3">
      <c r="A43">
        <v>42</v>
      </c>
      <c r="B43" t="s">
        <v>37</v>
      </c>
      <c r="C43" t="s">
        <v>82</v>
      </c>
      <c r="D43" t="s">
        <v>195</v>
      </c>
      <c r="E43">
        <v>6</v>
      </c>
      <c r="F43">
        <v>39</v>
      </c>
      <c r="G43" t="s">
        <v>3619</v>
      </c>
      <c r="H43">
        <v>8</v>
      </c>
    </row>
    <row r="44" spans="1:8" x14ac:dyDescent="0.3">
      <c r="A44">
        <v>43</v>
      </c>
      <c r="B44" t="s">
        <v>196</v>
      </c>
      <c r="C44" t="s">
        <v>82</v>
      </c>
      <c r="D44" t="s">
        <v>198</v>
      </c>
      <c r="E44">
        <v>8</v>
      </c>
      <c r="F44">
        <v>35</v>
      </c>
      <c r="G44" t="s">
        <v>3619</v>
      </c>
      <c r="H44">
        <v>5</v>
      </c>
    </row>
    <row r="45" spans="1:8" x14ac:dyDescent="0.3">
      <c r="A45">
        <v>44</v>
      </c>
      <c r="B45" t="s">
        <v>199</v>
      </c>
      <c r="C45" t="s">
        <v>82</v>
      </c>
      <c r="D45" t="s">
        <v>201</v>
      </c>
      <c r="E45">
        <v>3</v>
      </c>
      <c r="F45">
        <v>10</v>
      </c>
      <c r="G45" t="s">
        <v>3619</v>
      </c>
      <c r="H45">
        <v>3</v>
      </c>
    </row>
    <row r="46" spans="1:8" x14ac:dyDescent="0.3">
      <c r="A46">
        <v>45</v>
      </c>
      <c r="B46" t="s">
        <v>202</v>
      </c>
      <c r="C46" t="s">
        <v>82</v>
      </c>
      <c r="D46" t="s">
        <v>204</v>
      </c>
      <c r="E46">
        <v>4</v>
      </c>
      <c r="F46">
        <v>12</v>
      </c>
      <c r="G46" t="s">
        <v>3623</v>
      </c>
      <c r="H46">
        <v>3</v>
      </c>
    </row>
    <row r="47" spans="1:8" x14ac:dyDescent="0.3">
      <c r="A47">
        <v>46</v>
      </c>
      <c r="B47" t="s">
        <v>205</v>
      </c>
      <c r="C47" t="s">
        <v>82</v>
      </c>
      <c r="D47" t="s">
        <v>207</v>
      </c>
      <c r="E47">
        <v>5</v>
      </c>
      <c r="F47">
        <v>24</v>
      </c>
      <c r="G47" t="s">
        <v>3619</v>
      </c>
      <c r="H47">
        <v>5</v>
      </c>
    </row>
    <row r="48" spans="1:8" x14ac:dyDescent="0.3">
      <c r="A48">
        <v>47</v>
      </c>
      <c r="B48" t="s">
        <v>208</v>
      </c>
      <c r="C48" t="s">
        <v>82</v>
      </c>
      <c r="D48" t="s">
        <v>210</v>
      </c>
      <c r="E48">
        <v>4</v>
      </c>
      <c r="F48">
        <v>12</v>
      </c>
      <c r="G48" t="s">
        <v>3623</v>
      </c>
      <c r="H48">
        <v>3</v>
      </c>
    </row>
    <row r="49" spans="1:8" x14ac:dyDescent="0.3">
      <c r="A49">
        <v>48</v>
      </c>
      <c r="B49" t="s">
        <v>211</v>
      </c>
      <c r="C49" t="s">
        <v>82</v>
      </c>
      <c r="D49" t="s">
        <v>213</v>
      </c>
      <c r="E49">
        <v>1</v>
      </c>
      <c r="F49">
        <v>3</v>
      </c>
      <c r="G49" t="s">
        <v>3619</v>
      </c>
      <c r="H49">
        <v>3</v>
      </c>
    </row>
    <row r="50" spans="1:8" x14ac:dyDescent="0.3">
      <c r="A50">
        <v>49</v>
      </c>
      <c r="B50" t="s">
        <v>214</v>
      </c>
      <c r="C50" t="s">
        <v>82</v>
      </c>
      <c r="D50" t="s">
        <v>216</v>
      </c>
      <c r="E50">
        <v>3</v>
      </c>
      <c r="F50">
        <v>10</v>
      </c>
      <c r="G50" t="s">
        <v>3619</v>
      </c>
      <c r="H50">
        <v>3</v>
      </c>
    </row>
    <row r="51" spans="1:8" x14ac:dyDescent="0.3">
      <c r="A51">
        <v>50</v>
      </c>
      <c r="B51" t="s">
        <v>217</v>
      </c>
      <c r="C51" t="s">
        <v>82</v>
      </c>
      <c r="D51" t="s">
        <v>183</v>
      </c>
      <c r="E51">
        <v>5</v>
      </c>
      <c r="F51">
        <v>24</v>
      </c>
      <c r="G51" t="s">
        <v>3619</v>
      </c>
      <c r="H51">
        <v>4</v>
      </c>
    </row>
    <row r="52" spans="1:8" x14ac:dyDescent="0.3">
      <c r="A52">
        <v>51</v>
      </c>
      <c r="B52" t="s">
        <v>219</v>
      </c>
      <c r="C52" t="s">
        <v>82</v>
      </c>
      <c r="D52" t="s">
        <v>221</v>
      </c>
      <c r="E52">
        <v>1</v>
      </c>
      <c r="F52">
        <v>4</v>
      </c>
      <c r="G52" t="s">
        <v>3621</v>
      </c>
      <c r="H52">
        <v>4</v>
      </c>
    </row>
    <row r="53" spans="1:8" x14ac:dyDescent="0.3">
      <c r="A53">
        <v>52</v>
      </c>
      <c r="B53" t="s">
        <v>222</v>
      </c>
      <c r="C53" t="s">
        <v>82</v>
      </c>
      <c r="D53" t="s">
        <v>224</v>
      </c>
      <c r="E53">
        <v>6</v>
      </c>
      <c r="F53">
        <v>39</v>
      </c>
      <c r="G53" t="s">
        <v>3619</v>
      </c>
      <c r="H53">
        <v>5</v>
      </c>
    </row>
    <row r="54" spans="1:8" x14ac:dyDescent="0.3">
      <c r="A54">
        <v>53</v>
      </c>
      <c r="B54" t="s">
        <v>225</v>
      </c>
      <c r="C54" t="s">
        <v>82</v>
      </c>
      <c r="D54" t="s">
        <v>227</v>
      </c>
      <c r="E54">
        <v>8</v>
      </c>
      <c r="F54">
        <v>35</v>
      </c>
      <c r="G54" t="s">
        <v>3619</v>
      </c>
      <c r="H54">
        <v>3</v>
      </c>
    </row>
    <row r="55" spans="1:8" x14ac:dyDescent="0.3">
      <c r="A55">
        <v>54</v>
      </c>
      <c r="B55" t="s">
        <v>228</v>
      </c>
      <c r="C55" t="s">
        <v>82</v>
      </c>
      <c r="D55" t="s">
        <v>230</v>
      </c>
      <c r="E55">
        <v>3</v>
      </c>
      <c r="F55">
        <v>10</v>
      </c>
      <c r="G55" t="s">
        <v>3619</v>
      </c>
      <c r="H55">
        <v>4</v>
      </c>
    </row>
    <row r="56" spans="1:8" x14ac:dyDescent="0.3">
      <c r="A56">
        <v>55</v>
      </c>
      <c r="B56" t="s">
        <v>231</v>
      </c>
      <c r="C56" t="s">
        <v>82</v>
      </c>
      <c r="D56" t="s">
        <v>233</v>
      </c>
      <c r="E56">
        <v>4</v>
      </c>
      <c r="F56">
        <v>12</v>
      </c>
      <c r="G56" t="s">
        <v>3623</v>
      </c>
      <c r="H56">
        <v>3</v>
      </c>
    </row>
    <row r="57" spans="1:8" x14ac:dyDescent="0.3">
      <c r="A57">
        <v>56</v>
      </c>
      <c r="B57" t="s">
        <v>234</v>
      </c>
      <c r="C57" t="s">
        <v>82</v>
      </c>
      <c r="D57" t="s">
        <v>236</v>
      </c>
      <c r="E57">
        <v>6</v>
      </c>
      <c r="F57">
        <v>29</v>
      </c>
      <c r="G57" t="s">
        <v>3619</v>
      </c>
      <c r="H57">
        <v>4</v>
      </c>
    </row>
    <row r="58" spans="1:8" x14ac:dyDescent="0.3">
      <c r="A58">
        <v>57</v>
      </c>
      <c r="B58" t="s">
        <v>237</v>
      </c>
      <c r="C58" t="s">
        <v>82</v>
      </c>
      <c r="D58" t="s">
        <v>239</v>
      </c>
      <c r="E58">
        <v>4</v>
      </c>
      <c r="F58">
        <v>12</v>
      </c>
      <c r="G58" t="s">
        <v>3619</v>
      </c>
      <c r="H58">
        <v>3</v>
      </c>
    </row>
    <row r="59" spans="1:8" x14ac:dyDescent="0.3">
      <c r="A59">
        <v>58</v>
      </c>
      <c r="B59" t="s">
        <v>240</v>
      </c>
      <c r="C59" t="s">
        <v>82</v>
      </c>
      <c r="D59" t="s">
        <v>242</v>
      </c>
      <c r="E59">
        <v>2</v>
      </c>
      <c r="F59">
        <v>6</v>
      </c>
      <c r="G59" t="s">
        <v>3623</v>
      </c>
      <c r="H59">
        <v>3</v>
      </c>
    </row>
    <row r="60" spans="1:8" x14ac:dyDescent="0.3">
      <c r="A60">
        <v>59</v>
      </c>
      <c r="B60" t="s">
        <v>243</v>
      </c>
      <c r="C60" t="s">
        <v>82</v>
      </c>
      <c r="D60" t="s">
        <v>245</v>
      </c>
      <c r="E60">
        <v>6</v>
      </c>
      <c r="F60">
        <v>29</v>
      </c>
      <c r="G60" t="s">
        <v>3619</v>
      </c>
      <c r="H60">
        <v>6</v>
      </c>
    </row>
    <row r="61" spans="1:8" x14ac:dyDescent="0.3">
      <c r="A61">
        <v>60</v>
      </c>
      <c r="B61" t="s">
        <v>246</v>
      </c>
      <c r="C61" t="s">
        <v>82</v>
      </c>
      <c r="D61" t="s">
        <v>248</v>
      </c>
      <c r="E61">
        <v>1</v>
      </c>
      <c r="F61">
        <v>5</v>
      </c>
      <c r="G61" t="s">
        <v>3621</v>
      </c>
      <c r="H61">
        <v>5</v>
      </c>
    </row>
    <row r="62" spans="1:8" x14ac:dyDescent="0.3">
      <c r="A62">
        <v>61</v>
      </c>
      <c r="B62" t="s">
        <v>249</v>
      </c>
      <c r="C62" t="s">
        <v>82</v>
      </c>
      <c r="D62" t="s">
        <v>183</v>
      </c>
      <c r="E62">
        <v>5</v>
      </c>
      <c r="F62">
        <v>24</v>
      </c>
      <c r="G62" t="s">
        <v>3619</v>
      </c>
      <c r="H62">
        <v>4</v>
      </c>
    </row>
    <row r="63" spans="1:8" x14ac:dyDescent="0.3">
      <c r="A63">
        <v>62</v>
      </c>
      <c r="B63" t="s">
        <v>44</v>
      </c>
      <c r="C63" t="s">
        <v>82</v>
      </c>
      <c r="D63" t="s">
        <v>113</v>
      </c>
      <c r="E63">
        <v>3</v>
      </c>
      <c r="F63">
        <v>10</v>
      </c>
      <c r="G63" t="s">
        <v>3619</v>
      </c>
      <c r="H63">
        <v>3</v>
      </c>
    </row>
    <row r="64" spans="1:8" x14ac:dyDescent="0.3">
      <c r="A64">
        <v>63</v>
      </c>
      <c r="B64" t="s">
        <v>67</v>
      </c>
      <c r="C64" t="s">
        <v>82</v>
      </c>
      <c r="D64" t="s">
        <v>253</v>
      </c>
      <c r="E64">
        <v>6</v>
      </c>
      <c r="F64">
        <v>39</v>
      </c>
      <c r="G64" t="s">
        <v>3619</v>
      </c>
      <c r="H64">
        <v>8</v>
      </c>
    </row>
    <row r="65" spans="1:8" x14ac:dyDescent="0.3">
      <c r="A65">
        <v>64</v>
      </c>
      <c r="B65" t="s">
        <v>59</v>
      </c>
      <c r="C65" t="s">
        <v>82</v>
      </c>
      <c r="D65" t="s">
        <v>255</v>
      </c>
      <c r="E65">
        <v>6</v>
      </c>
      <c r="F65">
        <v>39</v>
      </c>
      <c r="G65" t="s">
        <v>3619</v>
      </c>
      <c r="H65">
        <v>7</v>
      </c>
    </row>
    <row r="66" spans="1:8" x14ac:dyDescent="0.3">
      <c r="A66">
        <v>65</v>
      </c>
      <c r="B66" t="s">
        <v>256</v>
      </c>
      <c r="C66" t="s">
        <v>82</v>
      </c>
      <c r="D66" t="s">
        <v>258</v>
      </c>
      <c r="E66">
        <v>1</v>
      </c>
      <c r="F66">
        <v>3</v>
      </c>
      <c r="G66" t="s">
        <v>3621</v>
      </c>
      <c r="H66">
        <v>3</v>
      </c>
    </row>
    <row r="67" spans="1:8" x14ac:dyDescent="0.3">
      <c r="A67">
        <v>66</v>
      </c>
      <c r="B67" t="s">
        <v>259</v>
      </c>
      <c r="C67" t="s">
        <v>82</v>
      </c>
      <c r="D67" t="s">
        <v>140</v>
      </c>
      <c r="E67">
        <v>3</v>
      </c>
      <c r="F67">
        <v>9</v>
      </c>
      <c r="G67" t="s">
        <v>3619</v>
      </c>
      <c r="H67">
        <v>3</v>
      </c>
    </row>
    <row r="68" spans="1:8" x14ac:dyDescent="0.3">
      <c r="A68">
        <v>67</v>
      </c>
      <c r="B68" t="s">
        <v>261</v>
      </c>
      <c r="C68" t="s">
        <v>82</v>
      </c>
      <c r="D68" t="s">
        <v>263</v>
      </c>
      <c r="E68">
        <v>2</v>
      </c>
      <c r="F68">
        <v>6</v>
      </c>
      <c r="G68" t="s">
        <v>3619</v>
      </c>
      <c r="H68">
        <v>3</v>
      </c>
    </row>
    <row r="69" spans="1:8" x14ac:dyDescent="0.3">
      <c r="A69">
        <v>68</v>
      </c>
      <c r="B69" t="s">
        <v>264</v>
      </c>
      <c r="C69" t="s">
        <v>82</v>
      </c>
      <c r="D69" t="s">
        <v>266</v>
      </c>
      <c r="E69">
        <v>2</v>
      </c>
      <c r="F69">
        <v>7</v>
      </c>
      <c r="G69" t="s">
        <v>3621</v>
      </c>
      <c r="H69">
        <v>3</v>
      </c>
    </row>
    <row r="70" spans="1:8" x14ac:dyDescent="0.3">
      <c r="A70">
        <v>69</v>
      </c>
      <c r="B70" t="s">
        <v>267</v>
      </c>
      <c r="C70" t="s">
        <v>82</v>
      </c>
      <c r="D70" t="s">
        <v>269</v>
      </c>
      <c r="E70">
        <v>6</v>
      </c>
      <c r="F70">
        <v>29</v>
      </c>
      <c r="G70" t="s">
        <v>3619</v>
      </c>
      <c r="H70">
        <v>5</v>
      </c>
    </row>
    <row r="71" spans="1:8" x14ac:dyDescent="0.3">
      <c r="A71">
        <v>70</v>
      </c>
      <c r="B71" t="s">
        <v>270</v>
      </c>
      <c r="C71" t="s">
        <v>82</v>
      </c>
      <c r="D71" t="s">
        <v>266</v>
      </c>
      <c r="E71">
        <v>2</v>
      </c>
      <c r="F71">
        <v>7</v>
      </c>
      <c r="G71" t="s">
        <v>3621</v>
      </c>
      <c r="H71">
        <v>4</v>
      </c>
    </row>
    <row r="72" spans="1:8" x14ac:dyDescent="0.3">
      <c r="A72">
        <v>71</v>
      </c>
      <c r="B72" t="s">
        <v>272</v>
      </c>
      <c r="C72" t="s">
        <v>82</v>
      </c>
      <c r="D72" t="s">
        <v>274</v>
      </c>
      <c r="E72">
        <v>6</v>
      </c>
      <c r="F72">
        <v>29</v>
      </c>
      <c r="G72" t="s">
        <v>3619</v>
      </c>
      <c r="H72">
        <v>5</v>
      </c>
    </row>
    <row r="73" spans="1:8" x14ac:dyDescent="0.3">
      <c r="A73">
        <v>72</v>
      </c>
      <c r="B73" t="s">
        <v>275</v>
      </c>
      <c r="C73" t="s">
        <v>82</v>
      </c>
      <c r="D73" t="s">
        <v>277</v>
      </c>
      <c r="E73">
        <v>6</v>
      </c>
      <c r="F73">
        <v>39</v>
      </c>
      <c r="G73" t="s">
        <v>3619</v>
      </c>
      <c r="H73">
        <v>6</v>
      </c>
    </row>
    <row r="74" spans="1:8" x14ac:dyDescent="0.3">
      <c r="A74">
        <v>73</v>
      </c>
      <c r="B74" t="s">
        <v>278</v>
      </c>
      <c r="C74" t="s">
        <v>82</v>
      </c>
      <c r="D74" t="s">
        <v>280</v>
      </c>
      <c r="E74">
        <v>8</v>
      </c>
      <c r="F74">
        <v>35</v>
      </c>
      <c r="G74" t="s">
        <v>3619</v>
      </c>
      <c r="H74">
        <v>5</v>
      </c>
    </row>
    <row r="75" spans="1:8" x14ac:dyDescent="0.3">
      <c r="A75">
        <v>74</v>
      </c>
      <c r="B75" t="s">
        <v>281</v>
      </c>
      <c r="C75" t="s">
        <v>82</v>
      </c>
      <c r="D75" t="s">
        <v>283</v>
      </c>
      <c r="E75">
        <v>6</v>
      </c>
      <c r="F75">
        <v>29</v>
      </c>
      <c r="G75" t="s">
        <v>3619</v>
      </c>
      <c r="H75">
        <v>4</v>
      </c>
    </row>
    <row r="76" spans="1:8" x14ac:dyDescent="0.3">
      <c r="A76">
        <v>75</v>
      </c>
      <c r="B76" t="s">
        <v>60</v>
      </c>
      <c r="C76" t="s">
        <v>284</v>
      </c>
      <c r="D76" t="s">
        <v>286</v>
      </c>
      <c r="E76">
        <v>1</v>
      </c>
      <c r="F76">
        <v>3</v>
      </c>
      <c r="G76" t="s">
        <v>3619</v>
      </c>
      <c r="H76">
        <v>3</v>
      </c>
    </row>
    <row r="77" spans="1:8" x14ac:dyDescent="0.3">
      <c r="A77">
        <v>76</v>
      </c>
      <c r="B77" t="s">
        <v>287</v>
      </c>
      <c r="C77" t="s">
        <v>284</v>
      </c>
      <c r="D77" t="s">
        <v>289</v>
      </c>
      <c r="E77">
        <v>1</v>
      </c>
      <c r="F77">
        <v>3</v>
      </c>
      <c r="G77" t="s">
        <v>3619</v>
      </c>
      <c r="H77">
        <v>3</v>
      </c>
    </row>
    <row r="78" spans="1:8" x14ac:dyDescent="0.3">
      <c r="A78">
        <v>77</v>
      </c>
      <c r="B78" t="s">
        <v>290</v>
      </c>
      <c r="C78" t="s">
        <v>284</v>
      </c>
      <c r="D78" t="s">
        <v>213</v>
      </c>
      <c r="E78">
        <v>2</v>
      </c>
      <c r="F78">
        <v>6</v>
      </c>
      <c r="G78" t="s">
        <v>3619</v>
      </c>
      <c r="H78">
        <v>3</v>
      </c>
    </row>
    <row r="79" spans="1:8" x14ac:dyDescent="0.3">
      <c r="A79">
        <v>78</v>
      </c>
      <c r="B79" t="s">
        <v>292</v>
      </c>
      <c r="C79" t="s">
        <v>284</v>
      </c>
      <c r="D79" t="s">
        <v>294</v>
      </c>
      <c r="E79">
        <v>1</v>
      </c>
      <c r="F79">
        <v>3</v>
      </c>
      <c r="G79" t="s">
        <v>3621</v>
      </c>
      <c r="H79">
        <v>3</v>
      </c>
    </row>
    <row r="80" spans="1:8" x14ac:dyDescent="0.3">
      <c r="A80">
        <v>79</v>
      </c>
      <c r="B80" t="s">
        <v>102</v>
      </c>
      <c r="C80" t="s">
        <v>284</v>
      </c>
      <c r="D80" t="s">
        <v>296</v>
      </c>
      <c r="E80">
        <v>1</v>
      </c>
      <c r="F80">
        <v>4</v>
      </c>
      <c r="G80" t="s">
        <v>3619</v>
      </c>
      <c r="H80">
        <v>4</v>
      </c>
    </row>
    <row r="81" spans="1:8" x14ac:dyDescent="0.3">
      <c r="A81">
        <v>80</v>
      </c>
      <c r="B81" t="s">
        <v>114</v>
      </c>
      <c r="C81" t="s">
        <v>284</v>
      </c>
      <c r="D81" t="s">
        <v>298</v>
      </c>
      <c r="E81">
        <v>6</v>
      </c>
      <c r="F81">
        <v>18</v>
      </c>
      <c r="G81" t="s">
        <v>3619</v>
      </c>
      <c r="H81">
        <v>3</v>
      </c>
    </row>
    <row r="82" spans="1:8" x14ac:dyDescent="0.3">
      <c r="A82">
        <v>81</v>
      </c>
      <c r="B82" t="s">
        <v>299</v>
      </c>
      <c r="C82" t="s">
        <v>284</v>
      </c>
      <c r="D82" t="s">
        <v>183</v>
      </c>
      <c r="E82">
        <v>10</v>
      </c>
      <c r="F82">
        <v>46</v>
      </c>
      <c r="G82" t="s">
        <v>3619</v>
      </c>
      <c r="H82">
        <v>4</v>
      </c>
    </row>
    <row r="83" spans="1:8" x14ac:dyDescent="0.3">
      <c r="A83">
        <v>82</v>
      </c>
      <c r="B83" t="s">
        <v>53</v>
      </c>
      <c r="C83" t="s">
        <v>284</v>
      </c>
      <c r="D83" t="s">
        <v>302</v>
      </c>
      <c r="E83">
        <v>7</v>
      </c>
      <c r="F83">
        <v>25</v>
      </c>
      <c r="G83" t="s">
        <v>3619</v>
      </c>
      <c r="H83">
        <v>3</v>
      </c>
    </row>
    <row r="84" spans="1:8" x14ac:dyDescent="0.3">
      <c r="A84">
        <v>83</v>
      </c>
      <c r="B84" t="s">
        <v>135</v>
      </c>
      <c r="C84" t="s">
        <v>284</v>
      </c>
      <c r="D84" t="s">
        <v>304</v>
      </c>
      <c r="E84">
        <v>10</v>
      </c>
      <c r="F84">
        <v>46</v>
      </c>
      <c r="G84" t="s">
        <v>3619</v>
      </c>
      <c r="H84">
        <v>6</v>
      </c>
    </row>
    <row r="85" spans="1:8" x14ac:dyDescent="0.3">
      <c r="A85">
        <v>84</v>
      </c>
      <c r="B85" t="s">
        <v>138</v>
      </c>
      <c r="C85" t="s">
        <v>284</v>
      </c>
      <c r="D85" t="s">
        <v>306</v>
      </c>
      <c r="E85">
        <v>3</v>
      </c>
      <c r="F85">
        <v>9</v>
      </c>
      <c r="G85" t="s">
        <v>3619</v>
      </c>
      <c r="H85">
        <v>3</v>
      </c>
    </row>
    <row r="86" spans="1:8" x14ac:dyDescent="0.3">
      <c r="A86">
        <v>85</v>
      </c>
      <c r="B86" t="s">
        <v>307</v>
      </c>
      <c r="C86" t="s">
        <v>284</v>
      </c>
      <c r="D86" t="s">
        <v>309</v>
      </c>
      <c r="E86">
        <v>2</v>
      </c>
      <c r="F86">
        <v>6</v>
      </c>
      <c r="G86" t="s">
        <v>3621</v>
      </c>
      <c r="H86">
        <v>3</v>
      </c>
    </row>
    <row r="87" spans="1:8" x14ac:dyDescent="0.3">
      <c r="A87">
        <v>86</v>
      </c>
      <c r="B87" t="s">
        <v>30</v>
      </c>
      <c r="C87" t="s">
        <v>284</v>
      </c>
      <c r="D87" t="s">
        <v>311</v>
      </c>
      <c r="E87">
        <v>3</v>
      </c>
      <c r="F87">
        <v>9</v>
      </c>
      <c r="G87" t="s">
        <v>3619</v>
      </c>
      <c r="H87">
        <v>3</v>
      </c>
    </row>
    <row r="88" spans="1:8" x14ac:dyDescent="0.3">
      <c r="A88">
        <v>87</v>
      </c>
      <c r="B88" t="s">
        <v>144</v>
      </c>
      <c r="C88" t="s">
        <v>284</v>
      </c>
      <c r="D88" t="s">
        <v>183</v>
      </c>
      <c r="E88">
        <v>10</v>
      </c>
      <c r="F88">
        <v>46</v>
      </c>
      <c r="G88" t="s">
        <v>3619</v>
      </c>
      <c r="H88">
        <v>5</v>
      </c>
    </row>
    <row r="89" spans="1:8" x14ac:dyDescent="0.3">
      <c r="A89">
        <v>88</v>
      </c>
      <c r="B89" t="s">
        <v>313</v>
      </c>
      <c r="C89" t="s">
        <v>284</v>
      </c>
      <c r="D89" t="s">
        <v>309</v>
      </c>
      <c r="E89">
        <v>2</v>
      </c>
      <c r="F89">
        <v>6</v>
      </c>
      <c r="G89" t="s">
        <v>3621</v>
      </c>
      <c r="H89">
        <v>3</v>
      </c>
    </row>
    <row r="90" spans="1:8" x14ac:dyDescent="0.3">
      <c r="A90">
        <v>89</v>
      </c>
      <c r="B90" t="s">
        <v>34</v>
      </c>
      <c r="C90" t="s">
        <v>284</v>
      </c>
      <c r="D90" t="s">
        <v>316</v>
      </c>
      <c r="E90">
        <v>1</v>
      </c>
      <c r="F90">
        <v>3</v>
      </c>
      <c r="G90" t="s">
        <v>3621</v>
      </c>
      <c r="H90">
        <v>3</v>
      </c>
    </row>
    <row r="91" spans="1:8" x14ac:dyDescent="0.3">
      <c r="A91">
        <v>90</v>
      </c>
      <c r="B91" t="s">
        <v>317</v>
      </c>
      <c r="C91" t="s">
        <v>284</v>
      </c>
      <c r="D91" t="s">
        <v>319</v>
      </c>
      <c r="E91">
        <v>10</v>
      </c>
      <c r="F91">
        <v>46</v>
      </c>
      <c r="G91" t="s">
        <v>3619</v>
      </c>
      <c r="H91">
        <v>4</v>
      </c>
    </row>
    <row r="92" spans="1:8" x14ac:dyDescent="0.3">
      <c r="A92">
        <v>91</v>
      </c>
      <c r="B92" t="s">
        <v>179</v>
      </c>
      <c r="C92" t="s">
        <v>284</v>
      </c>
      <c r="D92" t="s">
        <v>321</v>
      </c>
      <c r="E92">
        <v>7</v>
      </c>
      <c r="F92">
        <v>25</v>
      </c>
      <c r="G92" t="s">
        <v>3619</v>
      </c>
      <c r="H92">
        <v>4</v>
      </c>
    </row>
    <row r="93" spans="1:8" x14ac:dyDescent="0.3">
      <c r="A93">
        <v>92</v>
      </c>
      <c r="B93" t="s">
        <v>62</v>
      </c>
      <c r="C93" t="s">
        <v>284</v>
      </c>
      <c r="D93" t="s">
        <v>323</v>
      </c>
      <c r="E93">
        <v>10</v>
      </c>
      <c r="F93">
        <v>46</v>
      </c>
      <c r="G93" t="s">
        <v>3619</v>
      </c>
      <c r="H93">
        <v>4</v>
      </c>
    </row>
    <row r="94" spans="1:8" x14ac:dyDescent="0.3">
      <c r="A94">
        <v>93</v>
      </c>
      <c r="B94" t="s">
        <v>324</v>
      </c>
      <c r="C94" t="s">
        <v>284</v>
      </c>
      <c r="D94" t="s">
        <v>98</v>
      </c>
      <c r="E94">
        <v>3</v>
      </c>
      <c r="F94">
        <v>14</v>
      </c>
      <c r="G94" t="s">
        <v>3619</v>
      </c>
      <c r="H94">
        <v>5</v>
      </c>
    </row>
    <row r="95" spans="1:8" x14ac:dyDescent="0.3">
      <c r="A95">
        <v>94</v>
      </c>
      <c r="B95" t="s">
        <v>326</v>
      </c>
      <c r="C95" t="s">
        <v>284</v>
      </c>
      <c r="D95" t="s">
        <v>140</v>
      </c>
      <c r="E95">
        <v>1</v>
      </c>
      <c r="F95">
        <v>4</v>
      </c>
      <c r="G95" t="s">
        <v>3621</v>
      </c>
      <c r="H95">
        <v>4</v>
      </c>
    </row>
    <row r="96" spans="1:8" x14ac:dyDescent="0.3">
      <c r="A96">
        <v>95</v>
      </c>
      <c r="B96" t="s">
        <v>35</v>
      </c>
      <c r="C96" t="s">
        <v>284</v>
      </c>
      <c r="D96" t="s">
        <v>329</v>
      </c>
      <c r="E96">
        <v>2</v>
      </c>
      <c r="F96">
        <v>8</v>
      </c>
      <c r="G96" t="s">
        <v>3624</v>
      </c>
      <c r="H96">
        <v>5</v>
      </c>
    </row>
    <row r="97" spans="1:8" x14ac:dyDescent="0.3">
      <c r="A97">
        <v>96</v>
      </c>
      <c r="B97" t="s">
        <v>37</v>
      </c>
      <c r="C97" t="s">
        <v>284</v>
      </c>
      <c r="D97" t="s">
        <v>331</v>
      </c>
      <c r="E97">
        <v>2</v>
      </c>
      <c r="F97">
        <v>6</v>
      </c>
      <c r="G97" t="s">
        <v>3619</v>
      </c>
      <c r="H97">
        <v>3</v>
      </c>
    </row>
    <row r="98" spans="1:8" x14ac:dyDescent="0.3">
      <c r="A98">
        <v>97</v>
      </c>
      <c r="B98" t="s">
        <v>70</v>
      </c>
      <c r="C98" t="s">
        <v>284</v>
      </c>
      <c r="D98" t="s">
        <v>333</v>
      </c>
      <c r="E98">
        <v>10</v>
      </c>
      <c r="F98">
        <v>46</v>
      </c>
      <c r="G98" t="s">
        <v>3619</v>
      </c>
      <c r="H98">
        <v>5</v>
      </c>
    </row>
    <row r="99" spans="1:8" x14ac:dyDescent="0.3">
      <c r="A99">
        <v>98</v>
      </c>
      <c r="B99" t="s">
        <v>334</v>
      </c>
      <c r="C99" t="s">
        <v>284</v>
      </c>
      <c r="D99" t="s">
        <v>304</v>
      </c>
      <c r="E99">
        <v>10</v>
      </c>
      <c r="F99">
        <v>46</v>
      </c>
      <c r="G99" t="s">
        <v>3619</v>
      </c>
      <c r="H99">
        <v>5</v>
      </c>
    </row>
    <row r="100" spans="1:8" x14ac:dyDescent="0.3">
      <c r="A100">
        <v>99</v>
      </c>
      <c r="B100" t="s">
        <v>199</v>
      </c>
      <c r="C100" t="s">
        <v>284</v>
      </c>
      <c r="D100" t="s">
        <v>323</v>
      </c>
      <c r="E100">
        <v>10</v>
      </c>
      <c r="F100">
        <v>46</v>
      </c>
      <c r="G100" t="s">
        <v>3619</v>
      </c>
      <c r="H100">
        <v>4</v>
      </c>
    </row>
    <row r="101" spans="1:8" x14ac:dyDescent="0.3">
      <c r="A101">
        <v>100</v>
      </c>
      <c r="B101" t="s">
        <v>337</v>
      </c>
      <c r="C101" t="s">
        <v>284</v>
      </c>
      <c r="D101" t="s">
        <v>207</v>
      </c>
      <c r="E101">
        <v>10</v>
      </c>
      <c r="F101">
        <v>46</v>
      </c>
      <c r="G101" t="s">
        <v>3619</v>
      </c>
      <c r="H101">
        <v>4</v>
      </c>
    </row>
    <row r="102" spans="1:8" x14ac:dyDescent="0.3">
      <c r="A102">
        <v>101</v>
      </c>
      <c r="B102" t="s">
        <v>339</v>
      </c>
      <c r="C102" t="s">
        <v>284</v>
      </c>
      <c r="D102" t="s">
        <v>333</v>
      </c>
      <c r="E102">
        <v>10</v>
      </c>
      <c r="F102">
        <v>46</v>
      </c>
      <c r="G102" t="s">
        <v>3619</v>
      </c>
      <c r="H102">
        <v>5</v>
      </c>
    </row>
    <row r="103" spans="1:8" x14ac:dyDescent="0.3">
      <c r="A103">
        <v>102</v>
      </c>
      <c r="B103" t="s">
        <v>341</v>
      </c>
      <c r="C103" t="s">
        <v>284</v>
      </c>
      <c r="D103" t="s">
        <v>343</v>
      </c>
      <c r="E103">
        <v>2</v>
      </c>
      <c r="F103">
        <v>8</v>
      </c>
      <c r="G103" t="s">
        <v>3624</v>
      </c>
      <c r="H103">
        <v>3</v>
      </c>
    </row>
    <row r="104" spans="1:8" x14ac:dyDescent="0.3">
      <c r="A104">
        <v>103</v>
      </c>
      <c r="B104" t="s">
        <v>344</v>
      </c>
      <c r="C104" t="s">
        <v>284</v>
      </c>
      <c r="D104" t="s">
        <v>346</v>
      </c>
      <c r="E104">
        <v>1</v>
      </c>
      <c r="F104">
        <v>3</v>
      </c>
      <c r="G104" t="s">
        <v>3623</v>
      </c>
      <c r="H104">
        <v>3</v>
      </c>
    </row>
    <row r="105" spans="1:8" x14ac:dyDescent="0.3">
      <c r="A105">
        <v>104</v>
      </c>
      <c r="B105" t="s">
        <v>347</v>
      </c>
      <c r="C105" t="s">
        <v>284</v>
      </c>
      <c r="D105" t="s">
        <v>349</v>
      </c>
      <c r="E105">
        <v>1</v>
      </c>
      <c r="F105">
        <v>3</v>
      </c>
      <c r="G105" t="s">
        <v>3621</v>
      </c>
      <c r="H105">
        <v>3</v>
      </c>
    </row>
    <row r="106" spans="1:8" x14ac:dyDescent="0.3">
      <c r="A106">
        <v>105</v>
      </c>
      <c r="B106" t="s">
        <v>350</v>
      </c>
      <c r="C106" t="s">
        <v>284</v>
      </c>
      <c r="D106" t="s">
        <v>352</v>
      </c>
      <c r="E106">
        <v>1</v>
      </c>
      <c r="F106">
        <v>3</v>
      </c>
      <c r="G106" t="s">
        <v>3621</v>
      </c>
      <c r="H106">
        <v>3</v>
      </c>
    </row>
    <row r="107" spans="1:8" x14ac:dyDescent="0.3">
      <c r="A107">
        <v>106</v>
      </c>
      <c r="B107" t="s">
        <v>214</v>
      </c>
      <c r="C107" t="s">
        <v>284</v>
      </c>
      <c r="D107" t="s">
        <v>354</v>
      </c>
      <c r="E107">
        <v>7</v>
      </c>
      <c r="F107">
        <v>25</v>
      </c>
      <c r="G107" t="s">
        <v>3619</v>
      </c>
      <c r="H107">
        <v>3</v>
      </c>
    </row>
    <row r="108" spans="1:8" x14ac:dyDescent="0.3">
      <c r="A108">
        <v>107</v>
      </c>
      <c r="B108" t="s">
        <v>355</v>
      </c>
      <c r="C108" t="s">
        <v>284</v>
      </c>
      <c r="D108" t="s">
        <v>266</v>
      </c>
      <c r="E108">
        <v>1</v>
      </c>
      <c r="F108">
        <v>3</v>
      </c>
      <c r="G108" t="s">
        <v>3621</v>
      </c>
      <c r="H108">
        <v>3</v>
      </c>
    </row>
    <row r="109" spans="1:8" x14ac:dyDescent="0.3">
      <c r="A109">
        <v>108</v>
      </c>
      <c r="B109" t="s">
        <v>217</v>
      </c>
      <c r="C109" t="s">
        <v>284</v>
      </c>
      <c r="D109" t="s">
        <v>358</v>
      </c>
      <c r="E109">
        <v>7</v>
      </c>
      <c r="F109">
        <v>25</v>
      </c>
      <c r="G109" t="s">
        <v>3619</v>
      </c>
      <c r="H109">
        <v>3</v>
      </c>
    </row>
    <row r="110" spans="1:8" x14ac:dyDescent="0.3">
      <c r="A110">
        <v>109</v>
      </c>
      <c r="B110" t="s">
        <v>33</v>
      </c>
      <c r="C110" t="s">
        <v>284</v>
      </c>
      <c r="D110" t="s">
        <v>98</v>
      </c>
      <c r="E110">
        <v>3</v>
      </c>
      <c r="F110">
        <v>14</v>
      </c>
      <c r="G110" t="s">
        <v>3619</v>
      </c>
      <c r="H110">
        <v>4</v>
      </c>
    </row>
    <row r="111" spans="1:8" x14ac:dyDescent="0.3">
      <c r="A111">
        <v>110</v>
      </c>
      <c r="B111" t="s">
        <v>228</v>
      </c>
      <c r="C111" t="s">
        <v>284</v>
      </c>
      <c r="D111" t="s">
        <v>98</v>
      </c>
      <c r="E111">
        <v>3</v>
      </c>
      <c r="F111">
        <v>14</v>
      </c>
      <c r="G111" t="s">
        <v>3619</v>
      </c>
      <c r="H111">
        <v>5</v>
      </c>
    </row>
    <row r="112" spans="1:8" x14ac:dyDescent="0.3">
      <c r="A112">
        <v>111</v>
      </c>
      <c r="B112" t="s">
        <v>234</v>
      </c>
      <c r="C112" t="s">
        <v>284</v>
      </c>
      <c r="D112" t="s">
        <v>362</v>
      </c>
      <c r="E112">
        <v>6</v>
      </c>
      <c r="F112">
        <v>18</v>
      </c>
      <c r="G112" t="s">
        <v>3619</v>
      </c>
      <c r="H112">
        <v>3</v>
      </c>
    </row>
    <row r="113" spans="1:8" x14ac:dyDescent="0.3">
      <c r="A113">
        <v>112</v>
      </c>
      <c r="B113" t="s">
        <v>363</v>
      </c>
      <c r="C113" t="s">
        <v>284</v>
      </c>
      <c r="D113" t="s">
        <v>365</v>
      </c>
      <c r="E113">
        <v>7</v>
      </c>
      <c r="F113">
        <v>25</v>
      </c>
      <c r="G113" t="s">
        <v>3619</v>
      </c>
      <c r="H113">
        <v>3</v>
      </c>
    </row>
    <row r="114" spans="1:8" x14ac:dyDescent="0.3">
      <c r="A114">
        <v>113</v>
      </c>
      <c r="B114" t="s">
        <v>243</v>
      </c>
      <c r="C114" t="s">
        <v>284</v>
      </c>
      <c r="D114" t="s">
        <v>367</v>
      </c>
      <c r="E114">
        <v>6</v>
      </c>
      <c r="F114">
        <v>18</v>
      </c>
      <c r="G114" t="s">
        <v>3619</v>
      </c>
      <c r="H114">
        <v>3</v>
      </c>
    </row>
    <row r="115" spans="1:8" x14ac:dyDescent="0.3">
      <c r="A115">
        <v>114</v>
      </c>
      <c r="B115" t="s">
        <v>249</v>
      </c>
      <c r="C115" t="s">
        <v>284</v>
      </c>
      <c r="D115" t="s">
        <v>369</v>
      </c>
      <c r="E115">
        <v>7</v>
      </c>
      <c r="F115">
        <v>25</v>
      </c>
      <c r="G115" t="s">
        <v>3619</v>
      </c>
      <c r="H115">
        <v>5</v>
      </c>
    </row>
    <row r="116" spans="1:8" x14ac:dyDescent="0.3">
      <c r="A116">
        <v>115</v>
      </c>
      <c r="B116" t="s">
        <v>67</v>
      </c>
      <c r="C116" t="s">
        <v>284</v>
      </c>
      <c r="D116" t="s">
        <v>371</v>
      </c>
      <c r="E116">
        <v>7</v>
      </c>
      <c r="F116">
        <v>25</v>
      </c>
      <c r="G116" t="s">
        <v>3619</v>
      </c>
      <c r="H116">
        <v>4</v>
      </c>
    </row>
    <row r="117" spans="1:8" x14ac:dyDescent="0.3">
      <c r="A117">
        <v>116</v>
      </c>
      <c r="B117" t="s">
        <v>256</v>
      </c>
      <c r="C117" t="s">
        <v>284</v>
      </c>
      <c r="D117" t="s">
        <v>213</v>
      </c>
      <c r="E117">
        <v>2</v>
      </c>
      <c r="F117">
        <v>6</v>
      </c>
      <c r="G117" t="s">
        <v>3619</v>
      </c>
      <c r="H117">
        <v>3</v>
      </c>
    </row>
    <row r="118" spans="1:8" x14ac:dyDescent="0.3">
      <c r="A118">
        <v>117</v>
      </c>
      <c r="B118" t="s">
        <v>259</v>
      </c>
      <c r="C118" t="s">
        <v>284</v>
      </c>
      <c r="D118" t="s">
        <v>374</v>
      </c>
      <c r="E118">
        <v>3</v>
      </c>
      <c r="F118">
        <v>9</v>
      </c>
      <c r="G118" t="s">
        <v>3619</v>
      </c>
      <c r="H118">
        <v>3</v>
      </c>
    </row>
    <row r="119" spans="1:8" x14ac:dyDescent="0.3">
      <c r="A119">
        <v>118</v>
      </c>
      <c r="B119" t="s">
        <v>49</v>
      </c>
      <c r="C119" t="s">
        <v>284</v>
      </c>
      <c r="D119" t="s">
        <v>376</v>
      </c>
      <c r="E119">
        <v>1</v>
      </c>
      <c r="F119">
        <v>4</v>
      </c>
      <c r="G119" t="s">
        <v>3619</v>
      </c>
      <c r="H119">
        <v>4</v>
      </c>
    </row>
    <row r="120" spans="1:8" x14ac:dyDescent="0.3">
      <c r="A120">
        <v>119</v>
      </c>
      <c r="B120" t="s">
        <v>377</v>
      </c>
      <c r="C120" t="s">
        <v>284</v>
      </c>
      <c r="D120" t="s">
        <v>379</v>
      </c>
      <c r="E120">
        <v>2</v>
      </c>
      <c r="F120">
        <v>6</v>
      </c>
      <c r="G120" t="s">
        <v>3619</v>
      </c>
      <c r="H120">
        <v>3</v>
      </c>
    </row>
    <row r="121" spans="1:8" x14ac:dyDescent="0.3">
      <c r="A121">
        <v>120</v>
      </c>
      <c r="B121" t="s">
        <v>267</v>
      </c>
      <c r="C121" t="s">
        <v>284</v>
      </c>
      <c r="D121" t="s">
        <v>381</v>
      </c>
      <c r="E121">
        <v>6</v>
      </c>
      <c r="F121">
        <v>18</v>
      </c>
      <c r="G121" t="s">
        <v>3619</v>
      </c>
      <c r="H121">
        <v>3</v>
      </c>
    </row>
    <row r="122" spans="1:8" x14ac:dyDescent="0.3">
      <c r="A122">
        <v>121</v>
      </c>
      <c r="B122" t="s">
        <v>272</v>
      </c>
      <c r="C122" t="s">
        <v>284</v>
      </c>
      <c r="D122" t="s">
        <v>383</v>
      </c>
      <c r="E122">
        <v>6</v>
      </c>
      <c r="F122">
        <v>18</v>
      </c>
      <c r="G122" t="s">
        <v>3619</v>
      </c>
      <c r="H122">
        <v>3</v>
      </c>
    </row>
    <row r="123" spans="1:8" x14ac:dyDescent="0.3">
      <c r="A123">
        <v>122</v>
      </c>
      <c r="B123" t="s">
        <v>281</v>
      </c>
      <c r="C123" t="s">
        <v>284</v>
      </c>
      <c r="D123" t="s">
        <v>385</v>
      </c>
      <c r="E123">
        <v>6</v>
      </c>
      <c r="F123">
        <v>18</v>
      </c>
      <c r="G123" t="s">
        <v>3619</v>
      </c>
      <c r="H123">
        <v>3</v>
      </c>
    </row>
    <row r="124" spans="1:8" x14ac:dyDescent="0.3">
      <c r="A124">
        <v>123</v>
      </c>
      <c r="B124" t="s">
        <v>60</v>
      </c>
      <c r="C124" t="s">
        <v>386</v>
      </c>
      <c r="D124" t="s">
        <v>388</v>
      </c>
      <c r="E124">
        <v>4</v>
      </c>
      <c r="F124">
        <v>19</v>
      </c>
      <c r="G124" t="s">
        <v>3619</v>
      </c>
      <c r="H124">
        <v>5</v>
      </c>
    </row>
    <row r="125" spans="1:8" x14ac:dyDescent="0.3">
      <c r="A125">
        <v>124</v>
      </c>
      <c r="B125" t="s">
        <v>94</v>
      </c>
      <c r="C125" t="s">
        <v>386</v>
      </c>
      <c r="D125" t="s">
        <v>390</v>
      </c>
      <c r="E125">
        <v>1</v>
      </c>
      <c r="F125">
        <v>4</v>
      </c>
      <c r="G125" t="s">
        <v>3621</v>
      </c>
      <c r="H125">
        <v>4</v>
      </c>
    </row>
    <row r="126" spans="1:8" x14ac:dyDescent="0.3">
      <c r="A126">
        <v>125</v>
      </c>
      <c r="B126" t="s">
        <v>72</v>
      </c>
      <c r="C126" t="s">
        <v>386</v>
      </c>
      <c r="D126" t="s">
        <v>392</v>
      </c>
      <c r="E126">
        <v>7</v>
      </c>
      <c r="F126">
        <v>31</v>
      </c>
      <c r="G126" t="s">
        <v>3619</v>
      </c>
      <c r="H126">
        <v>5</v>
      </c>
    </row>
    <row r="127" spans="1:8" x14ac:dyDescent="0.3">
      <c r="A127">
        <v>126</v>
      </c>
      <c r="B127" t="s">
        <v>393</v>
      </c>
      <c r="C127" t="s">
        <v>386</v>
      </c>
      <c r="D127" t="s">
        <v>395</v>
      </c>
      <c r="E127">
        <v>1</v>
      </c>
      <c r="F127">
        <v>3</v>
      </c>
      <c r="G127" t="s">
        <v>3621</v>
      </c>
      <c r="H127">
        <v>3</v>
      </c>
    </row>
    <row r="128" spans="1:8" x14ac:dyDescent="0.3">
      <c r="A128">
        <v>127</v>
      </c>
      <c r="B128" t="s">
        <v>105</v>
      </c>
      <c r="C128" t="s">
        <v>386</v>
      </c>
      <c r="D128" t="s">
        <v>397</v>
      </c>
      <c r="E128">
        <v>7</v>
      </c>
      <c r="F128">
        <v>31</v>
      </c>
      <c r="G128" t="s">
        <v>3619</v>
      </c>
      <c r="H128">
        <v>4</v>
      </c>
    </row>
    <row r="129" spans="1:8" x14ac:dyDescent="0.3">
      <c r="A129">
        <v>128</v>
      </c>
      <c r="B129" t="s">
        <v>299</v>
      </c>
      <c r="C129" t="s">
        <v>386</v>
      </c>
      <c r="D129" t="s">
        <v>399</v>
      </c>
      <c r="E129">
        <v>16</v>
      </c>
      <c r="F129">
        <v>93</v>
      </c>
      <c r="G129" t="s">
        <v>3619</v>
      </c>
      <c r="H129">
        <v>5</v>
      </c>
    </row>
    <row r="130" spans="1:8" x14ac:dyDescent="0.3">
      <c r="A130">
        <v>129</v>
      </c>
      <c r="B130" t="s">
        <v>53</v>
      </c>
      <c r="C130" t="s">
        <v>386</v>
      </c>
      <c r="D130" t="s">
        <v>397</v>
      </c>
      <c r="E130">
        <v>7</v>
      </c>
      <c r="F130">
        <v>31</v>
      </c>
      <c r="G130" t="s">
        <v>3619</v>
      </c>
      <c r="H130">
        <v>5</v>
      </c>
    </row>
    <row r="131" spans="1:8" x14ac:dyDescent="0.3">
      <c r="A131">
        <v>130</v>
      </c>
      <c r="B131" t="s">
        <v>401</v>
      </c>
      <c r="C131" t="s">
        <v>386</v>
      </c>
      <c r="D131" t="s">
        <v>296</v>
      </c>
      <c r="E131">
        <v>1</v>
      </c>
      <c r="F131">
        <v>4</v>
      </c>
      <c r="G131" t="s">
        <v>3619</v>
      </c>
      <c r="H131">
        <v>4</v>
      </c>
    </row>
    <row r="132" spans="1:8" x14ac:dyDescent="0.3">
      <c r="A132">
        <v>131</v>
      </c>
      <c r="B132" t="s">
        <v>135</v>
      </c>
      <c r="C132" t="s">
        <v>386</v>
      </c>
      <c r="D132" t="s">
        <v>404</v>
      </c>
      <c r="E132">
        <v>10</v>
      </c>
      <c r="F132">
        <v>50</v>
      </c>
      <c r="G132" t="s">
        <v>3619</v>
      </c>
      <c r="H132">
        <v>5</v>
      </c>
    </row>
    <row r="133" spans="1:8" x14ac:dyDescent="0.3">
      <c r="A133">
        <v>132</v>
      </c>
      <c r="B133" t="s">
        <v>69</v>
      </c>
      <c r="C133" t="s">
        <v>386</v>
      </c>
      <c r="D133" t="s">
        <v>406</v>
      </c>
      <c r="E133">
        <v>4</v>
      </c>
      <c r="F133">
        <v>19</v>
      </c>
      <c r="G133" t="s">
        <v>3619</v>
      </c>
      <c r="H133">
        <v>5</v>
      </c>
    </row>
    <row r="134" spans="1:8" x14ac:dyDescent="0.3">
      <c r="A134">
        <v>133</v>
      </c>
      <c r="B134" t="s">
        <v>144</v>
      </c>
      <c r="C134" t="s">
        <v>386</v>
      </c>
      <c r="D134" t="s">
        <v>408</v>
      </c>
      <c r="E134">
        <v>10</v>
      </c>
      <c r="F134">
        <v>50</v>
      </c>
      <c r="G134" t="s">
        <v>3619</v>
      </c>
      <c r="H134">
        <v>4</v>
      </c>
    </row>
    <row r="135" spans="1:8" x14ac:dyDescent="0.3">
      <c r="A135">
        <v>134</v>
      </c>
      <c r="B135" t="s">
        <v>34</v>
      </c>
      <c r="C135" t="s">
        <v>386</v>
      </c>
      <c r="D135" t="s">
        <v>358</v>
      </c>
      <c r="E135">
        <v>16</v>
      </c>
      <c r="F135">
        <v>93</v>
      </c>
      <c r="G135" t="s">
        <v>3619</v>
      </c>
      <c r="H135">
        <v>7</v>
      </c>
    </row>
    <row r="136" spans="1:8" x14ac:dyDescent="0.3">
      <c r="A136">
        <v>135</v>
      </c>
      <c r="B136" t="s">
        <v>170</v>
      </c>
      <c r="C136" t="s">
        <v>386</v>
      </c>
      <c r="D136" t="s">
        <v>411</v>
      </c>
      <c r="E136">
        <v>7</v>
      </c>
      <c r="F136">
        <v>31</v>
      </c>
      <c r="G136" t="s">
        <v>3619</v>
      </c>
      <c r="H136">
        <v>5</v>
      </c>
    </row>
    <row r="137" spans="1:8" x14ac:dyDescent="0.3">
      <c r="A137">
        <v>136</v>
      </c>
      <c r="B137" t="s">
        <v>25</v>
      </c>
      <c r="C137" t="s">
        <v>386</v>
      </c>
      <c r="D137" t="s">
        <v>333</v>
      </c>
      <c r="E137">
        <v>4</v>
      </c>
      <c r="F137">
        <v>19</v>
      </c>
      <c r="G137" t="s">
        <v>3619</v>
      </c>
      <c r="H137">
        <v>4</v>
      </c>
    </row>
    <row r="138" spans="1:8" x14ac:dyDescent="0.3">
      <c r="A138">
        <v>137</v>
      </c>
      <c r="B138" t="s">
        <v>317</v>
      </c>
      <c r="C138" t="s">
        <v>386</v>
      </c>
      <c r="D138" t="s">
        <v>414</v>
      </c>
      <c r="E138">
        <v>16</v>
      </c>
      <c r="F138">
        <v>93</v>
      </c>
      <c r="G138" t="s">
        <v>3619</v>
      </c>
      <c r="H138">
        <v>5</v>
      </c>
    </row>
    <row r="139" spans="1:8" x14ac:dyDescent="0.3">
      <c r="A139">
        <v>138</v>
      </c>
      <c r="B139" t="s">
        <v>179</v>
      </c>
      <c r="C139" t="s">
        <v>386</v>
      </c>
      <c r="D139" t="s">
        <v>416</v>
      </c>
      <c r="E139">
        <v>10</v>
      </c>
      <c r="F139">
        <v>50</v>
      </c>
      <c r="G139" t="s">
        <v>3619</v>
      </c>
      <c r="H139">
        <v>5</v>
      </c>
    </row>
    <row r="140" spans="1:8" x14ac:dyDescent="0.3">
      <c r="A140">
        <v>139</v>
      </c>
      <c r="B140" t="s">
        <v>181</v>
      </c>
      <c r="C140" t="s">
        <v>386</v>
      </c>
      <c r="D140" t="s">
        <v>418</v>
      </c>
      <c r="E140">
        <v>10</v>
      </c>
      <c r="F140">
        <v>50</v>
      </c>
      <c r="G140" t="s">
        <v>3619</v>
      </c>
      <c r="H140">
        <v>5</v>
      </c>
    </row>
    <row r="141" spans="1:8" x14ac:dyDescent="0.3">
      <c r="A141">
        <v>140</v>
      </c>
      <c r="B141" t="s">
        <v>62</v>
      </c>
      <c r="C141" t="s">
        <v>386</v>
      </c>
      <c r="D141" t="s">
        <v>420</v>
      </c>
      <c r="E141">
        <v>16</v>
      </c>
      <c r="F141">
        <v>93</v>
      </c>
      <c r="G141" t="s">
        <v>3619</v>
      </c>
      <c r="H141">
        <v>7</v>
      </c>
    </row>
    <row r="142" spans="1:8" x14ac:dyDescent="0.3">
      <c r="A142">
        <v>141</v>
      </c>
      <c r="B142" t="s">
        <v>324</v>
      </c>
      <c r="C142" t="s">
        <v>386</v>
      </c>
      <c r="D142" t="s">
        <v>422</v>
      </c>
      <c r="E142">
        <v>10</v>
      </c>
      <c r="F142">
        <v>50</v>
      </c>
      <c r="G142" t="s">
        <v>3619</v>
      </c>
      <c r="H142">
        <v>5</v>
      </c>
    </row>
    <row r="143" spans="1:8" x14ac:dyDescent="0.3">
      <c r="A143">
        <v>142</v>
      </c>
      <c r="B143" t="s">
        <v>423</v>
      </c>
      <c r="C143" t="s">
        <v>386</v>
      </c>
      <c r="D143" t="s">
        <v>221</v>
      </c>
      <c r="E143">
        <v>1</v>
      </c>
      <c r="F143">
        <v>3</v>
      </c>
      <c r="G143" t="s">
        <v>3621</v>
      </c>
      <c r="H143">
        <v>3</v>
      </c>
    </row>
    <row r="144" spans="1:8" x14ac:dyDescent="0.3">
      <c r="A144">
        <v>143</v>
      </c>
      <c r="B144" t="s">
        <v>37</v>
      </c>
      <c r="C144" t="s">
        <v>386</v>
      </c>
      <c r="D144" t="s">
        <v>426</v>
      </c>
      <c r="E144">
        <v>7</v>
      </c>
      <c r="F144">
        <v>31</v>
      </c>
      <c r="G144" t="s">
        <v>3619</v>
      </c>
      <c r="H144">
        <v>3</v>
      </c>
    </row>
    <row r="145" spans="1:8" x14ac:dyDescent="0.3">
      <c r="A145">
        <v>144</v>
      </c>
      <c r="B145" t="s">
        <v>70</v>
      </c>
      <c r="C145" t="s">
        <v>386</v>
      </c>
      <c r="D145" t="s">
        <v>428</v>
      </c>
      <c r="E145">
        <v>16</v>
      </c>
      <c r="F145">
        <v>93</v>
      </c>
      <c r="G145" t="s">
        <v>3619</v>
      </c>
      <c r="H145">
        <v>7</v>
      </c>
    </row>
    <row r="146" spans="1:8" x14ac:dyDescent="0.3">
      <c r="A146">
        <v>145</v>
      </c>
      <c r="B146" t="s">
        <v>429</v>
      </c>
      <c r="C146" t="s">
        <v>386</v>
      </c>
      <c r="D146" t="s">
        <v>431</v>
      </c>
      <c r="E146">
        <v>1</v>
      </c>
      <c r="F146">
        <v>3</v>
      </c>
      <c r="G146" t="s">
        <v>3621</v>
      </c>
      <c r="H146">
        <v>3</v>
      </c>
    </row>
    <row r="147" spans="1:8" x14ac:dyDescent="0.3">
      <c r="A147">
        <v>146</v>
      </c>
      <c r="B147" t="s">
        <v>432</v>
      </c>
      <c r="C147" t="s">
        <v>386</v>
      </c>
      <c r="D147" t="s">
        <v>434</v>
      </c>
      <c r="E147">
        <v>16</v>
      </c>
      <c r="F147">
        <v>93</v>
      </c>
      <c r="G147" t="s">
        <v>3619</v>
      </c>
      <c r="H147">
        <v>6</v>
      </c>
    </row>
    <row r="148" spans="1:8" x14ac:dyDescent="0.3">
      <c r="A148">
        <v>147</v>
      </c>
      <c r="B148" t="s">
        <v>334</v>
      </c>
      <c r="C148" t="s">
        <v>386</v>
      </c>
      <c r="D148" t="s">
        <v>436</v>
      </c>
      <c r="E148">
        <v>16</v>
      </c>
      <c r="F148">
        <v>93</v>
      </c>
      <c r="G148" t="s">
        <v>3619</v>
      </c>
      <c r="H148">
        <v>6</v>
      </c>
    </row>
    <row r="149" spans="1:8" x14ac:dyDescent="0.3">
      <c r="A149">
        <v>148</v>
      </c>
      <c r="B149" t="s">
        <v>199</v>
      </c>
      <c r="C149" t="s">
        <v>386</v>
      </c>
      <c r="D149" t="s">
        <v>399</v>
      </c>
      <c r="E149">
        <v>16</v>
      </c>
      <c r="F149">
        <v>93</v>
      </c>
      <c r="G149" t="s">
        <v>3619</v>
      </c>
      <c r="H149">
        <v>6</v>
      </c>
    </row>
    <row r="150" spans="1:8" x14ac:dyDescent="0.3">
      <c r="A150">
        <v>149</v>
      </c>
      <c r="B150" t="s">
        <v>337</v>
      </c>
      <c r="C150" t="s">
        <v>386</v>
      </c>
      <c r="D150" t="s">
        <v>371</v>
      </c>
      <c r="E150">
        <v>16</v>
      </c>
      <c r="F150">
        <v>93</v>
      </c>
      <c r="G150" t="s">
        <v>3619</v>
      </c>
      <c r="H150">
        <v>7</v>
      </c>
    </row>
    <row r="151" spans="1:8" x14ac:dyDescent="0.3">
      <c r="A151">
        <v>150</v>
      </c>
      <c r="B151" t="s">
        <v>48</v>
      </c>
      <c r="C151" t="s">
        <v>386</v>
      </c>
      <c r="D151" t="s">
        <v>323</v>
      </c>
      <c r="E151">
        <v>4</v>
      </c>
      <c r="F151">
        <v>19</v>
      </c>
      <c r="G151" t="s">
        <v>3619</v>
      </c>
      <c r="H151">
        <v>5</v>
      </c>
    </row>
    <row r="152" spans="1:8" x14ac:dyDescent="0.3">
      <c r="A152">
        <v>151</v>
      </c>
      <c r="B152" t="s">
        <v>440</v>
      </c>
      <c r="C152" t="s">
        <v>386</v>
      </c>
      <c r="D152" t="s">
        <v>442</v>
      </c>
      <c r="E152">
        <v>2</v>
      </c>
      <c r="F152">
        <v>6</v>
      </c>
      <c r="G152" t="s">
        <v>3624</v>
      </c>
      <c r="H152">
        <v>3</v>
      </c>
    </row>
    <row r="153" spans="1:8" x14ac:dyDescent="0.3">
      <c r="A153">
        <v>152</v>
      </c>
      <c r="B153" t="s">
        <v>205</v>
      </c>
      <c r="C153" t="s">
        <v>386</v>
      </c>
      <c r="D153" t="s">
        <v>444</v>
      </c>
      <c r="E153">
        <v>10</v>
      </c>
      <c r="F153">
        <v>50</v>
      </c>
      <c r="G153" t="s">
        <v>3619</v>
      </c>
      <c r="H153">
        <v>8</v>
      </c>
    </row>
    <row r="154" spans="1:8" x14ac:dyDescent="0.3">
      <c r="A154">
        <v>153</v>
      </c>
      <c r="B154" t="s">
        <v>339</v>
      </c>
      <c r="C154" t="s">
        <v>386</v>
      </c>
      <c r="D154" t="s">
        <v>446</v>
      </c>
      <c r="E154">
        <v>10</v>
      </c>
      <c r="F154">
        <v>50</v>
      </c>
      <c r="G154" t="s">
        <v>3619</v>
      </c>
      <c r="H154">
        <v>5</v>
      </c>
    </row>
    <row r="155" spans="1:8" x14ac:dyDescent="0.3">
      <c r="A155">
        <v>154</v>
      </c>
      <c r="B155" t="s">
        <v>214</v>
      </c>
      <c r="C155" t="s">
        <v>386</v>
      </c>
      <c r="D155" t="s">
        <v>448</v>
      </c>
      <c r="E155">
        <v>16</v>
      </c>
      <c r="F155">
        <v>93</v>
      </c>
      <c r="G155" t="s">
        <v>3619</v>
      </c>
      <c r="H155">
        <v>7</v>
      </c>
    </row>
    <row r="156" spans="1:8" x14ac:dyDescent="0.3">
      <c r="A156">
        <v>155</v>
      </c>
      <c r="B156" t="s">
        <v>217</v>
      </c>
      <c r="C156" t="s">
        <v>386</v>
      </c>
      <c r="D156" t="s">
        <v>450</v>
      </c>
      <c r="E156">
        <v>10</v>
      </c>
      <c r="F156">
        <v>50</v>
      </c>
      <c r="G156" t="s">
        <v>3619</v>
      </c>
      <c r="H156">
        <v>4</v>
      </c>
    </row>
    <row r="157" spans="1:8" x14ac:dyDescent="0.3">
      <c r="A157">
        <v>156</v>
      </c>
      <c r="B157" t="s">
        <v>33</v>
      </c>
      <c r="C157" t="s">
        <v>386</v>
      </c>
      <c r="D157" t="s">
        <v>452</v>
      </c>
      <c r="E157">
        <v>16</v>
      </c>
      <c r="F157">
        <v>93</v>
      </c>
      <c r="G157" t="s">
        <v>3619</v>
      </c>
      <c r="H157">
        <v>6</v>
      </c>
    </row>
    <row r="158" spans="1:8" x14ac:dyDescent="0.3">
      <c r="A158">
        <v>157</v>
      </c>
      <c r="B158" t="s">
        <v>222</v>
      </c>
      <c r="C158" t="s">
        <v>386</v>
      </c>
      <c r="D158" t="s">
        <v>454</v>
      </c>
      <c r="E158">
        <v>7</v>
      </c>
      <c r="F158">
        <v>31</v>
      </c>
      <c r="G158" t="s">
        <v>3619</v>
      </c>
      <c r="H158">
        <v>4</v>
      </c>
    </row>
    <row r="159" spans="1:8" x14ac:dyDescent="0.3">
      <c r="A159">
        <v>158</v>
      </c>
      <c r="B159" t="s">
        <v>228</v>
      </c>
      <c r="C159" t="s">
        <v>386</v>
      </c>
      <c r="D159" t="s">
        <v>456</v>
      </c>
      <c r="E159">
        <v>16</v>
      </c>
      <c r="F159">
        <v>93</v>
      </c>
      <c r="G159" t="s">
        <v>3619</v>
      </c>
      <c r="H159">
        <v>8</v>
      </c>
    </row>
    <row r="160" spans="1:8" x14ac:dyDescent="0.3">
      <c r="A160">
        <v>159</v>
      </c>
      <c r="B160" t="s">
        <v>237</v>
      </c>
      <c r="C160" t="s">
        <v>386</v>
      </c>
      <c r="D160" t="s">
        <v>458</v>
      </c>
      <c r="E160">
        <v>16</v>
      </c>
      <c r="F160">
        <v>93</v>
      </c>
      <c r="G160" t="s">
        <v>3619</v>
      </c>
      <c r="H160">
        <v>3</v>
      </c>
    </row>
    <row r="161" spans="1:8" x14ac:dyDescent="0.3">
      <c r="A161">
        <v>160</v>
      </c>
      <c r="B161" t="s">
        <v>459</v>
      </c>
      <c r="C161" t="s">
        <v>386</v>
      </c>
      <c r="D161" t="s">
        <v>461</v>
      </c>
      <c r="E161">
        <v>2</v>
      </c>
      <c r="F161">
        <v>6</v>
      </c>
      <c r="G161" t="s">
        <v>3621</v>
      </c>
      <c r="H161">
        <v>3</v>
      </c>
    </row>
    <row r="162" spans="1:8" x14ac:dyDescent="0.3">
      <c r="A162">
        <v>161</v>
      </c>
      <c r="B162" t="s">
        <v>462</v>
      </c>
      <c r="C162" t="s">
        <v>386</v>
      </c>
      <c r="D162" t="s">
        <v>140</v>
      </c>
      <c r="E162">
        <v>1</v>
      </c>
      <c r="F162">
        <v>3</v>
      </c>
      <c r="G162" t="s">
        <v>3621</v>
      </c>
      <c r="H162">
        <v>3</v>
      </c>
    </row>
    <row r="163" spans="1:8" x14ac:dyDescent="0.3">
      <c r="A163">
        <v>162</v>
      </c>
      <c r="B163" t="s">
        <v>363</v>
      </c>
      <c r="C163" t="s">
        <v>386</v>
      </c>
      <c r="D163" t="s">
        <v>465</v>
      </c>
      <c r="E163">
        <v>16</v>
      </c>
      <c r="F163">
        <v>93</v>
      </c>
      <c r="G163" t="s">
        <v>3619</v>
      </c>
      <c r="H163">
        <v>3</v>
      </c>
    </row>
    <row r="164" spans="1:8" x14ac:dyDescent="0.3">
      <c r="A164">
        <v>163</v>
      </c>
      <c r="B164" t="s">
        <v>249</v>
      </c>
      <c r="C164" t="s">
        <v>386</v>
      </c>
      <c r="D164" t="s">
        <v>467</v>
      </c>
      <c r="E164">
        <v>10</v>
      </c>
      <c r="F164">
        <v>50</v>
      </c>
      <c r="G164" t="s">
        <v>3619</v>
      </c>
      <c r="H164">
        <v>4</v>
      </c>
    </row>
    <row r="165" spans="1:8" x14ac:dyDescent="0.3">
      <c r="A165">
        <v>164</v>
      </c>
      <c r="B165" t="s">
        <v>468</v>
      </c>
      <c r="C165" t="s">
        <v>386</v>
      </c>
      <c r="D165" t="s">
        <v>470</v>
      </c>
      <c r="E165">
        <v>2</v>
      </c>
      <c r="F165">
        <v>6</v>
      </c>
      <c r="G165" t="s">
        <v>3621</v>
      </c>
      <c r="H165">
        <v>3</v>
      </c>
    </row>
    <row r="166" spans="1:8" x14ac:dyDescent="0.3">
      <c r="A166">
        <v>165</v>
      </c>
      <c r="B166" t="s">
        <v>67</v>
      </c>
      <c r="C166" t="s">
        <v>386</v>
      </c>
      <c r="D166" t="s">
        <v>472</v>
      </c>
      <c r="E166">
        <v>7</v>
      </c>
      <c r="F166">
        <v>31</v>
      </c>
      <c r="G166" t="s">
        <v>3619</v>
      </c>
      <c r="H166">
        <v>5</v>
      </c>
    </row>
    <row r="167" spans="1:8" x14ac:dyDescent="0.3">
      <c r="A167">
        <v>166</v>
      </c>
      <c r="B167" t="s">
        <v>473</v>
      </c>
      <c r="C167" t="s">
        <v>386</v>
      </c>
      <c r="D167" t="s">
        <v>475</v>
      </c>
      <c r="E167">
        <v>16</v>
      </c>
      <c r="F167">
        <v>93</v>
      </c>
      <c r="G167" t="s">
        <v>3619</v>
      </c>
      <c r="H167">
        <v>5</v>
      </c>
    </row>
    <row r="168" spans="1:8" x14ac:dyDescent="0.3">
      <c r="A168">
        <v>167</v>
      </c>
      <c r="B168" t="s">
        <v>59</v>
      </c>
      <c r="C168" t="s">
        <v>386</v>
      </c>
      <c r="D168" t="s">
        <v>477</v>
      </c>
      <c r="E168">
        <v>10</v>
      </c>
      <c r="F168">
        <v>50</v>
      </c>
      <c r="G168" t="s">
        <v>3619</v>
      </c>
      <c r="H168">
        <v>5</v>
      </c>
    </row>
    <row r="169" spans="1:8" x14ac:dyDescent="0.3">
      <c r="A169">
        <v>168</v>
      </c>
      <c r="B169" t="s">
        <v>478</v>
      </c>
      <c r="C169" t="s">
        <v>386</v>
      </c>
      <c r="D169" t="s">
        <v>480</v>
      </c>
      <c r="E169">
        <v>1</v>
      </c>
      <c r="F169">
        <v>3</v>
      </c>
      <c r="G169" t="s">
        <v>3619</v>
      </c>
      <c r="H169">
        <v>3</v>
      </c>
    </row>
    <row r="170" spans="1:8" x14ac:dyDescent="0.3">
      <c r="A170">
        <v>169</v>
      </c>
      <c r="B170" t="s">
        <v>49</v>
      </c>
      <c r="C170" t="s">
        <v>386</v>
      </c>
      <c r="D170" t="s">
        <v>482</v>
      </c>
      <c r="E170">
        <v>16</v>
      </c>
      <c r="F170">
        <v>93</v>
      </c>
      <c r="G170" t="s">
        <v>3619</v>
      </c>
      <c r="H170">
        <v>5</v>
      </c>
    </row>
    <row r="171" spans="1:8" x14ac:dyDescent="0.3">
      <c r="A171">
        <v>170</v>
      </c>
      <c r="B171" t="s">
        <v>26</v>
      </c>
      <c r="C171" t="s">
        <v>386</v>
      </c>
      <c r="D171" t="s">
        <v>484</v>
      </c>
      <c r="E171">
        <v>1</v>
      </c>
      <c r="F171">
        <v>3</v>
      </c>
      <c r="G171" t="s">
        <v>3619</v>
      </c>
      <c r="H171">
        <v>3</v>
      </c>
    </row>
    <row r="172" spans="1:8" x14ac:dyDescent="0.3">
      <c r="A172">
        <v>171</v>
      </c>
      <c r="B172" t="s">
        <v>68</v>
      </c>
      <c r="C172" t="s">
        <v>386</v>
      </c>
      <c r="D172" t="s">
        <v>98</v>
      </c>
      <c r="E172">
        <v>1</v>
      </c>
      <c r="F172">
        <v>4</v>
      </c>
      <c r="G172" t="s">
        <v>3619</v>
      </c>
      <c r="H172">
        <v>4</v>
      </c>
    </row>
    <row r="173" spans="1:8" x14ac:dyDescent="0.3">
      <c r="A173">
        <v>172</v>
      </c>
      <c r="B173" t="s">
        <v>486</v>
      </c>
      <c r="C173" t="s">
        <v>386</v>
      </c>
      <c r="D173" t="s">
        <v>488</v>
      </c>
      <c r="E173">
        <v>2</v>
      </c>
      <c r="F173">
        <v>6</v>
      </c>
      <c r="G173" t="s">
        <v>3624</v>
      </c>
      <c r="H173">
        <v>3</v>
      </c>
    </row>
    <row r="174" spans="1:8" x14ac:dyDescent="0.3">
      <c r="A174">
        <v>173</v>
      </c>
      <c r="B174" t="s">
        <v>281</v>
      </c>
      <c r="C174" t="s">
        <v>386</v>
      </c>
      <c r="D174" t="s">
        <v>490</v>
      </c>
      <c r="E174">
        <v>1</v>
      </c>
      <c r="F174">
        <v>3</v>
      </c>
      <c r="G174" t="s">
        <v>3619</v>
      </c>
      <c r="H174">
        <v>3</v>
      </c>
    </row>
    <row r="175" spans="1:8" x14ac:dyDescent="0.3">
      <c r="A175">
        <v>174</v>
      </c>
      <c r="B175" t="s">
        <v>491</v>
      </c>
      <c r="C175" t="s">
        <v>492</v>
      </c>
      <c r="D175" t="s">
        <v>494</v>
      </c>
      <c r="E175">
        <v>2</v>
      </c>
      <c r="F175">
        <v>13</v>
      </c>
      <c r="G175" t="s">
        <v>3621</v>
      </c>
      <c r="H175">
        <v>6</v>
      </c>
    </row>
    <row r="176" spans="1:8" x14ac:dyDescent="0.3">
      <c r="A176">
        <v>175</v>
      </c>
      <c r="B176" t="s">
        <v>60</v>
      </c>
      <c r="C176" t="s">
        <v>492</v>
      </c>
      <c r="D176" t="s">
        <v>496</v>
      </c>
      <c r="E176">
        <v>15</v>
      </c>
      <c r="F176">
        <v>58</v>
      </c>
      <c r="G176" t="s">
        <v>3619</v>
      </c>
      <c r="H176">
        <v>3</v>
      </c>
    </row>
    <row r="177" spans="1:8" x14ac:dyDescent="0.3">
      <c r="A177">
        <v>176</v>
      </c>
      <c r="B177" t="s">
        <v>497</v>
      </c>
      <c r="C177" t="s">
        <v>492</v>
      </c>
      <c r="D177" t="s">
        <v>499</v>
      </c>
      <c r="E177">
        <v>6</v>
      </c>
      <c r="F177">
        <v>21</v>
      </c>
      <c r="G177" t="s">
        <v>3619</v>
      </c>
      <c r="H177">
        <v>4</v>
      </c>
    </row>
    <row r="178" spans="1:8" x14ac:dyDescent="0.3">
      <c r="A178">
        <v>177</v>
      </c>
      <c r="B178" t="s">
        <v>500</v>
      </c>
      <c r="C178" t="s">
        <v>492</v>
      </c>
      <c r="D178" t="s">
        <v>185</v>
      </c>
      <c r="E178">
        <v>1</v>
      </c>
      <c r="F178">
        <v>4</v>
      </c>
      <c r="G178" t="s">
        <v>3619</v>
      </c>
      <c r="H178">
        <v>4</v>
      </c>
    </row>
    <row r="179" spans="1:8" x14ac:dyDescent="0.3">
      <c r="A179">
        <v>178</v>
      </c>
      <c r="B179" t="s">
        <v>502</v>
      </c>
      <c r="C179" t="s">
        <v>492</v>
      </c>
      <c r="D179" t="s">
        <v>504</v>
      </c>
      <c r="E179">
        <v>1</v>
      </c>
      <c r="F179">
        <v>3</v>
      </c>
      <c r="G179" t="s">
        <v>3619</v>
      </c>
      <c r="H179">
        <v>3</v>
      </c>
    </row>
    <row r="180" spans="1:8" x14ac:dyDescent="0.3">
      <c r="A180">
        <v>179</v>
      </c>
      <c r="B180" t="s">
        <v>505</v>
      </c>
      <c r="C180" t="s">
        <v>492</v>
      </c>
      <c r="D180" t="s">
        <v>507</v>
      </c>
      <c r="E180">
        <v>1</v>
      </c>
      <c r="F180">
        <v>4</v>
      </c>
      <c r="G180" t="s">
        <v>3625</v>
      </c>
      <c r="H180">
        <v>4</v>
      </c>
    </row>
    <row r="181" spans="1:8" x14ac:dyDescent="0.3">
      <c r="A181">
        <v>180</v>
      </c>
      <c r="B181" t="s">
        <v>39</v>
      </c>
      <c r="C181" t="s">
        <v>492</v>
      </c>
      <c r="D181" t="s">
        <v>509</v>
      </c>
      <c r="E181">
        <v>1</v>
      </c>
      <c r="F181">
        <v>4</v>
      </c>
      <c r="G181" t="s">
        <v>3619</v>
      </c>
      <c r="H181">
        <v>4</v>
      </c>
    </row>
    <row r="182" spans="1:8" x14ac:dyDescent="0.3">
      <c r="A182">
        <v>181</v>
      </c>
      <c r="B182" t="s">
        <v>27</v>
      </c>
      <c r="C182" t="s">
        <v>492</v>
      </c>
      <c r="D182" t="s">
        <v>511</v>
      </c>
      <c r="E182">
        <v>1</v>
      </c>
      <c r="F182">
        <v>6</v>
      </c>
      <c r="G182" t="s">
        <v>3619</v>
      </c>
      <c r="H182">
        <v>6</v>
      </c>
    </row>
    <row r="183" spans="1:8" x14ac:dyDescent="0.3">
      <c r="A183">
        <v>182</v>
      </c>
      <c r="B183" t="s">
        <v>512</v>
      </c>
      <c r="C183" t="s">
        <v>492</v>
      </c>
      <c r="D183" t="s">
        <v>514</v>
      </c>
      <c r="E183">
        <v>1</v>
      </c>
      <c r="F183">
        <v>3</v>
      </c>
      <c r="G183" t="s">
        <v>3624</v>
      </c>
      <c r="H183">
        <v>3</v>
      </c>
    </row>
    <row r="184" spans="1:8" x14ac:dyDescent="0.3">
      <c r="A184">
        <v>183</v>
      </c>
      <c r="B184" t="s">
        <v>515</v>
      </c>
      <c r="C184" t="s">
        <v>492</v>
      </c>
      <c r="D184" t="s">
        <v>517</v>
      </c>
      <c r="E184">
        <v>2</v>
      </c>
      <c r="F184">
        <v>8</v>
      </c>
      <c r="G184" t="s">
        <v>3621</v>
      </c>
      <c r="H184">
        <v>4</v>
      </c>
    </row>
    <row r="185" spans="1:8" x14ac:dyDescent="0.3">
      <c r="A185">
        <v>184</v>
      </c>
      <c r="B185" t="s">
        <v>135</v>
      </c>
      <c r="C185" t="s">
        <v>492</v>
      </c>
      <c r="D185" t="s">
        <v>519</v>
      </c>
      <c r="E185">
        <v>15</v>
      </c>
      <c r="F185">
        <v>58</v>
      </c>
      <c r="G185" t="s">
        <v>3619</v>
      </c>
      <c r="H185">
        <v>5</v>
      </c>
    </row>
    <row r="186" spans="1:8" x14ac:dyDescent="0.3">
      <c r="A186">
        <v>185</v>
      </c>
      <c r="B186" t="s">
        <v>69</v>
      </c>
      <c r="C186" t="s">
        <v>492</v>
      </c>
      <c r="D186" t="s">
        <v>521</v>
      </c>
      <c r="E186">
        <v>2</v>
      </c>
      <c r="F186">
        <v>8</v>
      </c>
      <c r="G186" t="s">
        <v>3619</v>
      </c>
      <c r="H186">
        <v>3</v>
      </c>
    </row>
    <row r="187" spans="1:8" x14ac:dyDescent="0.3">
      <c r="A187">
        <v>186</v>
      </c>
      <c r="B187" t="s">
        <v>144</v>
      </c>
      <c r="C187" t="s">
        <v>492</v>
      </c>
      <c r="D187" t="s">
        <v>523</v>
      </c>
      <c r="E187">
        <v>15</v>
      </c>
      <c r="F187">
        <v>58</v>
      </c>
      <c r="G187" t="s">
        <v>3619</v>
      </c>
      <c r="H187">
        <v>6</v>
      </c>
    </row>
    <row r="188" spans="1:8" x14ac:dyDescent="0.3">
      <c r="A188">
        <v>187</v>
      </c>
      <c r="B188" t="s">
        <v>34</v>
      </c>
      <c r="C188" t="s">
        <v>492</v>
      </c>
      <c r="D188" t="s">
        <v>525</v>
      </c>
      <c r="E188">
        <v>5</v>
      </c>
      <c r="F188">
        <v>21</v>
      </c>
      <c r="G188" t="s">
        <v>3619</v>
      </c>
      <c r="H188">
        <v>4</v>
      </c>
    </row>
    <row r="189" spans="1:8" x14ac:dyDescent="0.3">
      <c r="A189">
        <v>188</v>
      </c>
      <c r="B189" t="s">
        <v>25</v>
      </c>
      <c r="C189" t="s">
        <v>492</v>
      </c>
      <c r="D189" t="s">
        <v>527</v>
      </c>
      <c r="E189">
        <v>5</v>
      </c>
      <c r="F189">
        <v>21</v>
      </c>
      <c r="G189" t="s">
        <v>3619</v>
      </c>
      <c r="H189">
        <v>3</v>
      </c>
    </row>
    <row r="190" spans="1:8" x14ac:dyDescent="0.3">
      <c r="A190">
        <v>189</v>
      </c>
      <c r="B190" t="s">
        <v>528</v>
      </c>
      <c r="C190" t="s">
        <v>492</v>
      </c>
      <c r="D190" t="s">
        <v>530</v>
      </c>
      <c r="E190">
        <v>3</v>
      </c>
      <c r="F190">
        <v>15</v>
      </c>
      <c r="G190" t="s">
        <v>3619</v>
      </c>
      <c r="H190">
        <v>6</v>
      </c>
    </row>
    <row r="191" spans="1:8" x14ac:dyDescent="0.3">
      <c r="A191">
        <v>190</v>
      </c>
      <c r="B191" t="s">
        <v>531</v>
      </c>
      <c r="C191" t="s">
        <v>492</v>
      </c>
      <c r="D191" t="s">
        <v>533</v>
      </c>
      <c r="E191">
        <v>6</v>
      </c>
      <c r="F191">
        <v>21</v>
      </c>
      <c r="G191" t="s">
        <v>3619</v>
      </c>
      <c r="H191">
        <v>3</v>
      </c>
    </row>
    <row r="192" spans="1:8" x14ac:dyDescent="0.3">
      <c r="A192">
        <v>191</v>
      </c>
      <c r="B192" t="s">
        <v>62</v>
      </c>
      <c r="C192" t="s">
        <v>492</v>
      </c>
      <c r="D192" t="s">
        <v>535</v>
      </c>
      <c r="E192">
        <v>5</v>
      </c>
      <c r="F192">
        <v>21</v>
      </c>
      <c r="G192" t="s">
        <v>3619</v>
      </c>
      <c r="H192">
        <v>4</v>
      </c>
    </row>
    <row r="193" spans="1:8" x14ac:dyDescent="0.3">
      <c r="A193">
        <v>192</v>
      </c>
      <c r="B193" t="s">
        <v>324</v>
      </c>
      <c r="C193" t="s">
        <v>492</v>
      </c>
      <c r="D193" t="s">
        <v>537</v>
      </c>
      <c r="E193">
        <v>15</v>
      </c>
      <c r="F193">
        <v>58</v>
      </c>
      <c r="G193" t="s">
        <v>3619</v>
      </c>
      <c r="H193">
        <v>3</v>
      </c>
    </row>
    <row r="194" spans="1:8" x14ac:dyDescent="0.3">
      <c r="A194">
        <v>193</v>
      </c>
      <c r="B194" t="s">
        <v>35</v>
      </c>
      <c r="C194" t="s">
        <v>492</v>
      </c>
      <c r="D194" t="s">
        <v>442</v>
      </c>
      <c r="E194">
        <v>1</v>
      </c>
      <c r="F194">
        <v>3</v>
      </c>
      <c r="G194" t="s">
        <v>3624</v>
      </c>
      <c r="H194">
        <v>3</v>
      </c>
    </row>
    <row r="195" spans="1:8" x14ac:dyDescent="0.3">
      <c r="A195">
        <v>194</v>
      </c>
      <c r="B195" t="s">
        <v>539</v>
      </c>
      <c r="C195" t="s">
        <v>492</v>
      </c>
      <c r="D195" t="s">
        <v>541</v>
      </c>
      <c r="E195">
        <v>2</v>
      </c>
      <c r="F195">
        <v>8</v>
      </c>
      <c r="G195" t="s">
        <v>3621</v>
      </c>
      <c r="H195">
        <v>4</v>
      </c>
    </row>
    <row r="196" spans="1:8" x14ac:dyDescent="0.3">
      <c r="A196">
        <v>195</v>
      </c>
      <c r="B196" t="s">
        <v>70</v>
      </c>
      <c r="C196" t="s">
        <v>492</v>
      </c>
      <c r="D196" t="s">
        <v>543</v>
      </c>
      <c r="E196">
        <v>15</v>
      </c>
      <c r="F196">
        <v>58</v>
      </c>
      <c r="G196" t="s">
        <v>3619</v>
      </c>
      <c r="H196">
        <v>3</v>
      </c>
    </row>
    <row r="197" spans="1:8" x14ac:dyDescent="0.3">
      <c r="A197">
        <v>196</v>
      </c>
      <c r="B197" t="s">
        <v>429</v>
      </c>
      <c r="C197" t="s">
        <v>492</v>
      </c>
      <c r="D197" t="s">
        <v>545</v>
      </c>
      <c r="E197">
        <v>1</v>
      </c>
      <c r="F197">
        <v>4</v>
      </c>
      <c r="G197" t="s">
        <v>3619</v>
      </c>
      <c r="H197">
        <v>4</v>
      </c>
    </row>
    <row r="198" spans="1:8" x14ac:dyDescent="0.3">
      <c r="A198">
        <v>197</v>
      </c>
      <c r="B198" t="s">
        <v>334</v>
      </c>
      <c r="C198" t="s">
        <v>492</v>
      </c>
      <c r="D198" t="s">
        <v>547</v>
      </c>
      <c r="E198">
        <v>15</v>
      </c>
      <c r="F198">
        <v>58</v>
      </c>
      <c r="G198" t="s">
        <v>3619</v>
      </c>
      <c r="H198">
        <v>4</v>
      </c>
    </row>
    <row r="199" spans="1:8" x14ac:dyDescent="0.3">
      <c r="A199">
        <v>198</v>
      </c>
      <c r="B199" t="s">
        <v>199</v>
      </c>
      <c r="C199" t="s">
        <v>492</v>
      </c>
      <c r="D199" t="s">
        <v>549</v>
      </c>
      <c r="E199">
        <v>15</v>
      </c>
      <c r="F199">
        <v>58</v>
      </c>
      <c r="G199" t="s">
        <v>3619</v>
      </c>
      <c r="H199">
        <v>3</v>
      </c>
    </row>
    <row r="200" spans="1:8" x14ac:dyDescent="0.3">
      <c r="A200">
        <v>199</v>
      </c>
      <c r="B200" t="s">
        <v>337</v>
      </c>
      <c r="C200" t="s">
        <v>492</v>
      </c>
      <c r="D200" t="s">
        <v>551</v>
      </c>
      <c r="E200">
        <v>5</v>
      </c>
      <c r="F200">
        <v>21</v>
      </c>
      <c r="G200" t="s">
        <v>3619</v>
      </c>
      <c r="H200">
        <v>5</v>
      </c>
    </row>
    <row r="201" spans="1:8" x14ac:dyDescent="0.3">
      <c r="A201">
        <v>200</v>
      </c>
      <c r="B201" t="s">
        <v>29</v>
      </c>
      <c r="C201" t="s">
        <v>492</v>
      </c>
      <c r="D201" t="s">
        <v>553</v>
      </c>
      <c r="E201">
        <v>1</v>
      </c>
      <c r="F201">
        <v>4</v>
      </c>
      <c r="G201" t="s">
        <v>3621</v>
      </c>
      <c r="H201">
        <v>4</v>
      </c>
    </row>
    <row r="202" spans="1:8" x14ac:dyDescent="0.3">
      <c r="A202">
        <v>201</v>
      </c>
      <c r="B202" t="s">
        <v>205</v>
      </c>
      <c r="C202" t="s">
        <v>492</v>
      </c>
      <c r="D202" t="s">
        <v>555</v>
      </c>
      <c r="E202">
        <v>2</v>
      </c>
      <c r="F202">
        <v>6</v>
      </c>
      <c r="G202" t="s">
        <v>3619</v>
      </c>
      <c r="H202">
        <v>3</v>
      </c>
    </row>
    <row r="203" spans="1:8" x14ac:dyDescent="0.3">
      <c r="A203">
        <v>202</v>
      </c>
      <c r="B203" t="s">
        <v>556</v>
      </c>
      <c r="C203" t="s">
        <v>492</v>
      </c>
      <c r="D203" t="s">
        <v>558</v>
      </c>
      <c r="E203">
        <v>1</v>
      </c>
      <c r="F203">
        <v>3</v>
      </c>
      <c r="G203" t="s">
        <v>3621</v>
      </c>
      <c r="H203">
        <v>3</v>
      </c>
    </row>
    <row r="204" spans="1:8" x14ac:dyDescent="0.3">
      <c r="A204">
        <v>203</v>
      </c>
      <c r="B204" t="s">
        <v>50</v>
      </c>
      <c r="C204" t="s">
        <v>492</v>
      </c>
      <c r="D204" t="s">
        <v>560</v>
      </c>
      <c r="E204">
        <v>2</v>
      </c>
      <c r="F204">
        <v>8</v>
      </c>
      <c r="G204" t="s">
        <v>3619</v>
      </c>
      <c r="H204">
        <v>5</v>
      </c>
    </row>
    <row r="205" spans="1:8" x14ac:dyDescent="0.3">
      <c r="A205">
        <v>204</v>
      </c>
      <c r="B205" t="s">
        <v>339</v>
      </c>
      <c r="C205" t="s">
        <v>492</v>
      </c>
      <c r="D205" t="s">
        <v>562</v>
      </c>
      <c r="E205">
        <v>15</v>
      </c>
      <c r="F205">
        <v>58</v>
      </c>
      <c r="G205" t="s">
        <v>3619</v>
      </c>
      <c r="H205">
        <v>6</v>
      </c>
    </row>
    <row r="206" spans="1:8" x14ac:dyDescent="0.3">
      <c r="A206">
        <v>205</v>
      </c>
      <c r="B206" t="s">
        <v>563</v>
      </c>
      <c r="C206" t="s">
        <v>492</v>
      </c>
      <c r="D206" t="s">
        <v>565</v>
      </c>
      <c r="E206">
        <v>1</v>
      </c>
      <c r="F206">
        <v>5</v>
      </c>
      <c r="G206" t="s">
        <v>3621</v>
      </c>
      <c r="H206">
        <v>5</v>
      </c>
    </row>
    <row r="207" spans="1:8" x14ac:dyDescent="0.3">
      <c r="A207">
        <v>206</v>
      </c>
      <c r="B207" t="s">
        <v>566</v>
      </c>
      <c r="C207" t="s">
        <v>492</v>
      </c>
      <c r="D207" t="s">
        <v>568</v>
      </c>
      <c r="E207">
        <v>2</v>
      </c>
      <c r="F207">
        <v>7</v>
      </c>
      <c r="G207" t="s">
        <v>3619</v>
      </c>
      <c r="H207">
        <v>4</v>
      </c>
    </row>
    <row r="208" spans="1:8" x14ac:dyDescent="0.3">
      <c r="A208">
        <v>207</v>
      </c>
      <c r="B208" t="s">
        <v>569</v>
      </c>
      <c r="C208" t="s">
        <v>492</v>
      </c>
      <c r="D208" t="s">
        <v>571</v>
      </c>
      <c r="E208">
        <v>6</v>
      </c>
      <c r="F208">
        <v>21</v>
      </c>
      <c r="G208" t="s">
        <v>3619</v>
      </c>
      <c r="H208">
        <v>3</v>
      </c>
    </row>
    <row r="209" spans="1:8" x14ac:dyDescent="0.3">
      <c r="A209">
        <v>208</v>
      </c>
      <c r="B209" t="s">
        <v>73</v>
      </c>
      <c r="C209" t="s">
        <v>492</v>
      </c>
      <c r="D209" t="s">
        <v>568</v>
      </c>
      <c r="E209">
        <v>2</v>
      </c>
      <c r="F209">
        <v>7</v>
      </c>
      <c r="G209" t="s">
        <v>3619</v>
      </c>
      <c r="H209">
        <v>3</v>
      </c>
    </row>
    <row r="210" spans="1:8" x14ac:dyDescent="0.3">
      <c r="A210">
        <v>209</v>
      </c>
      <c r="B210" t="s">
        <v>214</v>
      </c>
      <c r="C210" t="s">
        <v>492</v>
      </c>
      <c r="D210" t="s">
        <v>574</v>
      </c>
      <c r="E210">
        <v>15</v>
      </c>
      <c r="F210">
        <v>58</v>
      </c>
      <c r="G210" t="s">
        <v>3619</v>
      </c>
      <c r="H210">
        <v>4</v>
      </c>
    </row>
    <row r="211" spans="1:8" x14ac:dyDescent="0.3">
      <c r="A211">
        <v>210</v>
      </c>
      <c r="B211" t="s">
        <v>217</v>
      </c>
      <c r="C211" t="s">
        <v>492</v>
      </c>
      <c r="D211" t="s">
        <v>576</v>
      </c>
      <c r="E211">
        <v>2</v>
      </c>
      <c r="F211">
        <v>6</v>
      </c>
      <c r="G211" t="s">
        <v>3619</v>
      </c>
      <c r="H211">
        <v>3</v>
      </c>
    </row>
    <row r="212" spans="1:8" x14ac:dyDescent="0.3">
      <c r="A212">
        <v>211</v>
      </c>
      <c r="B212" t="s">
        <v>33</v>
      </c>
      <c r="C212" t="s">
        <v>492</v>
      </c>
      <c r="D212" t="s">
        <v>578</v>
      </c>
      <c r="E212">
        <v>15</v>
      </c>
      <c r="F212">
        <v>58</v>
      </c>
      <c r="G212" t="s">
        <v>3619</v>
      </c>
      <c r="H212">
        <v>3</v>
      </c>
    </row>
    <row r="213" spans="1:8" x14ac:dyDescent="0.3">
      <c r="A213">
        <v>212</v>
      </c>
      <c r="B213" t="s">
        <v>219</v>
      </c>
      <c r="C213" t="s">
        <v>492</v>
      </c>
      <c r="D213" t="s">
        <v>104</v>
      </c>
      <c r="E213">
        <v>1</v>
      </c>
      <c r="F213">
        <v>3</v>
      </c>
      <c r="G213" t="s">
        <v>3621</v>
      </c>
      <c r="H213">
        <v>3</v>
      </c>
    </row>
    <row r="214" spans="1:8" x14ac:dyDescent="0.3">
      <c r="A214">
        <v>213</v>
      </c>
      <c r="B214" t="s">
        <v>222</v>
      </c>
      <c r="C214" t="s">
        <v>492</v>
      </c>
      <c r="D214" t="s">
        <v>581</v>
      </c>
      <c r="E214">
        <v>15</v>
      </c>
      <c r="F214">
        <v>58</v>
      </c>
      <c r="G214" t="s">
        <v>3619</v>
      </c>
      <c r="H214">
        <v>5</v>
      </c>
    </row>
    <row r="215" spans="1:8" x14ac:dyDescent="0.3">
      <c r="A215">
        <v>214</v>
      </c>
      <c r="B215" t="s">
        <v>225</v>
      </c>
      <c r="C215" t="s">
        <v>492</v>
      </c>
      <c r="D215" t="s">
        <v>583</v>
      </c>
      <c r="E215">
        <v>2</v>
      </c>
      <c r="F215">
        <v>6</v>
      </c>
      <c r="G215" t="s">
        <v>3621</v>
      </c>
      <c r="H215">
        <v>3</v>
      </c>
    </row>
    <row r="216" spans="1:8" x14ac:dyDescent="0.3">
      <c r="A216">
        <v>215</v>
      </c>
      <c r="B216" t="s">
        <v>228</v>
      </c>
      <c r="C216" t="s">
        <v>492</v>
      </c>
      <c r="D216" t="s">
        <v>585</v>
      </c>
      <c r="E216">
        <v>15</v>
      </c>
      <c r="F216">
        <v>58</v>
      </c>
      <c r="G216" t="s">
        <v>3619</v>
      </c>
      <c r="H216">
        <v>3</v>
      </c>
    </row>
    <row r="217" spans="1:8" x14ac:dyDescent="0.3">
      <c r="A217">
        <v>216</v>
      </c>
      <c r="B217" t="s">
        <v>237</v>
      </c>
      <c r="C217" t="s">
        <v>492</v>
      </c>
      <c r="D217" t="s">
        <v>587</v>
      </c>
      <c r="E217">
        <v>5</v>
      </c>
      <c r="F217">
        <v>21</v>
      </c>
      <c r="G217" t="s">
        <v>3619</v>
      </c>
      <c r="H217">
        <v>5</v>
      </c>
    </row>
    <row r="218" spans="1:8" x14ac:dyDescent="0.3">
      <c r="A218">
        <v>217</v>
      </c>
      <c r="B218" t="s">
        <v>588</v>
      </c>
      <c r="C218" t="s">
        <v>492</v>
      </c>
      <c r="D218" t="s">
        <v>590</v>
      </c>
      <c r="E218">
        <v>1</v>
      </c>
      <c r="F218">
        <v>4</v>
      </c>
      <c r="G218" t="s">
        <v>3621</v>
      </c>
      <c r="H218">
        <v>4</v>
      </c>
    </row>
    <row r="219" spans="1:8" x14ac:dyDescent="0.3">
      <c r="A219">
        <v>218</v>
      </c>
      <c r="B219" t="s">
        <v>363</v>
      </c>
      <c r="C219" t="s">
        <v>492</v>
      </c>
      <c r="D219" t="s">
        <v>562</v>
      </c>
      <c r="E219">
        <v>15</v>
      </c>
      <c r="F219">
        <v>58</v>
      </c>
      <c r="G219" t="s">
        <v>3619</v>
      </c>
      <c r="H219">
        <v>4</v>
      </c>
    </row>
    <row r="220" spans="1:8" x14ac:dyDescent="0.3">
      <c r="A220">
        <v>219</v>
      </c>
      <c r="B220" t="s">
        <v>44</v>
      </c>
      <c r="C220" t="s">
        <v>492</v>
      </c>
      <c r="D220" t="s">
        <v>323</v>
      </c>
      <c r="E220">
        <v>3</v>
      </c>
      <c r="F220">
        <v>15</v>
      </c>
      <c r="G220" t="s">
        <v>3619</v>
      </c>
      <c r="H220">
        <v>5</v>
      </c>
    </row>
    <row r="221" spans="1:8" x14ac:dyDescent="0.3">
      <c r="A221">
        <v>220</v>
      </c>
      <c r="B221" t="s">
        <v>593</v>
      </c>
      <c r="C221" t="s">
        <v>492</v>
      </c>
      <c r="D221" t="s">
        <v>595</v>
      </c>
      <c r="E221">
        <v>6</v>
      </c>
      <c r="F221">
        <v>21</v>
      </c>
      <c r="G221" t="s">
        <v>3619</v>
      </c>
      <c r="H221">
        <v>3</v>
      </c>
    </row>
    <row r="222" spans="1:8" x14ac:dyDescent="0.3">
      <c r="A222">
        <v>221</v>
      </c>
      <c r="B222" t="s">
        <v>473</v>
      </c>
      <c r="C222" t="s">
        <v>492</v>
      </c>
      <c r="D222" t="s">
        <v>597</v>
      </c>
      <c r="E222">
        <v>15</v>
      </c>
      <c r="F222">
        <v>58</v>
      </c>
      <c r="G222" t="s">
        <v>3619</v>
      </c>
      <c r="H222">
        <v>3</v>
      </c>
    </row>
    <row r="223" spans="1:8" x14ac:dyDescent="0.3">
      <c r="A223">
        <v>222</v>
      </c>
      <c r="B223" t="s">
        <v>598</v>
      </c>
      <c r="C223" t="s">
        <v>492</v>
      </c>
      <c r="D223" t="s">
        <v>600</v>
      </c>
      <c r="E223">
        <v>1</v>
      </c>
      <c r="F223">
        <v>3</v>
      </c>
      <c r="G223" t="s">
        <v>3621</v>
      </c>
      <c r="H223">
        <v>3</v>
      </c>
    </row>
    <row r="224" spans="1:8" x14ac:dyDescent="0.3">
      <c r="A224">
        <v>223</v>
      </c>
      <c r="B224" t="s">
        <v>261</v>
      </c>
      <c r="C224" t="s">
        <v>492</v>
      </c>
      <c r="D224" t="s">
        <v>602</v>
      </c>
      <c r="E224">
        <v>1</v>
      </c>
      <c r="F224">
        <v>3</v>
      </c>
      <c r="G224" t="s">
        <v>3619</v>
      </c>
      <c r="H224">
        <v>3</v>
      </c>
    </row>
    <row r="225" spans="1:8" x14ac:dyDescent="0.3">
      <c r="A225">
        <v>224</v>
      </c>
      <c r="B225" t="s">
        <v>603</v>
      </c>
      <c r="C225" t="s">
        <v>492</v>
      </c>
      <c r="D225" t="s">
        <v>605</v>
      </c>
      <c r="E225">
        <v>1</v>
      </c>
      <c r="F225">
        <v>3</v>
      </c>
      <c r="G225" t="s">
        <v>3621</v>
      </c>
      <c r="H225">
        <v>3</v>
      </c>
    </row>
    <row r="226" spans="1:8" x14ac:dyDescent="0.3">
      <c r="A226">
        <v>225</v>
      </c>
      <c r="B226" t="s">
        <v>606</v>
      </c>
      <c r="C226" t="s">
        <v>492</v>
      </c>
      <c r="D226" t="s">
        <v>113</v>
      </c>
      <c r="E226">
        <v>2</v>
      </c>
      <c r="F226">
        <v>6</v>
      </c>
      <c r="G226" t="s">
        <v>3619</v>
      </c>
      <c r="H226">
        <v>3</v>
      </c>
    </row>
    <row r="227" spans="1:8" x14ac:dyDescent="0.3">
      <c r="A227">
        <v>226</v>
      </c>
      <c r="B227" t="s">
        <v>608</v>
      </c>
      <c r="C227" t="s">
        <v>492</v>
      </c>
      <c r="D227" t="s">
        <v>610</v>
      </c>
      <c r="E227">
        <v>6</v>
      </c>
      <c r="F227">
        <v>21</v>
      </c>
      <c r="G227" t="s">
        <v>3619</v>
      </c>
      <c r="H227">
        <v>4</v>
      </c>
    </row>
    <row r="228" spans="1:8" x14ac:dyDescent="0.3">
      <c r="A228">
        <v>227</v>
      </c>
      <c r="B228" t="s">
        <v>611</v>
      </c>
      <c r="C228" t="s">
        <v>492</v>
      </c>
      <c r="D228" t="s">
        <v>113</v>
      </c>
      <c r="E228">
        <v>2</v>
      </c>
      <c r="F228">
        <v>6</v>
      </c>
      <c r="G228" t="s">
        <v>3619</v>
      </c>
      <c r="H228">
        <v>3</v>
      </c>
    </row>
    <row r="229" spans="1:8" x14ac:dyDescent="0.3">
      <c r="A229">
        <v>228</v>
      </c>
      <c r="B229" t="s">
        <v>613</v>
      </c>
      <c r="C229" t="s">
        <v>492</v>
      </c>
      <c r="D229" t="s">
        <v>615</v>
      </c>
      <c r="E229">
        <v>1</v>
      </c>
      <c r="F229">
        <v>3</v>
      </c>
      <c r="G229" t="s">
        <v>3619</v>
      </c>
      <c r="H229">
        <v>3</v>
      </c>
    </row>
    <row r="230" spans="1:8" x14ac:dyDescent="0.3">
      <c r="A230">
        <v>229</v>
      </c>
      <c r="B230" t="s">
        <v>49</v>
      </c>
      <c r="C230" t="s">
        <v>492</v>
      </c>
      <c r="D230" t="s">
        <v>617</v>
      </c>
      <c r="E230">
        <v>15</v>
      </c>
      <c r="F230">
        <v>58</v>
      </c>
      <c r="G230" t="s">
        <v>3619</v>
      </c>
      <c r="H230">
        <v>3</v>
      </c>
    </row>
    <row r="231" spans="1:8" x14ac:dyDescent="0.3">
      <c r="A231">
        <v>230</v>
      </c>
      <c r="B231" t="s">
        <v>618</v>
      </c>
      <c r="C231" t="s">
        <v>492</v>
      </c>
      <c r="D231" t="s">
        <v>620</v>
      </c>
      <c r="E231">
        <v>1</v>
      </c>
      <c r="F231">
        <v>3</v>
      </c>
      <c r="G231" t="s">
        <v>3619</v>
      </c>
      <c r="H231">
        <v>3</v>
      </c>
    </row>
    <row r="232" spans="1:8" x14ac:dyDescent="0.3">
      <c r="A232">
        <v>231</v>
      </c>
      <c r="B232" t="s">
        <v>621</v>
      </c>
      <c r="C232" t="s">
        <v>492</v>
      </c>
      <c r="D232" t="s">
        <v>623</v>
      </c>
      <c r="E232">
        <v>2</v>
      </c>
      <c r="F232">
        <v>13</v>
      </c>
      <c r="G232" t="s">
        <v>3621</v>
      </c>
      <c r="H232">
        <v>7</v>
      </c>
    </row>
    <row r="233" spans="1:8" x14ac:dyDescent="0.3">
      <c r="A233">
        <v>232</v>
      </c>
      <c r="B233" t="s">
        <v>41</v>
      </c>
      <c r="C233" t="s">
        <v>492</v>
      </c>
      <c r="D233" t="s">
        <v>625</v>
      </c>
      <c r="E233">
        <v>6</v>
      </c>
      <c r="F233">
        <v>21</v>
      </c>
      <c r="G233" t="s">
        <v>3619</v>
      </c>
      <c r="H233">
        <v>4</v>
      </c>
    </row>
    <row r="234" spans="1:8" x14ac:dyDescent="0.3">
      <c r="A234">
        <v>233</v>
      </c>
      <c r="B234" t="s">
        <v>626</v>
      </c>
      <c r="C234" t="s">
        <v>492</v>
      </c>
      <c r="D234" t="s">
        <v>107</v>
      </c>
      <c r="E234">
        <v>3</v>
      </c>
      <c r="F234">
        <v>15</v>
      </c>
      <c r="G234" t="s">
        <v>3619</v>
      </c>
      <c r="H234">
        <v>4</v>
      </c>
    </row>
    <row r="235" spans="1:8" x14ac:dyDescent="0.3">
      <c r="A235">
        <v>234</v>
      </c>
      <c r="B235" t="s">
        <v>275</v>
      </c>
      <c r="C235" t="s">
        <v>492</v>
      </c>
      <c r="D235" t="s">
        <v>629</v>
      </c>
      <c r="E235">
        <v>1</v>
      </c>
      <c r="F235">
        <v>3</v>
      </c>
      <c r="G235" t="s">
        <v>3623</v>
      </c>
      <c r="H235">
        <v>3</v>
      </c>
    </row>
    <row r="236" spans="1:8" x14ac:dyDescent="0.3">
      <c r="A236">
        <v>235</v>
      </c>
      <c r="B236" t="s">
        <v>278</v>
      </c>
      <c r="C236" t="s">
        <v>492</v>
      </c>
      <c r="D236" t="s">
        <v>631</v>
      </c>
      <c r="E236">
        <v>2</v>
      </c>
      <c r="F236">
        <v>6</v>
      </c>
      <c r="G236" t="s">
        <v>3621</v>
      </c>
      <c r="H236">
        <v>3</v>
      </c>
    </row>
    <row r="237" spans="1:8" x14ac:dyDescent="0.3">
      <c r="A237">
        <v>236</v>
      </c>
      <c r="B237" t="s">
        <v>491</v>
      </c>
      <c r="C237" t="s">
        <v>632</v>
      </c>
      <c r="D237" t="s">
        <v>634</v>
      </c>
      <c r="E237">
        <v>1</v>
      </c>
      <c r="F237">
        <v>6</v>
      </c>
      <c r="G237" t="s">
        <v>3619</v>
      </c>
      <c r="H237">
        <v>6</v>
      </c>
    </row>
    <row r="238" spans="1:8" x14ac:dyDescent="0.3">
      <c r="A238">
        <v>237</v>
      </c>
      <c r="B238" t="s">
        <v>60</v>
      </c>
      <c r="C238" t="s">
        <v>632</v>
      </c>
      <c r="D238" t="s">
        <v>636</v>
      </c>
      <c r="E238">
        <v>9</v>
      </c>
      <c r="F238">
        <v>33</v>
      </c>
      <c r="G238" t="s">
        <v>3619</v>
      </c>
      <c r="H238">
        <v>3</v>
      </c>
    </row>
    <row r="239" spans="1:8" x14ac:dyDescent="0.3">
      <c r="A239">
        <v>238</v>
      </c>
      <c r="B239" t="s">
        <v>637</v>
      </c>
      <c r="C239" t="s">
        <v>632</v>
      </c>
      <c r="D239" t="s">
        <v>113</v>
      </c>
      <c r="E239">
        <v>3</v>
      </c>
      <c r="F239">
        <v>9</v>
      </c>
      <c r="G239" t="s">
        <v>3619</v>
      </c>
      <c r="H239">
        <v>3</v>
      </c>
    </row>
    <row r="240" spans="1:8" x14ac:dyDescent="0.3">
      <c r="A240">
        <v>239</v>
      </c>
      <c r="B240" t="s">
        <v>94</v>
      </c>
      <c r="C240" t="s">
        <v>632</v>
      </c>
      <c r="D240" t="s">
        <v>442</v>
      </c>
      <c r="E240">
        <v>3</v>
      </c>
      <c r="F240">
        <v>10</v>
      </c>
      <c r="G240" t="s">
        <v>3624</v>
      </c>
      <c r="H240">
        <v>4</v>
      </c>
    </row>
    <row r="241" spans="1:8" x14ac:dyDescent="0.3">
      <c r="A241">
        <v>240</v>
      </c>
      <c r="B241" t="s">
        <v>500</v>
      </c>
      <c r="C241" t="s">
        <v>632</v>
      </c>
      <c r="D241" t="s">
        <v>641</v>
      </c>
      <c r="E241">
        <v>1</v>
      </c>
      <c r="F241">
        <v>3</v>
      </c>
      <c r="G241" t="s">
        <v>3621</v>
      </c>
      <c r="H241">
        <v>3</v>
      </c>
    </row>
    <row r="242" spans="1:8" x14ac:dyDescent="0.3">
      <c r="A242">
        <v>241</v>
      </c>
      <c r="B242" t="s">
        <v>502</v>
      </c>
      <c r="C242" t="s">
        <v>632</v>
      </c>
      <c r="D242" t="s">
        <v>643</v>
      </c>
      <c r="E242">
        <v>1</v>
      </c>
      <c r="F242">
        <v>3</v>
      </c>
      <c r="G242" t="s">
        <v>3619</v>
      </c>
      <c r="H242">
        <v>3</v>
      </c>
    </row>
    <row r="243" spans="1:8" x14ac:dyDescent="0.3">
      <c r="A243">
        <v>242</v>
      </c>
      <c r="B243" t="s">
        <v>644</v>
      </c>
      <c r="C243" t="s">
        <v>632</v>
      </c>
      <c r="D243" t="s">
        <v>646</v>
      </c>
      <c r="E243">
        <v>4</v>
      </c>
      <c r="F243">
        <v>12</v>
      </c>
      <c r="G243" t="s">
        <v>3619</v>
      </c>
      <c r="H243">
        <v>3</v>
      </c>
    </row>
    <row r="244" spans="1:8" x14ac:dyDescent="0.3">
      <c r="A244">
        <v>243</v>
      </c>
      <c r="B244" t="s">
        <v>299</v>
      </c>
      <c r="C244" t="s">
        <v>632</v>
      </c>
      <c r="D244" t="s">
        <v>648</v>
      </c>
      <c r="E244">
        <v>9</v>
      </c>
      <c r="F244">
        <v>33</v>
      </c>
      <c r="G244" t="s">
        <v>3619</v>
      </c>
      <c r="H244">
        <v>5</v>
      </c>
    </row>
    <row r="245" spans="1:8" x14ac:dyDescent="0.3">
      <c r="A245">
        <v>244</v>
      </c>
      <c r="B245" t="s">
        <v>39</v>
      </c>
      <c r="C245" t="s">
        <v>632</v>
      </c>
      <c r="D245" t="s">
        <v>650</v>
      </c>
      <c r="E245">
        <v>4</v>
      </c>
      <c r="F245">
        <v>17</v>
      </c>
      <c r="G245" t="s">
        <v>3619</v>
      </c>
      <c r="H245">
        <v>4</v>
      </c>
    </row>
    <row r="246" spans="1:8" x14ac:dyDescent="0.3">
      <c r="A246">
        <v>245</v>
      </c>
      <c r="B246" t="s">
        <v>27</v>
      </c>
      <c r="C246" t="s">
        <v>632</v>
      </c>
      <c r="D246" t="s">
        <v>652</v>
      </c>
      <c r="E246">
        <v>4</v>
      </c>
      <c r="F246">
        <v>17</v>
      </c>
      <c r="G246" t="s">
        <v>3619</v>
      </c>
      <c r="H246">
        <v>4</v>
      </c>
    </row>
    <row r="247" spans="1:8" x14ac:dyDescent="0.3">
      <c r="A247">
        <v>246</v>
      </c>
      <c r="B247" t="s">
        <v>653</v>
      </c>
      <c r="C247" t="s">
        <v>632</v>
      </c>
      <c r="D247" t="s">
        <v>655</v>
      </c>
      <c r="E247">
        <v>4</v>
      </c>
      <c r="F247">
        <v>12</v>
      </c>
      <c r="G247" t="s">
        <v>3619</v>
      </c>
      <c r="H247">
        <v>3</v>
      </c>
    </row>
    <row r="248" spans="1:8" x14ac:dyDescent="0.3">
      <c r="A248">
        <v>247</v>
      </c>
      <c r="B248" t="s">
        <v>656</v>
      </c>
      <c r="C248" t="s">
        <v>632</v>
      </c>
      <c r="D248" t="s">
        <v>658</v>
      </c>
      <c r="E248">
        <v>4</v>
      </c>
      <c r="F248">
        <v>12</v>
      </c>
      <c r="G248" t="s">
        <v>3619</v>
      </c>
      <c r="H248">
        <v>3</v>
      </c>
    </row>
    <row r="249" spans="1:8" x14ac:dyDescent="0.3">
      <c r="A249">
        <v>248</v>
      </c>
      <c r="B249" t="s">
        <v>53</v>
      </c>
      <c r="C249" t="s">
        <v>632</v>
      </c>
      <c r="D249" t="s">
        <v>660</v>
      </c>
      <c r="E249">
        <v>7</v>
      </c>
      <c r="F249">
        <v>36</v>
      </c>
      <c r="G249" t="s">
        <v>3623</v>
      </c>
      <c r="H249">
        <v>5</v>
      </c>
    </row>
    <row r="250" spans="1:8" x14ac:dyDescent="0.3">
      <c r="A250">
        <v>249</v>
      </c>
      <c r="B250" t="s">
        <v>132</v>
      </c>
      <c r="C250" t="s">
        <v>632</v>
      </c>
      <c r="D250" t="s">
        <v>107</v>
      </c>
      <c r="E250">
        <v>2</v>
      </c>
      <c r="F250">
        <v>7</v>
      </c>
      <c r="G250" t="s">
        <v>3619</v>
      </c>
      <c r="H250">
        <v>3</v>
      </c>
    </row>
    <row r="251" spans="1:8" x14ac:dyDescent="0.3">
      <c r="A251">
        <v>250</v>
      </c>
      <c r="B251" t="s">
        <v>69</v>
      </c>
      <c r="C251" t="s">
        <v>632</v>
      </c>
      <c r="D251" t="s">
        <v>663</v>
      </c>
      <c r="E251">
        <v>8</v>
      </c>
      <c r="F251">
        <v>33</v>
      </c>
      <c r="G251" t="s">
        <v>3619</v>
      </c>
      <c r="H251">
        <v>5</v>
      </c>
    </row>
    <row r="252" spans="1:8" x14ac:dyDescent="0.3">
      <c r="A252">
        <v>251</v>
      </c>
      <c r="B252" t="s">
        <v>141</v>
      </c>
      <c r="C252" t="s">
        <v>632</v>
      </c>
      <c r="D252" t="s">
        <v>665</v>
      </c>
      <c r="E252">
        <v>1</v>
      </c>
      <c r="F252">
        <v>5</v>
      </c>
      <c r="G252" t="s">
        <v>3619</v>
      </c>
      <c r="H252">
        <v>5</v>
      </c>
    </row>
    <row r="253" spans="1:8" x14ac:dyDescent="0.3">
      <c r="A253">
        <v>252</v>
      </c>
      <c r="B253" t="s">
        <v>30</v>
      </c>
      <c r="C253" t="s">
        <v>632</v>
      </c>
      <c r="D253" t="s">
        <v>667</v>
      </c>
      <c r="E253">
        <v>2</v>
      </c>
      <c r="F253">
        <v>6</v>
      </c>
      <c r="G253" t="s">
        <v>3619</v>
      </c>
      <c r="H253">
        <v>3</v>
      </c>
    </row>
    <row r="254" spans="1:8" x14ac:dyDescent="0.3">
      <c r="A254">
        <v>253</v>
      </c>
      <c r="B254" t="s">
        <v>144</v>
      </c>
      <c r="C254" t="s">
        <v>632</v>
      </c>
      <c r="D254" t="s">
        <v>669</v>
      </c>
      <c r="E254">
        <v>9</v>
      </c>
      <c r="F254">
        <v>33</v>
      </c>
      <c r="G254" t="s">
        <v>3619</v>
      </c>
      <c r="H254">
        <v>5</v>
      </c>
    </row>
    <row r="255" spans="1:8" x14ac:dyDescent="0.3">
      <c r="A255">
        <v>254</v>
      </c>
      <c r="B255" t="s">
        <v>670</v>
      </c>
      <c r="C255" t="s">
        <v>632</v>
      </c>
      <c r="D255" t="s">
        <v>646</v>
      </c>
      <c r="E255">
        <v>4</v>
      </c>
      <c r="F255">
        <v>12</v>
      </c>
      <c r="G255" t="s">
        <v>3619</v>
      </c>
      <c r="H255">
        <v>3</v>
      </c>
    </row>
    <row r="256" spans="1:8" x14ac:dyDescent="0.3">
      <c r="A256">
        <v>255</v>
      </c>
      <c r="B256" t="s">
        <v>170</v>
      </c>
      <c r="C256" t="s">
        <v>632</v>
      </c>
      <c r="D256" t="s">
        <v>673</v>
      </c>
      <c r="E256">
        <v>4</v>
      </c>
      <c r="F256">
        <v>21</v>
      </c>
      <c r="G256" t="s">
        <v>3623</v>
      </c>
      <c r="H256">
        <v>4</v>
      </c>
    </row>
    <row r="257" spans="1:8" x14ac:dyDescent="0.3">
      <c r="A257">
        <v>256</v>
      </c>
      <c r="B257" t="s">
        <v>25</v>
      </c>
      <c r="C257" t="s">
        <v>632</v>
      </c>
      <c r="D257" t="s">
        <v>675</v>
      </c>
      <c r="E257">
        <v>8</v>
      </c>
      <c r="F257">
        <v>33</v>
      </c>
      <c r="G257" t="s">
        <v>3619</v>
      </c>
      <c r="H257">
        <v>4</v>
      </c>
    </row>
    <row r="258" spans="1:8" x14ac:dyDescent="0.3">
      <c r="A258">
        <v>257</v>
      </c>
      <c r="B258" t="s">
        <v>528</v>
      </c>
      <c r="C258" t="s">
        <v>632</v>
      </c>
      <c r="D258" t="s">
        <v>677</v>
      </c>
      <c r="E258">
        <v>4</v>
      </c>
      <c r="F258">
        <v>17</v>
      </c>
      <c r="G258" t="s">
        <v>3619</v>
      </c>
      <c r="H258">
        <v>4</v>
      </c>
    </row>
    <row r="259" spans="1:8" x14ac:dyDescent="0.3">
      <c r="A259">
        <v>258</v>
      </c>
      <c r="B259" t="s">
        <v>317</v>
      </c>
      <c r="C259" t="s">
        <v>632</v>
      </c>
      <c r="D259" t="s">
        <v>679</v>
      </c>
      <c r="E259">
        <v>9</v>
      </c>
      <c r="F259">
        <v>33</v>
      </c>
      <c r="G259" t="s">
        <v>3619</v>
      </c>
      <c r="H259">
        <v>3</v>
      </c>
    </row>
    <row r="260" spans="1:8" x14ac:dyDescent="0.3">
      <c r="A260">
        <v>259</v>
      </c>
      <c r="B260" t="s">
        <v>179</v>
      </c>
      <c r="C260" t="s">
        <v>632</v>
      </c>
      <c r="D260" t="s">
        <v>660</v>
      </c>
      <c r="E260">
        <v>7</v>
      </c>
      <c r="F260">
        <v>36</v>
      </c>
      <c r="G260" t="s">
        <v>3623</v>
      </c>
      <c r="H260">
        <v>5</v>
      </c>
    </row>
    <row r="261" spans="1:8" x14ac:dyDescent="0.3">
      <c r="A261">
        <v>260</v>
      </c>
      <c r="B261" t="s">
        <v>181</v>
      </c>
      <c r="C261" t="s">
        <v>632</v>
      </c>
      <c r="D261" t="s">
        <v>682</v>
      </c>
      <c r="E261">
        <v>4</v>
      </c>
      <c r="F261">
        <v>21</v>
      </c>
      <c r="G261" t="s">
        <v>3623</v>
      </c>
      <c r="H261">
        <v>6</v>
      </c>
    </row>
    <row r="262" spans="1:8" x14ac:dyDescent="0.3">
      <c r="A262">
        <v>261</v>
      </c>
      <c r="B262" t="s">
        <v>62</v>
      </c>
      <c r="C262" t="s">
        <v>632</v>
      </c>
      <c r="D262" t="s">
        <v>684</v>
      </c>
      <c r="E262">
        <v>8</v>
      </c>
      <c r="F262">
        <v>33</v>
      </c>
      <c r="G262" t="s">
        <v>3619</v>
      </c>
      <c r="H262">
        <v>4</v>
      </c>
    </row>
    <row r="263" spans="1:8" x14ac:dyDescent="0.3">
      <c r="A263">
        <v>262</v>
      </c>
      <c r="B263" t="s">
        <v>35</v>
      </c>
      <c r="C263" t="s">
        <v>632</v>
      </c>
      <c r="D263" t="s">
        <v>686</v>
      </c>
      <c r="E263">
        <v>1</v>
      </c>
      <c r="F263">
        <v>4</v>
      </c>
      <c r="G263" t="s">
        <v>3621</v>
      </c>
      <c r="H263">
        <v>4</v>
      </c>
    </row>
    <row r="264" spans="1:8" x14ac:dyDescent="0.3">
      <c r="A264">
        <v>263</v>
      </c>
      <c r="B264" t="s">
        <v>687</v>
      </c>
      <c r="C264" t="s">
        <v>632</v>
      </c>
      <c r="D264" t="s">
        <v>289</v>
      </c>
      <c r="E264">
        <v>2</v>
      </c>
      <c r="F264">
        <v>6</v>
      </c>
      <c r="G264" t="s">
        <v>3619</v>
      </c>
      <c r="H264">
        <v>3</v>
      </c>
    </row>
    <row r="265" spans="1:8" x14ac:dyDescent="0.3">
      <c r="A265">
        <v>264</v>
      </c>
      <c r="B265" t="s">
        <v>37</v>
      </c>
      <c r="C265" t="s">
        <v>632</v>
      </c>
      <c r="D265" t="s">
        <v>660</v>
      </c>
      <c r="E265">
        <v>7</v>
      </c>
      <c r="F265">
        <v>36</v>
      </c>
      <c r="G265" t="s">
        <v>3623</v>
      </c>
      <c r="H265">
        <v>6</v>
      </c>
    </row>
    <row r="266" spans="1:8" x14ac:dyDescent="0.3">
      <c r="A266">
        <v>265</v>
      </c>
      <c r="B266" t="s">
        <v>70</v>
      </c>
      <c r="C266" t="s">
        <v>632</v>
      </c>
      <c r="D266" t="s">
        <v>691</v>
      </c>
      <c r="E266">
        <v>9</v>
      </c>
      <c r="F266">
        <v>33</v>
      </c>
      <c r="G266" t="s">
        <v>3619</v>
      </c>
      <c r="H266">
        <v>4</v>
      </c>
    </row>
    <row r="267" spans="1:8" x14ac:dyDescent="0.3">
      <c r="A267">
        <v>266</v>
      </c>
      <c r="B267" t="s">
        <v>199</v>
      </c>
      <c r="C267" t="s">
        <v>632</v>
      </c>
      <c r="D267" t="s">
        <v>693</v>
      </c>
      <c r="E267">
        <v>9</v>
      </c>
      <c r="F267">
        <v>33</v>
      </c>
      <c r="G267" t="s">
        <v>3619</v>
      </c>
      <c r="H267">
        <v>3</v>
      </c>
    </row>
    <row r="268" spans="1:8" x14ac:dyDescent="0.3">
      <c r="A268">
        <v>267</v>
      </c>
      <c r="B268" t="s">
        <v>694</v>
      </c>
      <c r="C268" t="s">
        <v>632</v>
      </c>
      <c r="D268" t="s">
        <v>93</v>
      </c>
      <c r="E268">
        <v>1</v>
      </c>
      <c r="F268">
        <v>3</v>
      </c>
      <c r="G268" t="s">
        <v>3623</v>
      </c>
      <c r="H268">
        <v>3</v>
      </c>
    </row>
    <row r="269" spans="1:8" x14ac:dyDescent="0.3">
      <c r="A269">
        <v>268</v>
      </c>
      <c r="B269" t="s">
        <v>48</v>
      </c>
      <c r="C269" t="s">
        <v>632</v>
      </c>
      <c r="D269" t="s">
        <v>562</v>
      </c>
      <c r="E269">
        <v>8</v>
      </c>
      <c r="F269">
        <v>33</v>
      </c>
      <c r="G269" t="s">
        <v>3619</v>
      </c>
      <c r="H269">
        <v>5</v>
      </c>
    </row>
    <row r="270" spans="1:8" x14ac:dyDescent="0.3">
      <c r="A270">
        <v>269</v>
      </c>
      <c r="B270" t="s">
        <v>205</v>
      </c>
      <c r="C270" t="s">
        <v>632</v>
      </c>
      <c r="D270" t="s">
        <v>660</v>
      </c>
      <c r="E270">
        <v>7</v>
      </c>
      <c r="F270">
        <v>36</v>
      </c>
      <c r="G270" t="s">
        <v>3623</v>
      </c>
      <c r="H270">
        <v>6</v>
      </c>
    </row>
    <row r="271" spans="1:8" x14ac:dyDescent="0.3">
      <c r="A271">
        <v>270</v>
      </c>
      <c r="B271" t="s">
        <v>50</v>
      </c>
      <c r="C271" t="s">
        <v>632</v>
      </c>
      <c r="D271" t="s">
        <v>699</v>
      </c>
      <c r="E271">
        <v>4</v>
      </c>
      <c r="F271">
        <v>17</v>
      </c>
      <c r="G271" t="s">
        <v>3619</v>
      </c>
      <c r="H271">
        <v>5</v>
      </c>
    </row>
    <row r="272" spans="1:8" x14ac:dyDescent="0.3">
      <c r="A272">
        <v>271</v>
      </c>
      <c r="B272" t="s">
        <v>339</v>
      </c>
      <c r="C272" t="s">
        <v>632</v>
      </c>
      <c r="D272" t="s">
        <v>701</v>
      </c>
      <c r="E272">
        <v>9</v>
      </c>
      <c r="F272">
        <v>33</v>
      </c>
      <c r="G272" t="s">
        <v>3619</v>
      </c>
      <c r="H272">
        <v>3</v>
      </c>
    </row>
    <row r="273" spans="1:8" x14ac:dyDescent="0.3">
      <c r="A273">
        <v>272</v>
      </c>
      <c r="B273" t="s">
        <v>214</v>
      </c>
      <c r="C273" t="s">
        <v>632</v>
      </c>
      <c r="D273" t="s">
        <v>703</v>
      </c>
      <c r="E273">
        <v>8</v>
      </c>
      <c r="F273">
        <v>33</v>
      </c>
      <c r="G273" t="s">
        <v>3619</v>
      </c>
      <c r="H273">
        <v>4</v>
      </c>
    </row>
    <row r="274" spans="1:8" x14ac:dyDescent="0.3">
      <c r="A274">
        <v>273</v>
      </c>
      <c r="B274" t="s">
        <v>704</v>
      </c>
      <c r="C274" t="s">
        <v>632</v>
      </c>
      <c r="D274" t="s">
        <v>296</v>
      </c>
      <c r="E274">
        <v>2</v>
      </c>
      <c r="F274">
        <v>7</v>
      </c>
      <c r="G274" t="s">
        <v>3619</v>
      </c>
      <c r="H274">
        <v>4</v>
      </c>
    </row>
    <row r="275" spans="1:8" x14ac:dyDescent="0.3">
      <c r="A275">
        <v>274</v>
      </c>
      <c r="B275" t="s">
        <v>217</v>
      </c>
      <c r="C275" t="s">
        <v>632</v>
      </c>
      <c r="D275" t="s">
        <v>660</v>
      </c>
      <c r="E275">
        <v>7</v>
      </c>
      <c r="F275">
        <v>36</v>
      </c>
      <c r="G275" t="s">
        <v>3623</v>
      </c>
      <c r="H275">
        <v>4</v>
      </c>
    </row>
    <row r="276" spans="1:8" x14ac:dyDescent="0.3">
      <c r="A276">
        <v>275</v>
      </c>
      <c r="B276" t="s">
        <v>219</v>
      </c>
      <c r="C276" t="s">
        <v>632</v>
      </c>
      <c r="D276" t="s">
        <v>296</v>
      </c>
      <c r="E276">
        <v>2</v>
      </c>
      <c r="F276">
        <v>7</v>
      </c>
      <c r="G276" t="s">
        <v>3619</v>
      </c>
      <c r="H276">
        <v>3</v>
      </c>
    </row>
    <row r="277" spans="1:8" x14ac:dyDescent="0.3">
      <c r="A277">
        <v>276</v>
      </c>
      <c r="B277" t="s">
        <v>228</v>
      </c>
      <c r="C277" t="s">
        <v>632</v>
      </c>
      <c r="D277" t="s">
        <v>691</v>
      </c>
      <c r="E277">
        <v>9</v>
      </c>
      <c r="F277">
        <v>33</v>
      </c>
      <c r="G277" t="s">
        <v>3619</v>
      </c>
      <c r="H277">
        <v>4</v>
      </c>
    </row>
    <row r="278" spans="1:8" x14ac:dyDescent="0.3">
      <c r="A278">
        <v>277</v>
      </c>
      <c r="B278" t="s">
        <v>231</v>
      </c>
      <c r="C278" t="s">
        <v>632</v>
      </c>
      <c r="D278" t="s">
        <v>113</v>
      </c>
      <c r="E278">
        <v>3</v>
      </c>
      <c r="F278">
        <v>9</v>
      </c>
      <c r="G278" t="s">
        <v>3619</v>
      </c>
      <c r="H278">
        <v>3</v>
      </c>
    </row>
    <row r="279" spans="1:8" x14ac:dyDescent="0.3">
      <c r="A279">
        <v>278</v>
      </c>
      <c r="B279" t="s">
        <v>237</v>
      </c>
      <c r="C279" t="s">
        <v>632</v>
      </c>
      <c r="D279" t="s">
        <v>581</v>
      </c>
      <c r="E279">
        <v>8</v>
      </c>
      <c r="F279">
        <v>33</v>
      </c>
      <c r="G279" t="s">
        <v>3619</v>
      </c>
      <c r="H279">
        <v>4</v>
      </c>
    </row>
    <row r="280" spans="1:8" x14ac:dyDescent="0.3">
      <c r="A280">
        <v>279</v>
      </c>
      <c r="B280" t="s">
        <v>240</v>
      </c>
      <c r="C280" t="s">
        <v>632</v>
      </c>
      <c r="D280" t="s">
        <v>712</v>
      </c>
      <c r="E280">
        <v>1</v>
      </c>
      <c r="F280">
        <v>3</v>
      </c>
      <c r="G280" t="s">
        <v>3619</v>
      </c>
      <c r="H280">
        <v>3</v>
      </c>
    </row>
    <row r="281" spans="1:8" x14ac:dyDescent="0.3">
      <c r="A281">
        <v>280</v>
      </c>
      <c r="B281" t="s">
        <v>363</v>
      </c>
      <c r="C281" t="s">
        <v>632</v>
      </c>
      <c r="D281" t="s">
        <v>714</v>
      </c>
      <c r="E281">
        <v>9</v>
      </c>
      <c r="F281">
        <v>33</v>
      </c>
      <c r="G281" t="s">
        <v>3619</v>
      </c>
      <c r="H281">
        <v>3</v>
      </c>
    </row>
    <row r="282" spans="1:8" x14ac:dyDescent="0.3">
      <c r="A282">
        <v>281</v>
      </c>
      <c r="B282" t="s">
        <v>715</v>
      </c>
      <c r="C282" t="s">
        <v>632</v>
      </c>
      <c r="D282" t="s">
        <v>717</v>
      </c>
      <c r="E282">
        <v>3</v>
      </c>
      <c r="F282">
        <v>10</v>
      </c>
      <c r="G282" t="s">
        <v>3624</v>
      </c>
      <c r="H282">
        <v>3</v>
      </c>
    </row>
    <row r="283" spans="1:8" x14ac:dyDescent="0.3">
      <c r="A283">
        <v>282</v>
      </c>
      <c r="B283" t="s">
        <v>718</v>
      </c>
      <c r="C283" t="s">
        <v>632</v>
      </c>
      <c r="D283" t="s">
        <v>442</v>
      </c>
      <c r="E283">
        <v>3</v>
      </c>
      <c r="F283">
        <v>10</v>
      </c>
      <c r="G283" t="s">
        <v>3624</v>
      </c>
      <c r="H283">
        <v>3</v>
      </c>
    </row>
    <row r="284" spans="1:8" x14ac:dyDescent="0.3">
      <c r="A284">
        <v>283</v>
      </c>
      <c r="B284" t="s">
        <v>249</v>
      </c>
      <c r="C284" t="s">
        <v>632</v>
      </c>
      <c r="D284" t="s">
        <v>660</v>
      </c>
      <c r="E284">
        <v>7</v>
      </c>
      <c r="F284">
        <v>36</v>
      </c>
      <c r="G284" t="s">
        <v>3623</v>
      </c>
      <c r="H284">
        <v>7</v>
      </c>
    </row>
    <row r="285" spans="1:8" x14ac:dyDescent="0.3">
      <c r="A285">
        <v>284</v>
      </c>
      <c r="B285" t="s">
        <v>67</v>
      </c>
      <c r="C285" t="s">
        <v>632</v>
      </c>
      <c r="D285" t="s">
        <v>722</v>
      </c>
      <c r="E285">
        <v>4</v>
      </c>
      <c r="F285">
        <v>21</v>
      </c>
      <c r="G285" t="s">
        <v>3623</v>
      </c>
      <c r="H285">
        <v>6</v>
      </c>
    </row>
    <row r="286" spans="1:8" x14ac:dyDescent="0.3">
      <c r="A286">
        <v>285</v>
      </c>
      <c r="B286" t="s">
        <v>59</v>
      </c>
      <c r="C286" t="s">
        <v>632</v>
      </c>
      <c r="D286" t="s">
        <v>724</v>
      </c>
      <c r="E286">
        <v>4</v>
      </c>
      <c r="F286">
        <v>21</v>
      </c>
      <c r="G286" t="s">
        <v>3623</v>
      </c>
      <c r="H286">
        <v>5</v>
      </c>
    </row>
    <row r="287" spans="1:8" x14ac:dyDescent="0.3">
      <c r="A287">
        <v>286</v>
      </c>
      <c r="B287" t="s">
        <v>598</v>
      </c>
      <c r="C287" t="s">
        <v>632</v>
      </c>
      <c r="D287" t="s">
        <v>266</v>
      </c>
      <c r="E287">
        <v>1</v>
      </c>
      <c r="F287">
        <v>3</v>
      </c>
      <c r="G287" t="s">
        <v>3621</v>
      </c>
      <c r="H287">
        <v>3</v>
      </c>
    </row>
    <row r="288" spans="1:8" x14ac:dyDescent="0.3">
      <c r="A288">
        <v>287</v>
      </c>
      <c r="B288" t="s">
        <v>726</v>
      </c>
      <c r="C288" t="s">
        <v>632</v>
      </c>
      <c r="D288" t="s">
        <v>728</v>
      </c>
      <c r="E288">
        <v>1</v>
      </c>
      <c r="F288">
        <v>3</v>
      </c>
      <c r="G288" t="s">
        <v>3619</v>
      </c>
      <c r="H288">
        <v>3</v>
      </c>
    </row>
    <row r="289" spans="1:8" x14ac:dyDescent="0.3">
      <c r="A289">
        <v>288</v>
      </c>
      <c r="B289" t="s">
        <v>729</v>
      </c>
      <c r="C289" t="s">
        <v>632</v>
      </c>
      <c r="D289" t="s">
        <v>185</v>
      </c>
      <c r="E289">
        <v>1</v>
      </c>
      <c r="F289">
        <v>3</v>
      </c>
      <c r="G289" t="s">
        <v>3619</v>
      </c>
      <c r="H289">
        <v>3</v>
      </c>
    </row>
    <row r="290" spans="1:8" x14ac:dyDescent="0.3">
      <c r="A290">
        <v>289</v>
      </c>
      <c r="B290" t="s">
        <v>68</v>
      </c>
      <c r="C290" t="s">
        <v>632</v>
      </c>
      <c r="D290" t="s">
        <v>732</v>
      </c>
      <c r="E290">
        <v>8</v>
      </c>
      <c r="F290">
        <v>33</v>
      </c>
      <c r="G290" t="s">
        <v>3619</v>
      </c>
      <c r="H290">
        <v>4</v>
      </c>
    </row>
    <row r="291" spans="1:8" x14ac:dyDescent="0.3">
      <c r="A291">
        <v>290</v>
      </c>
      <c r="B291" t="s">
        <v>621</v>
      </c>
      <c r="C291" t="s">
        <v>632</v>
      </c>
      <c r="D291" t="s">
        <v>732</v>
      </c>
      <c r="E291">
        <v>8</v>
      </c>
      <c r="F291">
        <v>33</v>
      </c>
      <c r="G291" t="s">
        <v>3619</v>
      </c>
      <c r="H291">
        <v>3</v>
      </c>
    </row>
    <row r="292" spans="1:8" x14ac:dyDescent="0.3">
      <c r="A292">
        <v>291</v>
      </c>
      <c r="B292" t="s">
        <v>734</v>
      </c>
      <c r="C292" t="s">
        <v>632</v>
      </c>
      <c r="D292" t="s">
        <v>113</v>
      </c>
      <c r="E292">
        <v>3</v>
      </c>
      <c r="F292">
        <v>9</v>
      </c>
      <c r="G292" t="s">
        <v>3619</v>
      </c>
      <c r="H292">
        <v>3</v>
      </c>
    </row>
    <row r="293" spans="1:8" x14ac:dyDescent="0.3">
      <c r="A293">
        <v>292</v>
      </c>
      <c r="B293" t="s">
        <v>45</v>
      </c>
      <c r="C293" t="s">
        <v>632</v>
      </c>
      <c r="D293" t="s">
        <v>660</v>
      </c>
      <c r="E293">
        <v>7</v>
      </c>
      <c r="F293">
        <v>36</v>
      </c>
      <c r="G293" t="s">
        <v>3623</v>
      </c>
      <c r="H293">
        <v>3</v>
      </c>
    </row>
    <row r="294" spans="1:8" x14ac:dyDescent="0.3">
      <c r="A294">
        <v>293</v>
      </c>
      <c r="B294" t="s">
        <v>626</v>
      </c>
      <c r="C294" t="s">
        <v>632</v>
      </c>
      <c r="D294" t="s">
        <v>738</v>
      </c>
      <c r="E294">
        <v>2</v>
      </c>
      <c r="F294">
        <v>7</v>
      </c>
      <c r="G294" t="s">
        <v>3619</v>
      </c>
      <c r="H294">
        <v>4</v>
      </c>
    </row>
    <row r="295" spans="1:8" x14ac:dyDescent="0.3">
      <c r="A295">
        <v>294</v>
      </c>
      <c r="B295" t="s">
        <v>739</v>
      </c>
      <c r="C295" t="s">
        <v>632</v>
      </c>
      <c r="D295" t="s">
        <v>741</v>
      </c>
      <c r="E295">
        <v>1</v>
      </c>
      <c r="F295">
        <v>3</v>
      </c>
      <c r="G295" t="s">
        <v>3624</v>
      </c>
      <c r="H295">
        <v>3</v>
      </c>
    </row>
    <row r="296" spans="1:8" x14ac:dyDescent="0.3">
      <c r="A296">
        <v>295</v>
      </c>
      <c r="B296" t="s">
        <v>742</v>
      </c>
      <c r="C296" t="s">
        <v>743</v>
      </c>
      <c r="D296" t="s">
        <v>745</v>
      </c>
      <c r="E296">
        <v>11</v>
      </c>
      <c r="F296">
        <v>48</v>
      </c>
      <c r="G296" t="s">
        <v>3619</v>
      </c>
      <c r="H296">
        <v>5</v>
      </c>
    </row>
    <row r="297" spans="1:8" x14ac:dyDescent="0.3">
      <c r="A297">
        <v>296</v>
      </c>
      <c r="B297" t="s">
        <v>746</v>
      </c>
      <c r="C297" t="s">
        <v>743</v>
      </c>
      <c r="D297" t="s">
        <v>748</v>
      </c>
      <c r="E297">
        <v>2</v>
      </c>
      <c r="F297">
        <v>6</v>
      </c>
      <c r="G297" t="s">
        <v>3619</v>
      </c>
      <c r="H297">
        <v>3</v>
      </c>
    </row>
    <row r="298" spans="1:8" x14ac:dyDescent="0.3">
      <c r="A298">
        <v>297</v>
      </c>
      <c r="B298" t="s">
        <v>491</v>
      </c>
      <c r="C298" t="s">
        <v>743</v>
      </c>
      <c r="D298" t="s">
        <v>750</v>
      </c>
      <c r="E298">
        <v>3</v>
      </c>
      <c r="F298">
        <v>9</v>
      </c>
      <c r="G298" t="s">
        <v>3619</v>
      </c>
      <c r="H298">
        <v>3</v>
      </c>
    </row>
    <row r="299" spans="1:8" x14ac:dyDescent="0.3">
      <c r="A299">
        <v>298</v>
      </c>
      <c r="B299" t="s">
        <v>637</v>
      </c>
      <c r="C299" t="s">
        <v>743</v>
      </c>
      <c r="D299" t="s">
        <v>183</v>
      </c>
      <c r="E299">
        <v>11</v>
      </c>
      <c r="F299">
        <v>48</v>
      </c>
      <c r="G299" t="s">
        <v>3619</v>
      </c>
      <c r="H299">
        <v>4</v>
      </c>
    </row>
    <row r="300" spans="1:8" x14ac:dyDescent="0.3">
      <c r="A300">
        <v>299</v>
      </c>
      <c r="B300" t="s">
        <v>752</v>
      </c>
      <c r="C300" t="s">
        <v>743</v>
      </c>
      <c r="D300" t="s">
        <v>754</v>
      </c>
      <c r="E300">
        <v>11</v>
      </c>
      <c r="F300">
        <v>48</v>
      </c>
      <c r="G300" t="s">
        <v>3619</v>
      </c>
      <c r="H300">
        <v>5</v>
      </c>
    </row>
    <row r="301" spans="1:8" x14ac:dyDescent="0.3">
      <c r="A301">
        <v>300</v>
      </c>
      <c r="B301" t="s">
        <v>755</v>
      </c>
      <c r="C301" t="s">
        <v>743</v>
      </c>
      <c r="D301" t="s">
        <v>289</v>
      </c>
      <c r="E301">
        <v>4</v>
      </c>
      <c r="F301">
        <v>14</v>
      </c>
      <c r="G301" t="s">
        <v>3619</v>
      </c>
      <c r="H301">
        <v>4</v>
      </c>
    </row>
    <row r="302" spans="1:8" x14ac:dyDescent="0.3">
      <c r="A302">
        <v>301</v>
      </c>
      <c r="B302" t="s">
        <v>88</v>
      </c>
      <c r="C302" t="s">
        <v>743</v>
      </c>
      <c r="D302" t="s">
        <v>758</v>
      </c>
      <c r="E302">
        <v>3</v>
      </c>
      <c r="F302">
        <v>10</v>
      </c>
      <c r="G302" t="s">
        <v>3619</v>
      </c>
      <c r="H302">
        <v>3</v>
      </c>
    </row>
    <row r="303" spans="1:8" x14ac:dyDescent="0.3">
      <c r="A303">
        <v>302</v>
      </c>
      <c r="B303" t="s">
        <v>72</v>
      </c>
      <c r="C303" t="s">
        <v>743</v>
      </c>
      <c r="D303" t="s">
        <v>660</v>
      </c>
      <c r="E303">
        <v>6</v>
      </c>
      <c r="F303">
        <v>39</v>
      </c>
      <c r="G303" t="s">
        <v>3623</v>
      </c>
      <c r="H303">
        <v>10</v>
      </c>
    </row>
    <row r="304" spans="1:8" x14ac:dyDescent="0.3">
      <c r="A304">
        <v>303</v>
      </c>
      <c r="B304" t="s">
        <v>760</v>
      </c>
      <c r="C304" t="s">
        <v>743</v>
      </c>
      <c r="D304" t="s">
        <v>201</v>
      </c>
      <c r="E304">
        <v>3</v>
      </c>
      <c r="F304">
        <v>10</v>
      </c>
      <c r="G304" t="s">
        <v>3619</v>
      </c>
      <c r="H304">
        <v>4</v>
      </c>
    </row>
    <row r="305" spans="1:8" x14ac:dyDescent="0.3">
      <c r="A305">
        <v>304</v>
      </c>
      <c r="B305" t="s">
        <v>105</v>
      </c>
      <c r="C305" t="s">
        <v>743</v>
      </c>
      <c r="D305" t="s">
        <v>660</v>
      </c>
      <c r="E305">
        <v>6</v>
      </c>
      <c r="F305">
        <v>39</v>
      </c>
      <c r="G305" t="s">
        <v>3623</v>
      </c>
      <c r="H305">
        <v>6</v>
      </c>
    </row>
    <row r="306" spans="1:8" x14ac:dyDescent="0.3">
      <c r="A306">
        <v>305</v>
      </c>
      <c r="B306" t="s">
        <v>763</v>
      </c>
      <c r="C306" t="s">
        <v>743</v>
      </c>
      <c r="D306" t="s">
        <v>765</v>
      </c>
      <c r="E306">
        <v>8</v>
      </c>
      <c r="F306">
        <v>24</v>
      </c>
      <c r="G306" t="s">
        <v>3619</v>
      </c>
      <c r="H306">
        <v>3</v>
      </c>
    </row>
    <row r="307" spans="1:8" x14ac:dyDescent="0.3">
      <c r="A307">
        <v>306</v>
      </c>
      <c r="B307" t="s">
        <v>766</v>
      </c>
      <c r="C307" t="s">
        <v>743</v>
      </c>
      <c r="D307" t="s">
        <v>107</v>
      </c>
      <c r="E307">
        <v>11</v>
      </c>
      <c r="F307">
        <v>48</v>
      </c>
      <c r="G307" t="s">
        <v>3619</v>
      </c>
      <c r="H307">
        <v>6</v>
      </c>
    </row>
    <row r="308" spans="1:8" x14ac:dyDescent="0.3">
      <c r="A308">
        <v>307</v>
      </c>
      <c r="B308" t="s">
        <v>768</v>
      </c>
      <c r="C308" t="s">
        <v>743</v>
      </c>
      <c r="D308" t="s">
        <v>309</v>
      </c>
      <c r="E308">
        <v>2</v>
      </c>
      <c r="F308">
        <v>8</v>
      </c>
      <c r="G308" t="s">
        <v>3621</v>
      </c>
      <c r="H308">
        <v>5</v>
      </c>
    </row>
    <row r="309" spans="1:8" x14ac:dyDescent="0.3">
      <c r="A309">
        <v>308</v>
      </c>
      <c r="B309" t="s">
        <v>770</v>
      </c>
      <c r="C309" t="s">
        <v>743</v>
      </c>
      <c r="D309" t="s">
        <v>113</v>
      </c>
      <c r="E309">
        <v>4</v>
      </c>
      <c r="F309">
        <v>12</v>
      </c>
      <c r="G309" t="s">
        <v>3619</v>
      </c>
      <c r="H309">
        <v>3</v>
      </c>
    </row>
    <row r="310" spans="1:8" x14ac:dyDescent="0.3">
      <c r="A310">
        <v>309</v>
      </c>
      <c r="B310" t="s">
        <v>772</v>
      </c>
      <c r="C310" t="s">
        <v>743</v>
      </c>
      <c r="D310" t="s">
        <v>774</v>
      </c>
      <c r="E310">
        <v>8</v>
      </c>
      <c r="F310">
        <v>24</v>
      </c>
      <c r="G310" t="s">
        <v>3619</v>
      </c>
      <c r="H310">
        <v>3</v>
      </c>
    </row>
    <row r="311" spans="1:8" x14ac:dyDescent="0.3">
      <c r="A311">
        <v>310</v>
      </c>
      <c r="B311" t="s">
        <v>299</v>
      </c>
      <c r="C311" t="s">
        <v>743</v>
      </c>
      <c r="D311" t="s">
        <v>776</v>
      </c>
      <c r="E311">
        <v>11</v>
      </c>
      <c r="F311">
        <v>48</v>
      </c>
      <c r="G311" t="s">
        <v>3623</v>
      </c>
      <c r="H311">
        <v>5</v>
      </c>
    </row>
    <row r="312" spans="1:8" x14ac:dyDescent="0.3">
      <c r="A312">
        <v>311</v>
      </c>
      <c r="B312" t="s">
        <v>777</v>
      </c>
      <c r="C312" t="s">
        <v>743</v>
      </c>
      <c r="D312" t="s">
        <v>779</v>
      </c>
      <c r="E312">
        <v>2</v>
      </c>
      <c r="F312">
        <v>9</v>
      </c>
      <c r="G312" t="s">
        <v>3619</v>
      </c>
      <c r="H312">
        <v>5</v>
      </c>
    </row>
    <row r="313" spans="1:8" x14ac:dyDescent="0.3">
      <c r="A313">
        <v>312</v>
      </c>
      <c r="B313" t="s">
        <v>780</v>
      </c>
      <c r="C313" t="s">
        <v>743</v>
      </c>
      <c r="D313" t="s">
        <v>782</v>
      </c>
      <c r="E313">
        <v>2</v>
      </c>
      <c r="F313">
        <v>6</v>
      </c>
      <c r="G313" t="s">
        <v>3619</v>
      </c>
      <c r="H313">
        <v>3</v>
      </c>
    </row>
    <row r="314" spans="1:8" x14ac:dyDescent="0.3">
      <c r="A314">
        <v>313</v>
      </c>
      <c r="B314" t="s">
        <v>505</v>
      </c>
      <c r="C314" t="s">
        <v>743</v>
      </c>
      <c r="D314" t="s">
        <v>667</v>
      </c>
      <c r="E314">
        <v>4</v>
      </c>
      <c r="F314">
        <v>14</v>
      </c>
      <c r="G314" t="s">
        <v>3619</v>
      </c>
      <c r="H314">
        <v>3</v>
      </c>
    </row>
    <row r="315" spans="1:8" x14ac:dyDescent="0.3">
      <c r="A315">
        <v>314</v>
      </c>
      <c r="B315" t="s">
        <v>27</v>
      </c>
      <c r="C315" t="s">
        <v>743</v>
      </c>
      <c r="D315" t="s">
        <v>785</v>
      </c>
      <c r="E315">
        <v>3</v>
      </c>
      <c r="F315">
        <v>9</v>
      </c>
      <c r="G315" t="s">
        <v>3619</v>
      </c>
      <c r="H315">
        <v>3</v>
      </c>
    </row>
    <row r="316" spans="1:8" x14ac:dyDescent="0.3">
      <c r="A316">
        <v>315</v>
      </c>
      <c r="B316" t="s">
        <v>786</v>
      </c>
      <c r="C316" t="s">
        <v>743</v>
      </c>
      <c r="D316" t="s">
        <v>788</v>
      </c>
      <c r="E316">
        <v>4</v>
      </c>
      <c r="F316">
        <v>14</v>
      </c>
      <c r="G316" t="s">
        <v>3619</v>
      </c>
      <c r="H316">
        <v>4</v>
      </c>
    </row>
    <row r="317" spans="1:8" x14ac:dyDescent="0.3">
      <c r="A317">
        <v>316</v>
      </c>
      <c r="B317" t="s">
        <v>51</v>
      </c>
      <c r="C317" t="s">
        <v>743</v>
      </c>
      <c r="D317" t="s">
        <v>96</v>
      </c>
      <c r="E317">
        <v>11</v>
      </c>
      <c r="F317">
        <v>48</v>
      </c>
      <c r="G317" t="s">
        <v>3623</v>
      </c>
      <c r="H317">
        <v>3</v>
      </c>
    </row>
    <row r="318" spans="1:8" x14ac:dyDescent="0.3">
      <c r="A318">
        <v>317</v>
      </c>
      <c r="B318" t="s">
        <v>790</v>
      </c>
      <c r="C318" t="s">
        <v>743</v>
      </c>
      <c r="D318" t="s">
        <v>745</v>
      </c>
      <c r="E318">
        <v>11</v>
      </c>
      <c r="F318">
        <v>48</v>
      </c>
      <c r="G318" t="s">
        <v>3619</v>
      </c>
      <c r="H318">
        <v>5</v>
      </c>
    </row>
    <row r="319" spans="1:8" x14ac:dyDescent="0.3">
      <c r="A319">
        <v>318</v>
      </c>
      <c r="B319" t="s">
        <v>53</v>
      </c>
      <c r="C319" t="s">
        <v>743</v>
      </c>
      <c r="D319" t="s">
        <v>793</v>
      </c>
      <c r="E319">
        <v>11</v>
      </c>
      <c r="F319">
        <v>48</v>
      </c>
      <c r="G319" t="s">
        <v>3623</v>
      </c>
      <c r="H319">
        <v>3</v>
      </c>
    </row>
    <row r="320" spans="1:8" x14ac:dyDescent="0.3">
      <c r="A320">
        <v>319</v>
      </c>
      <c r="B320" t="s">
        <v>794</v>
      </c>
      <c r="C320" t="s">
        <v>743</v>
      </c>
      <c r="D320" t="s">
        <v>796</v>
      </c>
      <c r="E320">
        <v>8</v>
      </c>
      <c r="F320">
        <v>24</v>
      </c>
      <c r="G320" t="s">
        <v>3619</v>
      </c>
      <c r="H320">
        <v>3</v>
      </c>
    </row>
    <row r="321" spans="1:8" x14ac:dyDescent="0.3">
      <c r="A321">
        <v>320</v>
      </c>
      <c r="B321" t="s">
        <v>135</v>
      </c>
      <c r="C321" t="s">
        <v>743</v>
      </c>
      <c r="D321" t="s">
        <v>660</v>
      </c>
      <c r="E321">
        <v>6</v>
      </c>
      <c r="F321">
        <v>39</v>
      </c>
      <c r="G321" t="s">
        <v>3623</v>
      </c>
      <c r="H321">
        <v>8</v>
      </c>
    </row>
    <row r="322" spans="1:8" x14ac:dyDescent="0.3">
      <c r="A322">
        <v>321</v>
      </c>
      <c r="B322" t="s">
        <v>141</v>
      </c>
      <c r="C322" t="s">
        <v>743</v>
      </c>
      <c r="D322" t="s">
        <v>799</v>
      </c>
      <c r="E322">
        <v>1</v>
      </c>
      <c r="F322">
        <v>4</v>
      </c>
      <c r="G322" t="s">
        <v>3619</v>
      </c>
      <c r="H322">
        <v>4</v>
      </c>
    </row>
    <row r="323" spans="1:8" x14ac:dyDescent="0.3">
      <c r="A323">
        <v>322</v>
      </c>
      <c r="B323" t="s">
        <v>144</v>
      </c>
      <c r="C323" t="s">
        <v>743</v>
      </c>
      <c r="D323" t="s">
        <v>801</v>
      </c>
      <c r="E323">
        <v>11</v>
      </c>
      <c r="F323">
        <v>48</v>
      </c>
      <c r="G323" t="s">
        <v>3623</v>
      </c>
      <c r="H323">
        <v>5</v>
      </c>
    </row>
    <row r="324" spans="1:8" x14ac:dyDescent="0.3">
      <c r="A324">
        <v>323</v>
      </c>
      <c r="B324" t="s">
        <v>802</v>
      </c>
      <c r="C324" t="s">
        <v>743</v>
      </c>
      <c r="D324" t="s">
        <v>185</v>
      </c>
      <c r="E324">
        <v>1</v>
      </c>
      <c r="F324">
        <v>3</v>
      </c>
      <c r="G324" t="s">
        <v>3619</v>
      </c>
      <c r="H324">
        <v>3</v>
      </c>
    </row>
    <row r="325" spans="1:8" x14ac:dyDescent="0.3">
      <c r="A325">
        <v>324</v>
      </c>
      <c r="B325" t="s">
        <v>804</v>
      </c>
      <c r="C325" t="s">
        <v>743</v>
      </c>
      <c r="D325" t="s">
        <v>806</v>
      </c>
      <c r="E325">
        <v>3</v>
      </c>
      <c r="F325">
        <v>9</v>
      </c>
      <c r="G325" t="s">
        <v>3619</v>
      </c>
      <c r="H325">
        <v>3</v>
      </c>
    </row>
    <row r="326" spans="1:8" x14ac:dyDescent="0.3">
      <c r="A326">
        <v>325</v>
      </c>
      <c r="B326" t="s">
        <v>807</v>
      </c>
      <c r="C326" t="s">
        <v>743</v>
      </c>
      <c r="D326" t="s">
        <v>809</v>
      </c>
      <c r="E326">
        <v>8</v>
      </c>
      <c r="F326">
        <v>24</v>
      </c>
      <c r="G326" t="s">
        <v>3619</v>
      </c>
      <c r="H326">
        <v>3</v>
      </c>
    </row>
    <row r="327" spans="1:8" x14ac:dyDescent="0.3">
      <c r="A327">
        <v>326</v>
      </c>
      <c r="B327" t="s">
        <v>170</v>
      </c>
      <c r="C327" t="s">
        <v>743</v>
      </c>
      <c r="D327" t="s">
        <v>811</v>
      </c>
      <c r="E327">
        <v>11</v>
      </c>
      <c r="F327">
        <v>48</v>
      </c>
      <c r="G327" t="s">
        <v>3623</v>
      </c>
      <c r="H327">
        <v>5</v>
      </c>
    </row>
    <row r="328" spans="1:8" x14ac:dyDescent="0.3">
      <c r="A328">
        <v>327</v>
      </c>
      <c r="B328" t="s">
        <v>812</v>
      </c>
      <c r="C328" t="s">
        <v>743</v>
      </c>
      <c r="D328" t="s">
        <v>814</v>
      </c>
      <c r="E328">
        <v>8</v>
      </c>
      <c r="F328">
        <v>24</v>
      </c>
      <c r="G328" t="s">
        <v>3619</v>
      </c>
      <c r="H328">
        <v>3</v>
      </c>
    </row>
    <row r="329" spans="1:8" x14ac:dyDescent="0.3">
      <c r="A329">
        <v>328</v>
      </c>
      <c r="B329" t="s">
        <v>324</v>
      </c>
      <c r="C329" t="s">
        <v>743</v>
      </c>
      <c r="D329" t="s">
        <v>660</v>
      </c>
      <c r="E329">
        <v>6</v>
      </c>
      <c r="F329">
        <v>39</v>
      </c>
      <c r="G329" t="s">
        <v>3623</v>
      </c>
      <c r="H329">
        <v>7</v>
      </c>
    </row>
    <row r="330" spans="1:8" x14ac:dyDescent="0.3">
      <c r="A330">
        <v>329</v>
      </c>
      <c r="B330" t="s">
        <v>326</v>
      </c>
      <c r="C330" t="s">
        <v>743</v>
      </c>
      <c r="D330" t="s">
        <v>213</v>
      </c>
      <c r="E330">
        <v>1</v>
      </c>
      <c r="F330">
        <v>3</v>
      </c>
      <c r="G330" t="s">
        <v>3619</v>
      </c>
      <c r="H330">
        <v>3</v>
      </c>
    </row>
    <row r="331" spans="1:8" x14ac:dyDescent="0.3">
      <c r="A331">
        <v>330</v>
      </c>
      <c r="B331" t="s">
        <v>37</v>
      </c>
      <c r="C331" t="s">
        <v>743</v>
      </c>
      <c r="D331" t="s">
        <v>811</v>
      </c>
      <c r="E331">
        <v>11</v>
      </c>
      <c r="F331">
        <v>48</v>
      </c>
      <c r="G331" t="s">
        <v>3623</v>
      </c>
      <c r="H331">
        <v>3</v>
      </c>
    </row>
    <row r="332" spans="1:8" x14ac:dyDescent="0.3">
      <c r="A332">
        <v>331</v>
      </c>
      <c r="B332" t="s">
        <v>818</v>
      </c>
      <c r="C332" t="s">
        <v>743</v>
      </c>
      <c r="D332" t="s">
        <v>113</v>
      </c>
      <c r="E332">
        <v>4</v>
      </c>
      <c r="F332">
        <v>12</v>
      </c>
      <c r="G332" t="s">
        <v>3619</v>
      </c>
      <c r="H332">
        <v>3</v>
      </c>
    </row>
    <row r="333" spans="1:8" x14ac:dyDescent="0.3">
      <c r="A333">
        <v>332</v>
      </c>
      <c r="B333" t="s">
        <v>70</v>
      </c>
      <c r="C333" t="s">
        <v>743</v>
      </c>
      <c r="D333" t="s">
        <v>629</v>
      </c>
      <c r="E333">
        <v>11</v>
      </c>
      <c r="F333">
        <v>48</v>
      </c>
      <c r="G333" t="s">
        <v>3623</v>
      </c>
      <c r="H333">
        <v>4</v>
      </c>
    </row>
    <row r="334" spans="1:8" x14ac:dyDescent="0.3">
      <c r="A334">
        <v>333</v>
      </c>
      <c r="B334" t="s">
        <v>199</v>
      </c>
      <c r="C334" t="s">
        <v>743</v>
      </c>
      <c r="D334" t="s">
        <v>822</v>
      </c>
      <c r="E334">
        <v>11</v>
      </c>
      <c r="F334">
        <v>48</v>
      </c>
      <c r="G334" t="s">
        <v>3623</v>
      </c>
      <c r="H334">
        <v>5</v>
      </c>
    </row>
    <row r="335" spans="1:8" x14ac:dyDescent="0.3">
      <c r="A335">
        <v>334</v>
      </c>
      <c r="B335" t="s">
        <v>823</v>
      </c>
      <c r="C335" t="s">
        <v>743</v>
      </c>
      <c r="D335" t="s">
        <v>113</v>
      </c>
      <c r="E335">
        <v>4</v>
      </c>
      <c r="F335">
        <v>12</v>
      </c>
      <c r="G335" t="s">
        <v>3619</v>
      </c>
      <c r="H335">
        <v>3</v>
      </c>
    </row>
    <row r="336" spans="1:8" x14ac:dyDescent="0.3">
      <c r="A336">
        <v>335</v>
      </c>
      <c r="B336" t="s">
        <v>205</v>
      </c>
      <c r="C336" t="s">
        <v>743</v>
      </c>
      <c r="D336" t="s">
        <v>826</v>
      </c>
      <c r="E336">
        <v>11</v>
      </c>
      <c r="F336">
        <v>48</v>
      </c>
      <c r="G336" t="s">
        <v>3623</v>
      </c>
      <c r="H336">
        <v>5</v>
      </c>
    </row>
    <row r="337" spans="1:8" x14ac:dyDescent="0.3">
      <c r="A337">
        <v>336</v>
      </c>
      <c r="B337" t="s">
        <v>50</v>
      </c>
      <c r="C337" t="s">
        <v>743</v>
      </c>
      <c r="D337" t="s">
        <v>828</v>
      </c>
      <c r="E337">
        <v>3</v>
      </c>
      <c r="F337">
        <v>9</v>
      </c>
      <c r="G337" t="s">
        <v>3619</v>
      </c>
      <c r="H337">
        <v>3</v>
      </c>
    </row>
    <row r="338" spans="1:8" x14ac:dyDescent="0.3">
      <c r="A338">
        <v>337</v>
      </c>
      <c r="B338" t="s">
        <v>339</v>
      </c>
      <c r="C338" t="s">
        <v>743</v>
      </c>
      <c r="D338" t="s">
        <v>660</v>
      </c>
      <c r="E338">
        <v>6</v>
      </c>
      <c r="F338">
        <v>39</v>
      </c>
      <c r="G338" t="s">
        <v>3623</v>
      </c>
      <c r="H338">
        <v>3</v>
      </c>
    </row>
    <row r="339" spans="1:8" x14ac:dyDescent="0.3">
      <c r="A339">
        <v>338</v>
      </c>
      <c r="B339" t="s">
        <v>830</v>
      </c>
      <c r="C339" t="s">
        <v>743</v>
      </c>
      <c r="D339" t="s">
        <v>832</v>
      </c>
      <c r="E339">
        <v>3</v>
      </c>
      <c r="F339">
        <v>9</v>
      </c>
      <c r="G339" t="s">
        <v>3619</v>
      </c>
      <c r="H339">
        <v>3</v>
      </c>
    </row>
    <row r="340" spans="1:8" x14ac:dyDescent="0.3">
      <c r="A340">
        <v>339</v>
      </c>
      <c r="B340" t="s">
        <v>57</v>
      </c>
      <c r="C340" t="s">
        <v>743</v>
      </c>
      <c r="D340" t="s">
        <v>834</v>
      </c>
      <c r="E340">
        <v>1</v>
      </c>
      <c r="F340">
        <v>3</v>
      </c>
      <c r="G340" t="s">
        <v>3619</v>
      </c>
      <c r="H340">
        <v>3</v>
      </c>
    </row>
    <row r="341" spans="1:8" x14ac:dyDescent="0.3">
      <c r="A341">
        <v>340</v>
      </c>
      <c r="B341" t="s">
        <v>835</v>
      </c>
      <c r="C341" t="s">
        <v>743</v>
      </c>
      <c r="D341" t="s">
        <v>837</v>
      </c>
      <c r="E341">
        <v>1</v>
      </c>
      <c r="F341">
        <v>8</v>
      </c>
      <c r="G341" t="s">
        <v>3619</v>
      </c>
      <c r="H341">
        <v>8</v>
      </c>
    </row>
    <row r="342" spans="1:8" x14ac:dyDescent="0.3">
      <c r="A342">
        <v>341</v>
      </c>
      <c r="B342" t="s">
        <v>838</v>
      </c>
      <c r="C342" t="s">
        <v>743</v>
      </c>
      <c r="D342" t="s">
        <v>814</v>
      </c>
      <c r="E342">
        <v>8</v>
      </c>
      <c r="F342">
        <v>24</v>
      </c>
      <c r="G342" t="s">
        <v>3619</v>
      </c>
      <c r="H342">
        <v>3</v>
      </c>
    </row>
    <row r="343" spans="1:8" x14ac:dyDescent="0.3">
      <c r="A343">
        <v>342</v>
      </c>
      <c r="B343" t="s">
        <v>840</v>
      </c>
      <c r="C343" t="s">
        <v>743</v>
      </c>
      <c r="D343" t="s">
        <v>667</v>
      </c>
      <c r="E343">
        <v>4</v>
      </c>
      <c r="F343">
        <v>14</v>
      </c>
      <c r="G343" t="s">
        <v>3619</v>
      </c>
      <c r="H343">
        <v>3</v>
      </c>
    </row>
    <row r="344" spans="1:8" x14ac:dyDescent="0.3">
      <c r="A344">
        <v>343</v>
      </c>
      <c r="B344" t="s">
        <v>842</v>
      </c>
      <c r="C344" t="s">
        <v>743</v>
      </c>
      <c r="D344" t="s">
        <v>844</v>
      </c>
      <c r="E344">
        <v>1</v>
      </c>
      <c r="F344">
        <v>3</v>
      </c>
      <c r="G344" t="s">
        <v>3621</v>
      </c>
      <c r="H344">
        <v>3</v>
      </c>
    </row>
    <row r="345" spans="1:8" x14ac:dyDescent="0.3">
      <c r="A345">
        <v>344</v>
      </c>
      <c r="B345" t="s">
        <v>845</v>
      </c>
      <c r="C345" t="s">
        <v>743</v>
      </c>
      <c r="D345" t="s">
        <v>847</v>
      </c>
      <c r="E345">
        <v>8</v>
      </c>
      <c r="F345">
        <v>24</v>
      </c>
      <c r="G345" t="s">
        <v>3619</v>
      </c>
      <c r="H345">
        <v>3</v>
      </c>
    </row>
    <row r="346" spans="1:8" x14ac:dyDescent="0.3">
      <c r="A346">
        <v>345</v>
      </c>
      <c r="B346" t="s">
        <v>33</v>
      </c>
      <c r="C346" t="s">
        <v>743</v>
      </c>
      <c r="D346" t="s">
        <v>660</v>
      </c>
      <c r="E346">
        <v>6</v>
      </c>
      <c r="F346">
        <v>39</v>
      </c>
      <c r="G346" t="s">
        <v>3623</v>
      </c>
      <c r="H346">
        <v>5</v>
      </c>
    </row>
    <row r="347" spans="1:8" x14ac:dyDescent="0.3">
      <c r="A347">
        <v>346</v>
      </c>
      <c r="B347" t="s">
        <v>63</v>
      </c>
      <c r="C347" t="s">
        <v>743</v>
      </c>
      <c r="D347" t="s">
        <v>850</v>
      </c>
      <c r="E347">
        <v>2</v>
      </c>
      <c r="F347">
        <v>6</v>
      </c>
      <c r="G347" t="s">
        <v>3619</v>
      </c>
      <c r="H347">
        <v>3</v>
      </c>
    </row>
    <row r="348" spans="1:8" x14ac:dyDescent="0.3">
      <c r="A348">
        <v>347</v>
      </c>
      <c r="B348" t="s">
        <v>228</v>
      </c>
      <c r="C348" t="s">
        <v>743</v>
      </c>
      <c r="D348" t="s">
        <v>852</v>
      </c>
      <c r="E348">
        <v>11</v>
      </c>
      <c r="F348">
        <v>48</v>
      </c>
      <c r="G348" t="s">
        <v>3623</v>
      </c>
      <c r="H348">
        <v>7</v>
      </c>
    </row>
    <row r="349" spans="1:8" x14ac:dyDescent="0.3">
      <c r="A349">
        <v>348</v>
      </c>
      <c r="B349" t="s">
        <v>853</v>
      </c>
      <c r="C349" t="s">
        <v>743</v>
      </c>
      <c r="D349" t="s">
        <v>113</v>
      </c>
      <c r="E349">
        <v>4</v>
      </c>
      <c r="F349">
        <v>12</v>
      </c>
      <c r="G349" t="s">
        <v>3619</v>
      </c>
      <c r="H349">
        <v>3</v>
      </c>
    </row>
    <row r="350" spans="1:8" x14ac:dyDescent="0.3">
      <c r="A350">
        <v>349</v>
      </c>
      <c r="B350" t="s">
        <v>234</v>
      </c>
      <c r="C350" t="s">
        <v>743</v>
      </c>
      <c r="D350" t="s">
        <v>856</v>
      </c>
      <c r="E350">
        <v>1</v>
      </c>
      <c r="F350">
        <v>3</v>
      </c>
      <c r="G350" t="s">
        <v>3621</v>
      </c>
      <c r="H350">
        <v>3</v>
      </c>
    </row>
    <row r="351" spans="1:8" x14ac:dyDescent="0.3">
      <c r="A351">
        <v>350</v>
      </c>
      <c r="B351" t="s">
        <v>588</v>
      </c>
      <c r="C351" t="s">
        <v>743</v>
      </c>
      <c r="D351" t="s">
        <v>858</v>
      </c>
      <c r="E351">
        <v>1</v>
      </c>
      <c r="F351">
        <v>3</v>
      </c>
      <c r="G351" t="s">
        <v>3621</v>
      </c>
      <c r="H351">
        <v>3</v>
      </c>
    </row>
    <row r="352" spans="1:8" x14ac:dyDescent="0.3">
      <c r="A352">
        <v>351</v>
      </c>
      <c r="B352" t="s">
        <v>240</v>
      </c>
      <c r="C352" t="s">
        <v>743</v>
      </c>
      <c r="D352" t="s">
        <v>107</v>
      </c>
      <c r="E352">
        <v>11</v>
      </c>
      <c r="F352">
        <v>48</v>
      </c>
      <c r="G352" t="s">
        <v>3619</v>
      </c>
      <c r="H352">
        <v>3</v>
      </c>
    </row>
    <row r="353" spans="1:8" x14ac:dyDescent="0.3">
      <c r="A353">
        <v>352</v>
      </c>
      <c r="B353" t="s">
        <v>715</v>
      </c>
      <c r="C353" t="s">
        <v>743</v>
      </c>
      <c r="D353" t="s">
        <v>861</v>
      </c>
      <c r="E353">
        <v>1</v>
      </c>
      <c r="F353">
        <v>3</v>
      </c>
      <c r="G353" t="s">
        <v>3624</v>
      </c>
      <c r="H353">
        <v>3</v>
      </c>
    </row>
    <row r="354" spans="1:8" x14ac:dyDescent="0.3">
      <c r="A354">
        <v>353</v>
      </c>
      <c r="B354" t="s">
        <v>243</v>
      </c>
      <c r="C354" t="s">
        <v>743</v>
      </c>
      <c r="D354" t="s">
        <v>863</v>
      </c>
      <c r="E354">
        <v>1</v>
      </c>
      <c r="F354">
        <v>3</v>
      </c>
      <c r="G354" t="s">
        <v>3621</v>
      </c>
      <c r="H354">
        <v>3</v>
      </c>
    </row>
    <row r="355" spans="1:8" x14ac:dyDescent="0.3">
      <c r="A355">
        <v>354</v>
      </c>
      <c r="B355" t="s">
        <v>864</v>
      </c>
      <c r="C355" t="s">
        <v>743</v>
      </c>
      <c r="D355" t="s">
        <v>866</v>
      </c>
      <c r="E355">
        <v>3</v>
      </c>
      <c r="F355">
        <v>10</v>
      </c>
      <c r="G355" t="s">
        <v>3619</v>
      </c>
      <c r="H355">
        <v>3</v>
      </c>
    </row>
    <row r="356" spans="1:8" x14ac:dyDescent="0.3">
      <c r="A356">
        <v>355</v>
      </c>
      <c r="B356" t="s">
        <v>261</v>
      </c>
      <c r="C356" t="s">
        <v>743</v>
      </c>
      <c r="D356" t="s">
        <v>779</v>
      </c>
      <c r="E356">
        <v>2</v>
      </c>
      <c r="F356">
        <v>9</v>
      </c>
      <c r="G356" t="s">
        <v>3619</v>
      </c>
      <c r="H356">
        <v>4</v>
      </c>
    </row>
    <row r="357" spans="1:8" x14ac:dyDescent="0.3">
      <c r="A357">
        <v>356</v>
      </c>
      <c r="B357" t="s">
        <v>868</v>
      </c>
      <c r="C357" t="s">
        <v>743</v>
      </c>
      <c r="D357" t="s">
        <v>870</v>
      </c>
      <c r="E357">
        <v>1</v>
      </c>
      <c r="F357">
        <v>3</v>
      </c>
      <c r="G357" t="s">
        <v>3621</v>
      </c>
      <c r="H357">
        <v>3</v>
      </c>
    </row>
    <row r="358" spans="1:8" x14ac:dyDescent="0.3">
      <c r="A358">
        <v>357</v>
      </c>
      <c r="B358" t="s">
        <v>871</v>
      </c>
      <c r="C358" t="s">
        <v>743</v>
      </c>
      <c r="D358" t="s">
        <v>309</v>
      </c>
      <c r="E358">
        <v>2</v>
      </c>
      <c r="F358">
        <v>8</v>
      </c>
      <c r="G358" t="s">
        <v>3621</v>
      </c>
      <c r="H358">
        <v>3</v>
      </c>
    </row>
    <row r="359" spans="1:8" x14ac:dyDescent="0.3">
      <c r="A359">
        <v>358</v>
      </c>
      <c r="B359" t="s">
        <v>873</v>
      </c>
      <c r="C359" t="s">
        <v>743</v>
      </c>
      <c r="D359" t="s">
        <v>748</v>
      </c>
      <c r="E359">
        <v>2</v>
      </c>
      <c r="F359">
        <v>6</v>
      </c>
      <c r="G359" t="s">
        <v>3619</v>
      </c>
      <c r="H359">
        <v>3</v>
      </c>
    </row>
    <row r="360" spans="1:8" x14ac:dyDescent="0.3">
      <c r="A360">
        <v>359</v>
      </c>
      <c r="B360" t="s">
        <v>38</v>
      </c>
      <c r="C360" t="s">
        <v>743</v>
      </c>
      <c r="D360" t="s">
        <v>107</v>
      </c>
      <c r="E360">
        <v>11</v>
      </c>
      <c r="F360">
        <v>48</v>
      </c>
      <c r="G360" t="s">
        <v>3619</v>
      </c>
      <c r="H360">
        <v>5</v>
      </c>
    </row>
    <row r="361" spans="1:8" x14ac:dyDescent="0.3">
      <c r="A361">
        <v>360</v>
      </c>
      <c r="B361" t="s">
        <v>876</v>
      </c>
      <c r="C361" t="s">
        <v>743</v>
      </c>
      <c r="D361" t="s">
        <v>809</v>
      </c>
      <c r="E361">
        <v>8</v>
      </c>
      <c r="F361">
        <v>24</v>
      </c>
      <c r="G361" t="s">
        <v>3619</v>
      </c>
      <c r="H361">
        <v>3</v>
      </c>
    </row>
    <row r="362" spans="1:8" x14ac:dyDescent="0.3">
      <c r="A362">
        <v>361</v>
      </c>
      <c r="B362" t="s">
        <v>878</v>
      </c>
      <c r="C362" t="s">
        <v>743</v>
      </c>
      <c r="D362" t="s">
        <v>107</v>
      </c>
      <c r="E362">
        <v>11</v>
      </c>
      <c r="F362">
        <v>48</v>
      </c>
      <c r="G362" t="s">
        <v>3619</v>
      </c>
      <c r="H362">
        <v>4</v>
      </c>
    </row>
    <row r="363" spans="1:8" x14ac:dyDescent="0.3">
      <c r="A363">
        <v>362</v>
      </c>
      <c r="B363" t="s">
        <v>880</v>
      </c>
      <c r="C363" t="s">
        <v>743</v>
      </c>
      <c r="D363" t="s">
        <v>882</v>
      </c>
      <c r="E363">
        <v>1</v>
      </c>
      <c r="F363">
        <v>4</v>
      </c>
      <c r="G363" t="s">
        <v>3619</v>
      </c>
      <c r="H363">
        <v>4</v>
      </c>
    </row>
    <row r="364" spans="1:8" x14ac:dyDescent="0.3">
      <c r="A364">
        <v>363</v>
      </c>
      <c r="B364" t="s">
        <v>626</v>
      </c>
      <c r="C364" t="s">
        <v>743</v>
      </c>
      <c r="D364" t="s">
        <v>884</v>
      </c>
      <c r="E364">
        <v>11</v>
      </c>
      <c r="F364">
        <v>48</v>
      </c>
      <c r="G364" t="s">
        <v>3619</v>
      </c>
      <c r="H364">
        <v>3</v>
      </c>
    </row>
    <row r="365" spans="1:8" x14ac:dyDescent="0.3">
      <c r="A365">
        <v>364</v>
      </c>
      <c r="B365" t="s">
        <v>885</v>
      </c>
      <c r="C365" t="s">
        <v>743</v>
      </c>
      <c r="D365" t="s">
        <v>887</v>
      </c>
      <c r="E365">
        <v>11</v>
      </c>
      <c r="F365">
        <v>48</v>
      </c>
      <c r="G365" t="s">
        <v>3619</v>
      </c>
      <c r="H365">
        <v>4</v>
      </c>
    </row>
    <row r="366" spans="1:8" x14ac:dyDescent="0.3">
      <c r="A366">
        <v>365</v>
      </c>
      <c r="B366" t="s">
        <v>888</v>
      </c>
      <c r="C366" t="s">
        <v>743</v>
      </c>
      <c r="D366" t="s">
        <v>890</v>
      </c>
      <c r="E366">
        <v>11</v>
      </c>
      <c r="F366">
        <v>48</v>
      </c>
      <c r="G366" t="s">
        <v>3623</v>
      </c>
      <c r="H366">
        <v>3</v>
      </c>
    </row>
    <row r="367" spans="1:8" x14ac:dyDescent="0.3">
      <c r="A367">
        <v>366</v>
      </c>
      <c r="B367" t="s">
        <v>891</v>
      </c>
      <c r="C367" t="s">
        <v>743</v>
      </c>
      <c r="D367" t="s">
        <v>893</v>
      </c>
      <c r="E367">
        <v>3</v>
      </c>
      <c r="F367">
        <v>9</v>
      </c>
      <c r="G367" t="s">
        <v>3619</v>
      </c>
      <c r="H367">
        <v>3</v>
      </c>
    </row>
    <row r="368" spans="1:8" x14ac:dyDescent="0.3">
      <c r="A368">
        <v>367</v>
      </c>
      <c r="B368" t="s">
        <v>894</v>
      </c>
      <c r="C368" t="s">
        <v>743</v>
      </c>
      <c r="D368" t="s">
        <v>896</v>
      </c>
      <c r="E368">
        <v>11</v>
      </c>
      <c r="F368">
        <v>48</v>
      </c>
      <c r="G368" t="s">
        <v>3619</v>
      </c>
      <c r="H368">
        <v>4</v>
      </c>
    </row>
    <row r="369" spans="1:8" x14ac:dyDescent="0.3">
      <c r="A369">
        <v>368</v>
      </c>
      <c r="B369" t="s">
        <v>742</v>
      </c>
      <c r="C369" t="s">
        <v>897</v>
      </c>
      <c r="D369" t="s">
        <v>899</v>
      </c>
      <c r="E369">
        <v>13</v>
      </c>
      <c r="F369">
        <v>51</v>
      </c>
      <c r="G369" t="s">
        <v>3619</v>
      </c>
      <c r="H369">
        <v>3</v>
      </c>
    </row>
    <row r="370" spans="1:8" x14ac:dyDescent="0.3">
      <c r="A370">
        <v>369</v>
      </c>
      <c r="B370" t="s">
        <v>900</v>
      </c>
      <c r="C370" t="s">
        <v>897</v>
      </c>
      <c r="D370" t="s">
        <v>902</v>
      </c>
      <c r="E370">
        <v>13</v>
      </c>
      <c r="F370">
        <v>51</v>
      </c>
      <c r="G370" t="s">
        <v>3619</v>
      </c>
      <c r="H370">
        <v>4</v>
      </c>
    </row>
    <row r="371" spans="1:8" x14ac:dyDescent="0.3">
      <c r="A371">
        <v>370</v>
      </c>
      <c r="B371" t="s">
        <v>637</v>
      </c>
      <c r="C371" t="s">
        <v>897</v>
      </c>
      <c r="D371" t="s">
        <v>904</v>
      </c>
      <c r="E371">
        <v>13</v>
      </c>
      <c r="F371">
        <v>51</v>
      </c>
      <c r="G371" t="s">
        <v>3619</v>
      </c>
      <c r="H371">
        <v>3</v>
      </c>
    </row>
    <row r="372" spans="1:8" x14ac:dyDescent="0.3">
      <c r="A372">
        <v>371</v>
      </c>
      <c r="B372" t="s">
        <v>752</v>
      </c>
      <c r="C372" t="s">
        <v>897</v>
      </c>
      <c r="D372" t="s">
        <v>906</v>
      </c>
      <c r="E372">
        <v>3</v>
      </c>
      <c r="F372">
        <v>17</v>
      </c>
      <c r="G372" t="s">
        <v>3619</v>
      </c>
      <c r="H372">
        <v>7</v>
      </c>
    </row>
    <row r="373" spans="1:8" x14ac:dyDescent="0.3">
      <c r="A373">
        <v>372</v>
      </c>
      <c r="B373" t="s">
        <v>907</v>
      </c>
      <c r="C373" t="s">
        <v>897</v>
      </c>
      <c r="D373" t="s">
        <v>113</v>
      </c>
      <c r="E373">
        <v>4</v>
      </c>
      <c r="F373">
        <v>13</v>
      </c>
      <c r="G373" t="s">
        <v>3619</v>
      </c>
      <c r="H373">
        <v>3</v>
      </c>
    </row>
    <row r="374" spans="1:8" x14ac:dyDescent="0.3">
      <c r="A374">
        <v>373</v>
      </c>
      <c r="B374" t="s">
        <v>766</v>
      </c>
      <c r="C374" t="s">
        <v>897</v>
      </c>
      <c r="D374" t="s">
        <v>910</v>
      </c>
      <c r="E374">
        <v>3</v>
      </c>
      <c r="F374">
        <v>17</v>
      </c>
      <c r="G374" t="s">
        <v>3619</v>
      </c>
      <c r="H374">
        <v>6</v>
      </c>
    </row>
    <row r="375" spans="1:8" x14ac:dyDescent="0.3">
      <c r="A375">
        <v>374</v>
      </c>
      <c r="B375" t="s">
        <v>117</v>
      </c>
      <c r="C375" t="s">
        <v>897</v>
      </c>
      <c r="D375" t="s">
        <v>113</v>
      </c>
      <c r="E375">
        <v>4</v>
      </c>
      <c r="F375">
        <v>13</v>
      </c>
      <c r="G375" t="s">
        <v>3619</v>
      </c>
      <c r="H375">
        <v>3</v>
      </c>
    </row>
    <row r="376" spans="1:8" x14ac:dyDescent="0.3">
      <c r="A376">
        <v>375</v>
      </c>
      <c r="B376" t="s">
        <v>912</v>
      </c>
      <c r="C376" t="s">
        <v>897</v>
      </c>
      <c r="D376" t="s">
        <v>914</v>
      </c>
      <c r="E376">
        <v>2</v>
      </c>
      <c r="F376">
        <v>6</v>
      </c>
      <c r="G376" t="s">
        <v>3621</v>
      </c>
      <c r="H376">
        <v>3</v>
      </c>
    </row>
    <row r="377" spans="1:8" x14ac:dyDescent="0.3">
      <c r="A377">
        <v>376</v>
      </c>
      <c r="B377" t="s">
        <v>790</v>
      </c>
      <c r="C377" t="s">
        <v>897</v>
      </c>
      <c r="D377" t="s">
        <v>916</v>
      </c>
      <c r="E377">
        <v>13</v>
      </c>
      <c r="F377">
        <v>51</v>
      </c>
      <c r="G377" t="s">
        <v>3619</v>
      </c>
      <c r="H377">
        <v>4</v>
      </c>
    </row>
    <row r="378" spans="1:8" x14ac:dyDescent="0.3">
      <c r="A378">
        <v>377</v>
      </c>
      <c r="B378" t="s">
        <v>917</v>
      </c>
      <c r="C378" t="s">
        <v>897</v>
      </c>
      <c r="D378" t="s">
        <v>113</v>
      </c>
      <c r="E378">
        <v>4</v>
      </c>
      <c r="F378">
        <v>13</v>
      </c>
      <c r="G378" t="s">
        <v>3619</v>
      </c>
      <c r="H378">
        <v>4</v>
      </c>
    </row>
    <row r="379" spans="1:8" x14ac:dyDescent="0.3">
      <c r="A379">
        <v>378</v>
      </c>
      <c r="B379" t="s">
        <v>132</v>
      </c>
      <c r="C379" t="s">
        <v>897</v>
      </c>
      <c r="D379" t="s">
        <v>920</v>
      </c>
      <c r="E379">
        <v>1</v>
      </c>
      <c r="F379">
        <v>4</v>
      </c>
      <c r="G379" t="s">
        <v>3619</v>
      </c>
      <c r="H379">
        <v>4</v>
      </c>
    </row>
    <row r="380" spans="1:8" x14ac:dyDescent="0.3">
      <c r="A380">
        <v>379</v>
      </c>
      <c r="B380" t="s">
        <v>141</v>
      </c>
      <c r="C380" t="s">
        <v>897</v>
      </c>
      <c r="D380" t="s">
        <v>148</v>
      </c>
      <c r="E380">
        <v>13</v>
      </c>
      <c r="F380">
        <v>51</v>
      </c>
      <c r="G380" t="s">
        <v>3619</v>
      </c>
      <c r="H380">
        <v>3</v>
      </c>
    </row>
    <row r="381" spans="1:8" x14ac:dyDescent="0.3">
      <c r="A381">
        <v>380</v>
      </c>
      <c r="B381" t="s">
        <v>922</v>
      </c>
      <c r="C381" t="s">
        <v>897</v>
      </c>
      <c r="D381" t="s">
        <v>296</v>
      </c>
      <c r="E381">
        <v>1</v>
      </c>
      <c r="F381">
        <v>3</v>
      </c>
      <c r="G381" t="s">
        <v>3619</v>
      </c>
      <c r="H381">
        <v>3</v>
      </c>
    </row>
    <row r="382" spans="1:8" x14ac:dyDescent="0.3">
      <c r="A382">
        <v>381</v>
      </c>
      <c r="B382" t="s">
        <v>924</v>
      </c>
      <c r="C382" t="s">
        <v>897</v>
      </c>
      <c r="D382" t="s">
        <v>113</v>
      </c>
      <c r="E382">
        <v>4</v>
      </c>
      <c r="F382">
        <v>13</v>
      </c>
      <c r="G382" t="s">
        <v>3619</v>
      </c>
      <c r="H382">
        <v>3</v>
      </c>
    </row>
    <row r="383" spans="1:8" x14ac:dyDescent="0.3">
      <c r="A383">
        <v>382</v>
      </c>
      <c r="B383" t="s">
        <v>34</v>
      </c>
      <c r="C383" t="s">
        <v>897</v>
      </c>
      <c r="D383" t="s">
        <v>927</v>
      </c>
      <c r="E383">
        <v>1</v>
      </c>
      <c r="F383">
        <v>3</v>
      </c>
      <c r="G383" t="s">
        <v>3619</v>
      </c>
      <c r="H383">
        <v>3</v>
      </c>
    </row>
    <row r="384" spans="1:8" x14ac:dyDescent="0.3">
      <c r="A384">
        <v>383</v>
      </c>
      <c r="B384" t="s">
        <v>36</v>
      </c>
      <c r="C384" t="s">
        <v>897</v>
      </c>
      <c r="D384" t="s">
        <v>210</v>
      </c>
      <c r="E384">
        <v>6</v>
      </c>
      <c r="F384">
        <v>21</v>
      </c>
      <c r="G384" t="s">
        <v>3623</v>
      </c>
      <c r="H384">
        <v>4</v>
      </c>
    </row>
    <row r="385" spans="1:8" x14ac:dyDescent="0.3">
      <c r="A385">
        <v>384</v>
      </c>
      <c r="B385" t="s">
        <v>929</v>
      </c>
      <c r="C385" t="s">
        <v>897</v>
      </c>
      <c r="D385" t="s">
        <v>931</v>
      </c>
      <c r="E385">
        <v>6</v>
      </c>
      <c r="F385">
        <v>21</v>
      </c>
      <c r="G385" t="s">
        <v>3623</v>
      </c>
      <c r="H385">
        <v>3</v>
      </c>
    </row>
    <row r="386" spans="1:8" x14ac:dyDescent="0.3">
      <c r="A386">
        <v>385</v>
      </c>
      <c r="B386" t="s">
        <v>932</v>
      </c>
      <c r="C386" t="s">
        <v>897</v>
      </c>
      <c r="D386" t="s">
        <v>934</v>
      </c>
      <c r="E386">
        <v>6</v>
      </c>
      <c r="F386">
        <v>21</v>
      </c>
      <c r="G386" t="s">
        <v>3623</v>
      </c>
      <c r="H386">
        <v>3</v>
      </c>
    </row>
    <row r="387" spans="1:8" x14ac:dyDescent="0.3">
      <c r="A387">
        <v>386</v>
      </c>
      <c r="B387" t="s">
        <v>935</v>
      </c>
      <c r="C387" t="s">
        <v>897</v>
      </c>
      <c r="D387" t="s">
        <v>937</v>
      </c>
      <c r="E387">
        <v>6</v>
      </c>
      <c r="F387">
        <v>21</v>
      </c>
      <c r="G387" t="s">
        <v>3623</v>
      </c>
      <c r="H387">
        <v>3</v>
      </c>
    </row>
    <row r="388" spans="1:8" x14ac:dyDescent="0.3">
      <c r="A388">
        <v>387</v>
      </c>
      <c r="B388" t="s">
        <v>938</v>
      </c>
      <c r="C388" t="s">
        <v>897</v>
      </c>
      <c r="D388" t="s">
        <v>940</v>
      </c>
      <c r="E388">
        <v>1</v>
      </c>
      <c r="F388">
        <v>3</v>
      </c>
      <c r="G388" t="s">
        <v>3621</v>
      </c>
      <c r="H388">
        <v>3</v>
      </c>
    </row>
    <row r="389" spans="1:8" x14ac:dyDescent="0.3">
      <c r="A389">
        <v>388</v>
      </c>
      <c r="B389" t="s">
        <v>344</v>
      </c>
      <c r="C389" t="s">
        <v>897</v>
      </c>
      <c r="D389" t="s">
        <v>942</v>
      </c>
      <c r="E389">
        <v>2</v>
      </c>
      <c r="F389">
        <v>6</v>
      </c>
      <c r="G389" t="s">
        <v>3619</v>
      </c>
      <c r="H389">
        <v>3</v>
      </c>
    </row>
    <row r="390" spans="1:8" x14ac:dyDescent="0.3">
      <c r="A390">
        <v>389</v>
      </c>
      <c r="B390" t="s">
        <v>943</v>
      </c>
      <c r="C390" t="s">
        <v>897</v>
      </c>
      <c r="D390" t="s">
        <v>945</v>
      </c>
      <c r="E390">
        <v>1</v>
      </c>
      <c r="F390">
        <v>4</v>
      </c>
      <c r="G390" t="s">
        <v>3625</v>
      </c>
      <c r="H390">
        <v>4</v>
      </c>
    </row>
    <row r="391" spans="1:8" x14ac:dyDescent="0.3">
      <c r="A391">
        <v>390</v>
      </c>
      <c r="B391" t="s">
        <v>57</v>
      </c>
      <c r="C391" t="s">
        <v>897</v>
      </c>
      <c r="D391" t="s">
        <v>947</v>
      </c>
      <c r="E391">
        <v>13</v>
      </c>
      <c r="F391">
        <v>51</v>
      </c>
      <c r="G391" t="s">
        <v>3619</v>
      </c>
      <c r="H391">
        <v>3</v>
      </c>
    </row>
    <row r="392" spans="1:8" x14ac:dyDescent="0.3">
      <c r="A392">
        <v>391</v>
      </c>
      <c r="B392" t="s">
        <v>566</v>
      </c>
      <c r="C392" t="s">
        <v>897</v>
      </c>
      <c r="D392" t="s">
        <v>949</v>
      </c>
      <c r="E392">
        <v>13</v>
      </c>
      <c r="F392">
        <v>51</v>
      </c>
      <c r="G392" t="s">
        <v>3619</v>
      </c>
      <c r="H392">
        <v>3</v>
      </c>
    </row>
    <row r="393" spans="1:8" x14ac:dyDescent="0.3">
      <c r="A393">
        <v>392</v>
      </c>
      <c r="B393" t="s">
        <v>350</v>
      </c>
      <c r="C393" t="s">
        <v>897</v>
      </c>
      <c r="D393" t="s">
        <v>951</v>
      </c>
      <c r="E393">
        <v>2</v>
      </c>
      <c r="F393">
        <v>6</v>
      </c>
      <c r="G393" t="s">
        <v>3619</v>
      </c>
      <c r="H393">
        <v>3</v>
      </c>
    </row>
    <row r="394" spans="1:8" x14ac:dyDescent="0.3">
      <c r="A394">
        <v>393</v>
      </c>
      <c r="B394" t="s">
        <v>65</v>
      </c>
      <c r="C394" t="s">
        <v>897</v>
      </c>
      <c r="D394" t="s">
        <v>953</v>
      </c>
      <c r="E394">
        <v>13</v>
      </c>
      <c r="F394">
        <v>51</v>
      </c>
      <c r="G394" t="s">
        <v>3619</v>
      </c>
      <c r="H394">
        <v>5</v>
      </c>
    </row>
    <row r="395" spans="1:8" x14ac:dyDescent="0.3">
      <c r="A395">
        <v>394</v>
      </c>
      <c r="B395" t="s">
        <v>73</v>
      </c>
      <c r="C395" t="s">
        <v>897</v>
      </c>
      <c r="D395" t="s">
        <v>949</v>
      </c>
      <c r="E395">
        <v>13</v>
      </c>
      <c r="F395">
        <v>51</v>
      </c>
      <c r="G395" t="s">
        <v>3619</v>
      </c>
      <c r="H395">
        <v>3</v>
      </c>
    </row>
    <row r="396" spans="1:8" x14ac:dyDescent="0.3">
      <c r="A396">
        <v>395</v>
      </c>
      <c r="B396" t="s">
        <v>955</v>
      </c>
      <c r="C396" t="s">
        <v>897</v>
      </c>
      <c r="D396" t="s">
        <v>957</v>
      </c>
      <c r="E396">
        <v>2</v>
      </c>
      <c r="F396">
        <v>6</v>
      </c>
      <c r="G396" t="s">
        <v>3621</v>
      </c>
      <c r="H396">
        <v>3</v>
      </c>
    </row>
    <row r="397" spans="1:8" x14ac:dyDescent="0.3">
      <c r="A397">
        <v>396</v>
      </c>
      <c r="B397" t="s">
        <v>958</v>
      </c>
      <c r="C397" t="s">
        <v>897</v>
      </c>
      <c r="D397" t="s">
        <v>960</v>
      </c>
      <c r="E397">
        <v>2</v>
      </c>
      <c r="F397">
        <v>6</v>
      </c>
      <c r="G397" t="s">
        <v>3621</v>
      </c>
      <c r="H397">
        <v>3</v>
      </c>
    </row>
    <row r="398" spans="1:8" x14ac:dyDescent="0.3">
      <c r="A398">
        <v>397</v>
      </c>
      <c r="B398" t="s">
        <v>961</v>
      </c>
      <c r="C398" t="s">
        <v>897</v>
      </c>
      <c r="D398" t="s">
        <v>963</v>
      </c>
      <c r="E398">
        <v>2</v>
      </c>
      <c r="F398">
        <v>6</v>
      </c>
      <c r="G398" t="s">
        <v>3621</v>
      </c>
      <c r="H398">
        <v>3</v>
      </c>
    </row>
    <row r="399" spans="1:8" x14ac:dyDescent="0.3">
      <c r="A399">
        <v>398</v>
      </c>
      <c r="B399" t="s">
        <v>237</v>
      </c>
      <c r="C399" t="s">
        <v>897</v>
      </c>
      <c r="D399" t="s">
        <v>965</v>
      </c>
      <c r="E399">
        <v>6</v>
      </c>
      <c r="F399">
        <v>21</v>
      </c>
      <c r="G399" t="s">
        <v>3623</v>
      </c>
      <c r="H399">
        <v>5</v>
      </c>
    </row>
    <row r="400" spans="1:8" x14ac:dyDescent="0.3">
      <c r="A400">
        <v>399</v>
      </c>
      <c r="B400" t="s">
        <v>588</v>
      </c>
      <c r="C400" t="s">
        <v>897</v>
      </c>
      <c r="D400" t="s">
        <v>967</v>
      </c>
      <c r="E400">
        <v>1</v>
      </c>
      <c r="F400">
        <v>4</v>
      </c>
      <c r="G400" t="s">
        <v>3623</v>
      </c>
      <c r="H400">
        <v>4</v>
      </c>
    </row>
    <row r="401" spans="1:8" x14ac:dyDescent="0.3">
      <c r="A401">
        <v>400</v>
      </c>
      <c r="B401" t="s">
        <v>462</v>
      </c>
      <c r="C401" t="s">
        <v>897</v>
      </c>
      <c r="D401" t="s">
        <v>553</v>
      </c>
      <c r="E401">
        <v>1</v>
      </c>
      <c r="F401">
        <v>3</v>
      </c>
      <c r="G401" t="s">
        <v>3621</v>
      </c>
      <c r="H401">
        <v>3</v>
      </c>
    </row>
    <row r="402" spans="1:8" x14ac:dyDescent="0.3">
      <c r="A402">
        <v>401</v>
      </c>
      <c r="B402" t="s">
        <v>606</v>
      </c>
      <c r="C402" t="s">
        <v>897</v>
      </c>
      <c r="D402" t="s">
        <v>558</v>
      </c>
      <c r="E402">
        <v>1</v>
      </c>
      <c r="F402">
        <v>3</v>
      </c>
      <c r="G402" t="s">
        <v>3621</v>
      </c>
      <c r="H402">
        <v>3</v>
      </c>
    </row>
    <row r="403" spans="1:8" x14ac:dyDescent="0.3">
      <c r="A403">
        <v>402</v>
      </c>
      <c r="B403" t="s">
        <v>726</v>
      </c>
      <c r="C403" t="s">
        <v>897</v>
      </c>
      <c r="D403" t="s">
        <v>971</v>
      </c>
      <c r="E403">
        <v>1</v>
      </c>
      <c r="F403">
        <v>3</v>
      </c>
      <c r="G403" t="s">
        <v>3621</v>
      </c>
      <c r="H403">
        <v>3</v>
      </c>
    </row>
    <row r="404" spans="1:8" x14ac:dyDescent="0.3">
      <c r="A404">
        <v>403</v>
      </c>
      <c r="B404" t="s">
        <v>871</v>
      </c>
      <c r="C404" t="s">
        <v>897</v>
      </c>
      <c r="D404" t="s">
        <v>973</v>
      </c>
      <c r="E404">
        <v>1</v>
      </c>
      <c r="F404">
        <v>3</v>
      </c>
      <c r="G404" t="s">
        <v>3619</v>
      </c>
      <c r="H404">
        <v>3</v>
      </c>
    </row>
    <row r="405" spans="1:8" x14ac:dyDescent="0.3">
      <c r="A405">
        <v>404</v>
      </c>
      <c r="B405" t="s">
        <v>38</v>
      </c>
      <c r="C405" t="s">
        <v>897</v>
      </c>
      <c r="D405" t="s">
        <v>975</v>
      </c>
      <c r="E405">
        <v>13</v>
      </c>
      <c r="F405">
        <v>51</v>
      </c>
      <c r="G405" t="s">
        <v>3619</v>
      </c>
      <c r="H405">
        <v>3</v>
      </c>
    </row>
    <row r="406" spans="1:8" x14ac:dyDescent="0.3">
      <c r="A406">
        <v>405</v>
      </c>
      <c r="B406" t="s">
        <v>267</v>
      </c>
      <c r="C406" t="s">
        <v>897</v>
      </c>
      <c r="D406" t="s">
        <v>977</v>
      </c>
      <c r="E406">
        <v>6</v>
      </c>
      <c r="F406">
        <v>21</v>
      </c>
      <c r="G406" t="s">
        <v>3623</v>
      </c>
      <c r="H406">
        <v>3</v>
      </c>
    </row>
    <row r="407" spans="1:8" x14ac:dyDescent="0.3">
      <c r="A407">
        <v>406</v>
      </c>
      <c r="B407" t="s">
        <v>52</v>
      </c>
      <c r="C407" t="s">
        <v>897</v>
      </c>
      <c r="D407" t="s">
        <v>979</v>
      </c>
      <c r="E407">
        <v>13</v>
      </c>
      <c r="F407">
        <v>51</v>
      </c>
      <c r="G407" t="s">
        <v>3619</v>
      </c>
      <c r="H407">
        <v>7</v>
      </c>
    </row>
    <row r="408" spans="1:8" x14ac:dyDescent="0.3">
      <c r="A408">
        <v>407</v>
      </c>
      <c r="B408" t="s">
        <v>626</v>
      </c>
      <c r="C408" t="s">
        <v>897</v>
      </c>
      <c r="D408" t="s">
        <v>981</v>
      </c>
      <c r="E408">
        <v>13</v>
      </c>
      <c r="F408">
        <v>51</v>
      </c>
      <c r="G408" t="s">
        <v>3619</v>
      </c>
      <c r="H408">
        <v>7</v>
      </c>
    </row>
    <row r="409" spans="1:8" x14ac:dyDescent="0.3">
      <c r="A409">
        <v>408</v>
      </c>
      <c r="B409" t="s">
        <v>885</v>
      </c>
      <c r="C409" t="s">
        <v>897</v>
      </c>
      <c r="D409" t="s">
        <v>983</v>
      </c>
      <c r="E409">
        <v>13</v>
      </c>
      <c r="F409">
        <v>51</v>
      </c>
      <c r="G409" t="s">
        <v>3619</v>
      </c>
      <c r="H409">
        <v>3</v>
      </c>
    </row>
    <row r="410" spans="1:8" x14ac:dyDescent="0.3">
      <c r="A410">
        <v>409</v>
      </c>
      <c r="B410" t="s">
        <v>894</v>
      </c>
      <c r="C410" t="s">
        <v>897</v>
      </c>
      <c r="D410" t="s">
        <v>985</v>
      </c>
      <c r="E410">
        <v>3</v>
      </c>
      <c r="F410">
        <v>17</v>
      </c>
      <c r="G410" t="s">
        <v>3619</v>
      </c>
      <c r="H410">
        <v>4</v>
      </c>
    </row>
    <row r="411" spans="1:8" x14ac:dyDescent="0.3">
      <c r="A411">
        <v>410</v>
      </c>
      <c r="B411" t="s">
        <v>81</v>
      </c>
      <c r="C411" t="s">
        <v>986</v>
      </c>
      <c r="D411" t="s">
        <v>988</v>
      </c>
      <c r="E411">
        <v>3</v>
      </c>
      <c r="F411">
        <v>12</v>
      </c>
      <c r="G411" t="s">
        <v>3619</v>
      </c>
      <c r="H411">
        <v>3</v>
      </c>
    </row>
    <row r="412" spans="1:8" x14ac:dyDescent="0.3">
      <c r="A412">
        <v>411</v>
      </c>
      <c r="B412" t="s">
        <v>88</v>
      </c>
      <c r="C412" t="s">
        <v>986</v>
      </c>
      <c r="D412" t="s">
        <v>990</v>
      </c>
      <c r="E412">
        <v>3</v>
      </c>
      <c r="F412">
        <v>9</v>
      </c>
      <c r="G412" t="s">
        <v>3619</v>
      </c>
      <c r="H412">
        <v>3</v>
      </c>
    </row>
    <row r="413" spans="1:8" x14ac:dyDescent="0.3">
      <c r="A413">
        <v>412</v>
      </c>
      <c r="B413" t="s">
        <v>991</v>
      </c>
      <c r="C413" t="s">
        <v>986</v>
      </c>
      <c r="D413" t="s">
        <v>90</v>
      </c>
      <c r="E413">
        <v>3</v>
      </c>
      <c r="F413">
        <v>10</v>
      </c>
      <c r="G413" t="s">
        <v>3619</v>
      </c>
      <c r="H413">
        <v>3</v>
      </c>
    </row>
    <row r="414" spans="1:8" x14ac:dyDescent="0.3">
      <c r="A414">
        <v>413</v>
      </c>
      <c r="B414" t="s">
        <v>292</v>
      </c>
      <c r="C414" t="s">
        <v>986</v>
      </c>
      <c r="D414" t="s">
        <v>994</v>
      </c>
      <c r="E414">
        <v>1</v>
      </c>
      <c r="F414">
        <v>3</v>
      </c>
      <c r="G414" t="s">
        <v>3619</v>
      </c>
      <c r="H414">
        <v>3</v>
      </c>
    </row>
    <row r="415" spans="1:8" x14ac:dyDescent="0.3">
      <c r="A415">
        <v>414</v>
      </c>
      <c r="B415" t="s">
        <v>995</v>
      </c>
      <c r="C415" t="s">
        <v>986</v>
      </c>
      <c r="D415" t="s">
        <v>309</v>
      </c>
      <c r="E415">
        <v>3</v>
      </c>
      <c r="F415">
        <v>9</v>
      </c>
      <c r="G415" t="s">
        <v>3619</v>
      </c>
      <c r="H415">
        <v>3</v>
      </c>
    </row>
    <row r="416" spans="1:8" x14ac:dyDescent="0.3">
      <c r="A416">
        <v>415</v>
      </c>
      <c r="B416" t="s">
        <v>997</v>
      </c>
      <c r="C416" t="s">
        <v>986</v>
      </c>
      <c r="D416" t="s">
        <v>999</v>
      </c>
      <c r="E416">
        <v>1</v>
      </c>
      <c r="F416">
        <v>4</v>
      </c>
      <c r="G416" t="s">
        <v>3619</v>
      </c>
      <c r="H416">
        <v>4</v>
      </c>
    </row>
    <row r="417" spans="1:8" x14ac:dyDescent="0.3">
      <c r="A417">
        <v>416</v>
      </c>
      <c r="B417" t="s">
        <v>766</v>
      </c>
      <c r="C417" t="s">
        <v>986</v>
      </c>
      <c r="D417" t="s">
        <v>684</v>
      </c>
      <c r="E417">
        <v>2</v>
      </c>
      <c r="F417">
        <v>8</v>
      </c>
      <c r="G417" t="s">
        <v>3619</v>
      </c>
      <c r="H417">
        <v>3</v>
      </c>
    </row>
    <row r="418" spans="1:8" x14ac:dyDescent="0.3">
      <c r="A418">
        <v>417</v>
      </c>
      <c r="B418" t="s">
        <v>1001</v>
      </c>
      <c r="C418" t="s">
        <v>986</v>
      </c>
      <c r="D418" t="s">
        <v>1003</v>
      </c>
      <c r="E418">
        <v>3</v>
      </c>
      <c r="F418">
        <v>12</v>
      </c>
      <c r="G418" t="s">
        <v>3619</v>
      </c>
      <c r="H418">
        <v>4</v>
      </c>
    </row>
    <row r="419" spans="1:8" x14ac:dyDescent="0.3">
      <c r="A419">
        <v>418</v>
      </c>
      <c r="B419" t="s">
        <v>912</v>
      </c>
      <c r="C419" t="s">
        <v>986</v>
      </c>
      <c r="D419" t="s">
        <v>90</v>
      </c>
      <c r="E419">
        <v>3</v>
      </c>
      <c r="F419">
        <v>10</v>
      </c>
      <c r="G419" t="s">
        <v>3619</v>
      </c>
      <c r="H419">
        <v>4</v>
      </c>
    </row>
    <row r="420" spans="1:8" x14ac:dyDescent="0.3">
      <c r="A420">
        <v>419</v>
      </c>
      <c r="B420" t="s">
        <v>653</v>
      </c>
      <c r="C420" t="s">
        <v>986</v>
      </c>
      <c r="D420" t="s">
        <v>1006</v>
      </c>
      <c r="E420">
        <v>2</v>
      </c>
      <c r="F420">
        <v>7</v>
      </c>
      <c r="G420" t="s">
        <v>3621</v>
      </c>
      <c r="H420">
        <v>3</v>
      </c>
    </row>
    <row r="421" spans="1:8" x14ac:dyDescent="0.3">
      <c r="A421">
        <v>420</v>
      </c>
      <c r="B421" t="s">
        <v>790</v>
      </c>
      <c r="C421" t="s">
        <v>986</v>
      </c>
      <c r="D421" t="s">
        <v>1008</v>
      </c>
      <c r="E421">
        <v>3</v>
      </c>
      <c r="F421">
        <v>9</v>
      </c>
      <c r="G421" t="s">
        <v>3619</v>
      </c>
      <c r="H421">
        <v>3</v>
      </c>
    </row>
    <row r="422" spans="1:8" x14ac:dyDescent="0.3">
      <c r="A422">
        <v>421</v>
      </c>
      <c r="B422" t="s">
        <v>924</v>
      </c>
      <c r="C422" t="s">
        <v>986</v>
      </c>
      <c r="D422" t="s">
        <v>1010</v>
      </c>
      <c r="E422">
        <v>2</v>
      </c>
      <c r="F422">
        <v>8</v>
      </c>
      <c r="G422" t="s">
        <v>3619</v>
      </c>
      <c r="H422">
        <v>4</v>
      </c>
    </row>
    <row r="423" spans="1:8" x14ac:dyDescent="0.3">
      <c r="A423">
        <v>422</v>
      </c>
      <c r="B423" t="s">
        <v>1011</v>
      </c>
      <c r="C423" t="s">
        <v>986</v>
      </c>
      <c r="D423" t="s">
        <v>568</v>
      </c>
      <c r="E423">
        <v>1</v>
      </c>
      <c r="F423">
        <v>3</v>
      </c>
      <c r="G423" t="s">
        <v>3619</v>
      </c>
      <c r="H423">
        <v>3</v>
      </c>
    </row>
    <row r="424" spans="1:8" x14ac:dyDescent="0.3">
      <c r="A424">
        <v>423</v>
      </c>
      <c r="B424" t="s">
        <v>35</v>
      </c>
      <c r="C424" t="s">
        <v>986</v>
      </c>
      <c r="D424" t="s">
        <v>1014</v>
      </c>
      <c r="E424">
        <v>1</v>
      </c>
      <c r="F424">
        <v>6</v>
      </c>
      <c r="G424" t="s">
        <v>3621</v>
      </c>
      <c r="H424">
        <v>6</v>
      </c>
    </row>
    <row r="425" spans="1:8" x14ac:dyDescent="0.3">
      <c r="A425">
        <v>424</v>
      </c>
      <c r="B425" t="s">
        <v>440</v>
      </c>
      <c r="C425" t="s">
        <v>986</v>
      </c>
      <c r="D425" t="s">
        <v>1016</v>
      </c>
      <c r="E425">
        <v>5</v>
      </c>
      <c r="F425">
        <v>15</v>
      </c>
      <c r="G425" t="s">
        <v>3619</v>
      </c>
      <c r="H425">
        <v>3</v>
      </c>
    </row>
    <row r="426" spans="1:8" x14ac:dyDescent="0.3">
      <c r="A426">
        <v>425</v>
      </c>
      <c r="B426" t="s">
        <v>208</v>
      </c>
      <c r="C426" t="s">
        <v>986</v>
      </c>
      <c r="D426" t="s">
        <v>1018</v>
      </c>
      <c r="E426">
        <v>5</v>
      </c>
      <c r="F426">
        <v>15</v>
      </c>
      <c r="G426" t="s">
        <v>3619</v>
      </c>
      <c r="H426">
        <v>3</v>
      </c>
    </row>
    <row r="427" spans="1:8" x14ac:dyDescent="0.3">
      <c r="A427">
        <v>426</v>
      </c>
      <c r="B427" t="s">
        <v>341</v>
      </c>
      <c r="C427" t="s">
        <v>986</v>
      </c>
      <c r="D427" t="s">
        <v>1020</v>
      </c>
      <c r="E427">
        <v>2</v>
      </c>
      <c r="F427">
        <v>7</v>
      </c>
      <c r="G427" t="s">
        <v>3621</v>
      </c>
      <c r="H427">
        <v>3</v>
      </c>
    </row>
    <row r="428" spans="1:8" x14ac:dyDescent="0.3">
      <c r="A428">
        <v>427</v>
      </c>
      <c r="B428" t="s">
        <v>938</v>
      </c>
      <c r="C428" t="s">
        <v>986</v>
      </c>
      <c r="D428" t="s">
        <v>266</v>
      </c>
      <c r="E428">
        <v>2</v>
      </c>
      <c r="F428">
        <v>6</v>
      </c>
      <c r="G428" t="s">
        <v>3621</v>
      </c>
      <c r="H428">
        <v>3</v>
      </c>
    </row>
    <row r="429" spans="1:8" x14ac:dyDescent="0.3">
      <c r="A429">
        <v>428</v>
      </c>
      <c r="B429" t="s">
        <v>344</v>
      </c>
      <c r="C429" t="s">
        <v>986</v>
      </c>
      <c r="D429" t="s">
        <v>1023</v>
      </c>
      <c r="E429">
        <v>3</v>
      </c>
      <c r="F429">
        <v>12</v>
      </c>
      <c r="G429" t="s">
        <v>3619</v>
      </c>
      <c r="H429">
        <v>5</v>
      </c>
    </row>
    <row r="430" spans="1:8" x14ac:dyDescent="0.3">
      <c r="A430">
        <v>429</v>
      </c>
      <c r="B430" t="s">
        <v>350</v>
      </c>
      <c r="C430" t="s">
        <v>986</v>
      </c>
      <c r="D430" t="s">
        <v>1025</v>
      </c>
      <c r="E430">
        <v>1</v>
      </c>
      <c r="F430">
        <v>5</v>
      </c>
      <c r="G430" t="s">
        <v>3619</v>
      </c>
      <c r="H430">
        <v>5</v>
      </c>
    </row>
    <row r="431" spans="1:8" x14ac:dyDescent="0.3">
      <c r="A431">
        <v>430</v>
      </c>
      <c r="B431" t="s">
        <v>73</v>
      </c>
      <c r="C431" t="s">
        <v>986</v>
      </c>
      <c r="D431" t="s">
        <v>785</v>
      </c>
      <c r="E431">
        <v>3</v>
      </c>
      <c r="F431">
        <v>9</v>
      </c>
      <c r="G431" t="s">
        <v>3619</v>
      </c>
      <c r="H431">
        <v>3</v>
      </c>
    </row>
    <row r="432" spans="1:8" x14ac:dyDescent="0.3">
      <c r="A432">
        <v>431</v>
      </c>
      <c r="B432" t="s">
        <v>1027</v>
      </c>
      <c r="C432" t="s">
        <v>986</v>
      </c>
      <c r="D432" t="s">
        <v>1029</v>
      </c>
      <c r="E432">
        <v>3</v>
      </c>
      <c r="F432">
        <v>9</v>
      </c>
      <c r="G432" t="s">
        <v>3619</v>
      </c>
      <c r="H432">
        <v>3</v>
      </c>
    </row>
    <row r="433" spans="1:8" x14ac:dyDescent="0.3">
      <c r="A433">
        <v>432</v>
      </c>
      <c r="B433" t="s">
        <v>1030</v>
      </c>
      <c r="C433" t="s">
        <v>986</v>
      </c>
      <c r="D433" t="s">
        <v>1032</v>
      </c>
      <c r="E433">
        <v>1</v>
      </c>
      <c r="F433">
        <v>4</v>
      </c>
      <c r="G433" t="s">
        <v>3621</v>
      </c>
      <c r="H433">
        <v>4</v>
      </c>
    </row>
    <row r="434" spans="1:8" x14ac:dyDescent="0.3">
      <c r="A434">
        <v>433</v>
      </c>
      <c r="B434" t="s">
        <v>1033</v>
      </c>
      <c r="C434" t="s">
        <v>986</v>
      </c>
      <c r="D434" t="s">
        <v>1035</v>
      </c>
      <c r="E434">
        <v>1</v>
      </c>
      <c r="F434">
        <v>3</v>
      </c>
      <c r="G434" t="s">
        <v>3623</v>
      </c>
      <c r="H434">
        <v>3</v>
      </c>
    </row>
    <row r="435" spans="1:8" x14ac:dyDescent="0.3">
      <c r="A435">
        <v>434</v>
      </c>
      <c r="B435" t="s">
        <v>958</v>
      </c>
      <c r="C435" t="s">
        <v>986</v>
      </c>
      <c r="D435" t="s">
        <v>1016</v>
      </c>
      <c r="E435">
        <v>5</v>
      </c>
      <c r="F435">
        <v>15</v>
      </c>
      <c r="G435" t="s">
        <v>3619</v>
      </c>
      <c r="H435">
        <v>3</v>
      </c>
    </row>
    <row r="436" spans="1:8" x14ac:dyDescent="0.3">
      <c r="A436">
        <v>435</v>
      </c>
      <c r="B436" t="s">
        <v>961</v>
      </c>
      <c r="C436" t="s">
        <v>986</v>
      </c>
      <c r="D436" t="s">
        <v>90</v>
      </c>
      <c r="E436">
        <v>3</v>
      </c>
      <c r="F436">
        <v>10</v>
      </c>
      <c r="G436" t="s">
        <v>3619</v>
      </c>
      <c r="H436">
        <v>3</v>
      </c>
    </row>
    <row r="437" spans="1:8" x14ac:dyDescent="0.3">
      <c r="A437">
        <v>436</v>
      </c>
      <c r="B437" t="s">
        <v>1038</v>
      </c>
      <c r="C437" t="s">
        <v>986</v>
      </c>
      <c r="D437" t="s">
        <v>1020</v>
      </c>
      <c r="E437">
        <v>2</v>
      </c>
      <c r="F437">
        <v>7</v>
      </c>
      <c r="G437" t="s">
        <v>3621</v>
      </c>
      <c r="H437">
        <v>4</v>
      </c>
    </row>
    <row r="438" spans="1:8" x14ac:dyDescent="0.3">
      <c r="A438">
        <v>437</v>
      </c>
      <c r="B438" t="s">
        <v>240</v>
      </c>
      <c r="C438" t="s">
        <v>986</v>
      </c>
      <c r="D438" t="s">
        <v>1041</v>
      </c>
      <c r="E438">
        <v>2</v>
      </c>
      <c r="F438">
        <v>8</v>
      </c>
      <c r="G438" t="s">
        <v>3619</v>
      </c>
      <c r="H438">
        <v>5</v>
      </c>
    </row>
    <row r="439" spans="1:8" x14ac:dyDescent="0.3">
      <c r="A439">
        <v>438</v>
      </c>
      <c r="B439" t="s">
        <v>1042</v>
      </c>
      <c r="C439" t="s">
        <v>986</v>
      </c>
      <c r="D439" t="s">
        <v>1029</v>
      </c>
      <c r="E439">
        <v>3</v>
      </c>
      <c r="F439">
        <v>9</v>
      </c>
      <c r="G439" t="s">
        <v>3619</v>
      </c>
      <c r="H439">
        <v>3</v>
      </c>
    </row>
    <row r="440" spans="1:8" x14ac:dyDescent="0.3">
      <c r="A440">
        <v>439</v>
      </c>
      <c r="B440" t="s">
        <v>864</v>
      </c>
      <c r="C440" t="s">
        <v>986</v>
      </c>
      <c r="D440" t="s">
        <v>1045</v>
      </c>
      <c r="E440">
        <v>3</v>
      </c>
      <c r="F440">
        <v>9</v>
      </c>
      <c r="G440" t="s">
        <v>3619</v>
      </c>
      <c r="H440">
        <v>3</v>
      </c>
    </row>
    <row r="441" spans="1:8" x14ac:dyDescent="0.3">
      <c r="A441">
        <v>440</v>
      </c>
      <c r="B441" t="s">
        <v>1046</v>
      </c>
      <c r="C441" t="s">
        <v>986</v>
      </c>
      <c r="D441" t="s">
        <v>1048</v>
      </c>
      <c r="E441">
        <v>1</v>
      </c>
      <c r="F441">
        <v>4</v>
      </c>
      <c r="G441" t="s">
        <v>3621</v>
      </c>
      <c r="H441">
        <v>4</v>
      </c>
    </row>
    <row r="442" spans="1:8" x14ac:dyDescent="0.3">
      <c r="A442">
        <v>441</v>
      </c>
      <c r="B442" t="s">
        <v>611</v>
      </c>
      <c r="C442" t="s">
        <v>986</v>
      </c>
      <c r="D442" t="s">
        <v>1029</v>
      </c>
      <c r="E442">
        <v>3</v>
      </c>
      <c r="F442">
        <v>9</v>
      </c>
      <c r="G442" t="s">
        <v>3619</v>
      </c>
      <c r="H442">
        <v>3</v>
      </c>
    </row>
    <row r="443" spans="1:8" x14ac:dyDescent="0.3">
      <c r="A443">
        <v>442</v>
      </c>
      <c r="B443" t="s">
        <v>729</v>
      </c>
      <c r="C443" t="s">
        <v>986</v>
      </c>
      <c r="D443" t="s">
        <v>1051</v>
      </c>
      <c r="E443">
        <v>2</v>
      </c>
      <c r="F443">
        <v>7</v>
      </c>
      <c r="G443" t="s">
        <v>3621</v>
      </c>
      <c r="H443">
        <v>4</v>
      </c>
    </row>
    <row r="444" spans="1:8" x14ac:dyDescent="0.3">
      <c r="A444">
        <v>443</v>
      </c>
      <c r="B444" t="s">
        <v>1052</v>
      </c>
      <c r="C444" t="s">
        <v>986</v>
      </c>
      <c r="D444" t="s">
        <v>1045</v>
      </c>
      <c r="E444">
        <v>3</v>
      </c>
      <c r="F444">
        <v>9</v>
      </c>
      <c r="G444" t="s">
        <v>3619</v>
      </c>
      <c r="H444">
        <v>3</v>
      </c>
    </row>
    <row r="445" spans="1:8" x14ac:dyDescent="0.3">
      <c r="A445">
        <v>444</v>
      </c>
      <c r="B445" t="s">
        <v>1054</v>
      </c>
      <c r="C445" t="s">
        <v>986</v>
      </c>
      <c r="D445" t="s">
        <v>1056</v>
      </c>
      <c r="E445">
        <v>2</v>
      </c>
      <c r="F445">
        <v>8</v>
      </c>
      <c r="G445" t="s">
        <v>3619</v>
      </c>
      <c r="H445">
        <v>4</v>
      </c>
    </row>
    <row r="446" spans="1:8" x14ac:dyDescent="0.3">
      <c r="A446">
        <v>445</v>
      </c>
      <c r="B446" t="s">
        <v>1057</v>
      </c>
      <c r="C446" t="s">
        <v>986</v>
      </c>
      <c r="D446" t="s">
        <v>1018</v>
      </c>
      <c r="E446">
        <v>5</v>
      </c>
      <c r="F446">
        <v>15</v>
      </c>
      <c r="G446" t="s">
        <v>3619</v>
      </c>
      <c r="H446">
        <v>3</v>
      </c>
    </row>
    <row r="447" spans="1:8" x14ac:dyDescent="0.3">
      <c r="A447">
        <v>446</v>
      </c>
      <c r="B447" t="s">
        <v>1059</v>
      </c>
      <c r="C447" t="s">
        <v>986</v>
      </c>
      <c r="D447" t="s">
        <v>309</v>
      </c>
      <c r="E447">
        <v>3</v>
      </c>
      <c r="F447">
        <v>9</v>
      </c>
      <c r="G447" t="s">
        <v>3619</v>
      </c>
      <c r="H447">
        <v>3</v>
      </c>
    </row>
    <row r="448" spans="1:8" x14ac:dyDescent="0.3">
      <c r="A448">
        <v>447</v>
      </c>
      <c r="B448" t="s">
        <v>377</v>
      </c>
      <c r="C448" t="s">
        <v>986</v>
      </c>
      <c r="D448" t="s">
        <v>349</v>
      </c>
      <c r="E448">
        <v>1</v>
      </c>
      <c r="F448">
        <v>3</v>
      </c>
      <c r="G448" t="s">
        <v>3621</v>
      </c>
      <c r="H448">
        <v>3</v>
      </c>
    </row>
    <row r="449" spans="1:8" x14ac:dyDescent="0.3">
      <c r="A449">
        <v>448</v>
      </c>
      <c r="B449" t="s">
        <v>1062</v>
      </c>
      <c r="C449" t="s">
        <v>986</v>
      </c>
      <c r="D449" t="s">
        <v>266</v>
      </c>
      <c r="E449">
        <v>2</v>
      </c>
      <c r="F449">
        <v>6</v>
      </c>
      <c r="G449" t="s">
        <v>3621</v>
      </c>
      <c r="H449">
        <v>3</v>
      </c>
    </row>
    <row r="450" spans="1:8" x14ac:dyDescent="0.3">
      <c r="A450">
        <v>449</v>
      </c>
      <c r="B450" t="s">
        <v>486</v>
      </c>
      <c r="C450" t="s">
        <v>986</v>
      </c>
      <c r="D450" t="s">
        <v>1065</v>
      </c>
      <c r="E450">
        <v>5</v>
      </c>
      <c r="F450">
        <v>15</v>
      </c>
      <c r="G450" t="s">
        <v>3619</v>
      </c>
      <c r="H450">
        <v>3</v>
      </c>
    </row>
    <row r="451" spans="1:8" x14ac:dyDescent="0.3">
      <c r="A451">
        <v>450</v>
      </c>
      <c r="B451" t="s">
        <v>1066</v>
      </c>
      <c r="C451" t="s">
        <v>986</v>
      </c>
      <c r="D451" t="s">
        <v>309</v>
      </c>
      <c r="E451">
        <v>3</v>
      </c>
      <c r="F451">
        <v>9</v>
      </c>
      <c r="G451" t="s">
        <v>3619</v>
      </c>
      <c r="H451">
        <v>3</v>
      </c>
    </row>
    <row r="452" spans="1:8" x14ac:dyDescent="0.3">
      <c r="A452">
        <v>451</v>
      </c>
      <c r="B452" t="s">
        <v>885</v>
      </c>
      <c r="C452" t="s">
        <v>986</v>
      </c>
      <c r="D452" t="s">
        <v>1069</v>
      </c>
      <c r="E452">
        <v>3</v>
      </c>
      <c r="F452">
        <v>9</v>
      </c>
      <c r="G452" t="s">
        <v>3619</v>
      </c>
      <c r="H452">
        <v>3</v>
      </c>
    </row>
    <row r="453" spans="1:8" x14ac:dyDescent="0.3">
      <c r="A453">
        <v>452</v>
      </c>
      <c r="B453" t="s">
        <v>1070</v>
      </c>
      <c r="C453" t="s">
        <v>986</v>
      </c>
      <c r="D453" t="s">
        <v>333</v>
      </c>
      <c r="E453">
        <v>1</v>
      </c>
      <c r="F453">
        <v>3</v>
      </c>
      <c r="G453" t="s">
        <v>3619</v>
      </c>
      <c r="H453">
        <v>3</v>
      </c>
    </row>
    <row r="454" spans="1:8" x14ac:dyDescent="0.3">
      <c r="A454">
        <v>453</v>
      </c>
      <c r="B454" t="s">
        <v>60</v>
      </c>
      <c r="C454" t="s">
        <v>1072</v>
      </c>
      <c r="D454" t="s">
        <v>1074</v>
      </c>
      <c r="E454">
        <v>8</v>
      </c>
      <c r="F454">
        <v>24</v>
      </c>
      <c r="G454" t="s">
        <v>3619</v>
      </c>
      <c r="H454">
        <v>3</v>
      </c>
    </row>
    <row r="455" spans="1:8" x14ac:dyDescent="0.3">
      <c r="A455">
        <v>454</v>
      </c>
      <c r="B455" t="s">
        <v>1075</v>
      </c>
      <c r="C455" t="s">
        <v>1072</v>
      </c>
      <c r="D455" t="s">
        <v>1077</v>
      </c>
      <c r="E455">
        <v>4</v>
      </c>
      <c r="F455">
        <v>15</v>
      </c>
      <c r="G455" t="s">
        <v>3619</v>
      </c>
      <c r="H455">
        <v>4</v>
      </c>
    </row>
    <row r="456" spans="1:8" x14ac:dyDescent="0.3">
      <c r="A456">
        <v>455</v>
      </c>
      <c r="B456" t="s">
        <v>1078</v>
      </c>
      <c r="C456" t="s">
        <v>1072</v>
      </c>
      <c r="D456" t="s">
        <v>213</v>
      </c>
      <c r="E456">
        <v>4</v>
      </c>
      <c r="F456">
        <v>12</v>
      </c>
      <c r="G456" t="s">
        <v>3619</v>
      </c>
      <c r="H456">
        <v>3</v>
      </c>
    </row>
    <row r="457" spans="1:8" x14ac:dyDescent="0.3">
      <c r="A457">
        <v>456</v>
      </c>
      <c r="B457" t="s">
        <v>99</v>
      </c>
      <c r="C457" t="s">
        <v>1072</v>
      </c>
      <c r="D457" t="s">
        <v>1081</v>
      </c>
      <c r="E457">
        <v>4</v>
      </c>
      <c r="F457">
        <v>15</v>
      </c>
      <c r="G457" t="s">
        <v>3619</v>
      </c>
      <c r="H457">
        <v>4</v>
      </c>
    </row>
    <row r="458" spans="1:8" x14ac:dyDescent="0.3">
      <c r="A458">
        <v>457</v>
      </c>
      <c r="B458" t="s">
        <v>1082</v>
      </c>
      <c r="C458" t="s">
        <v>1072</v>
      </c>
      <c r="D458" t="s">
        <v>1084</v>
      </c>
      <c r="E458">
        <v>1</v>
      </c>
      <c r="F458">
        <v>3</v>
      </c>
      <c r="G458" t="s">
        <v>3621</v>
      </c>
      <c r="H458">
        <v>3</v>
      </c>
    </row>
    <row r="459" spans="1:8" x14ac:dyDescent="0.3">
      <c r="A459">
        <v>458</v>
      </c>
      <c r="B459" t="s">
        <v>502</v>
      </c>
      <c r="C459" t="s">
        <v>1072</v>
      </c>
      <c r="D459" t="s">
        <v>104</v>
      </c>
      <c r="E459">
        <v>4</v>
      </c>
      <c r="F459">
        <v>13</v>
      </c>
      <c r="G459" t="s">
        <v>3619</v>
      </c>
      <c r="H459">
        <v>3</v>
      </c>
    </row>
    <row r="460" spans="1:8" x14ac:dyDescent="0.3">
      <c r="A460">
        <v>459</v>
      </c>
      <c r="B460" t="s">
        <v>1086</v>
      </c>
      <c r="C460" t="s">
        <v>1072</v>
      </c>
      <c r="D460" t="s">
        <v>333</v>
      </c>
      <c r="E460">
        <v>2</v>
      </c>
      <c r="F460">
        <v>7</v>
      </c>
      <c r="G460" t="s">
        <v>3619</v>
      </c>
      <c r="H460">
        <v>4</v>
      </c>
    </row>
    <row r="461" spans="1:8" x14ac:dyDescent="0.3">
      <c r="A461">
        <v>460</v>
      </c>
      <c r="B461" t="s">
        <v>656</v>
      </c>
      <c r="C461" t="s">
        <v>1072</v>
      </c>
      <c r="D461" t="s">
        <v>213</v>
      </c>
      <c r="E461">
        <v>4</v>
      </c>
      <c r="F461">
        <v>12</v>
      </c>
      <c r="G461" t="s">
        <v>3619</v>
      </c>
      <c r="H461">
        <v>3</v>
      </c>
    </row>
    <row r="462" spans="1:8" x14ac:dyDescent="0.3">
      <c r="A462">
        <v>461</v>
      </c>
      <c r="B462" t="s">
        <v>1089</v>
      </c>
      <c r="C462" t="s">
        <v>1072</v>
      </c>
      <c r="D462" t="s">
        <v>104</v>
      </c>
      <c r="E462">
        <v>4</v>
      </c>
      <c r="F462">
        <v>13</v>
      </c>
      <c r="G462" t="s">
        <v>3619</v>
      </c>
      <c r="H462">
        <v>3</v>
      </c>
    </row>
    <row r="463" spans="1:8" x14ac:dyDescent="0.3">
      <c r="A463">
        <v>462</v>
      </c>
      <c r="B463" t="s">
        <v>42</v>
      </c>
      <c r="C463" t="s">
        <v>1072</v>
      </c>
      <c r="D463" t="s">
        <v>1074</v>
      </c>
      <c r="E463">
        <v>8</v>
      </c>
      <c r="F463">
        <v>24</v>
      </c>
      <c r="G463" t="s">
        <v>3619</v>
      </c>
      <c r="H463">
        <v>3</v>
      </c>
    </row>
    <row r="464" spans="1:8" x14ac:dyDescent="0.3">
      <c r="A464">
        <v>463</v>
      </c>
      <c r="B464" t="s">
        <v>1092</v>
      </c>
      <c r="C464" t="s">
        <v>1072</v>
      </c>
      <c r="D464" t="s">
        <v>1094</v>
      </c>
      <c r="E464">
        <v>1</v>
      </c>
      <c r="F464">
        <v>3</v>
      </c>
      <c r="G464" t="s">
        <v>3619</v>
      </c>
      <c r="H464">
        <v>3</v>
      </c>
    </row>
    <row r="465" spans="1:8" x14ac:dyDescent="0.3">
      <c r="A465">
        <v>464</v>
      </c>
      <c r="B465" t="s">
        <v>1095</v>
      </c>
      <c r="C465" t="s">
        <v>1072</v>
      </c>
      <c r="D465" t="s">
        <v>213</v>
      </c>
      <c r="E465">
        <v>4</v>
      </c>
      <c r="F465">
        <v>12</v>
      </c>
      <c r="G465" t="s">
        <v>3619</v>
      </c>
      <c r="H465">
        <v>3</v>
      </c>
    </row>
    <row r="466" spans="1:8" x14ac:dyDescent="0.3">
      <c r="A466">
        <v>465</v>
      </c>
      <c r="B466" t="s">
        <v>1097</v>
      </c>
      <c r="C466" t="s">
        <v>1072</v>
      </c>
      <c r="D466" t="s">
        <v>1074</v>
      </c>
      <c r="E466">
        <v>8</v>
      </c>
      <c r="F466">
        <v>24</v>
      </c>
      <c r="G466" t="s">
        <v>3619</v>
      </c>
      <c r="H466">
        <v>3</v>
      </c>
    </row>
    <row r="467" spans="1:8" x14ac:dyDescent="0.3">
      <c r="A467">
        <v>466</v>
      </c>
      <c r="B467" t="s">
        <v>1099</v>
      </c>
      <c r="C467" t="s">
        <v>1072</v>
      </c>
      <c r="D467" t="s">
        <v>1101</v>
      </c>
      <c r="E467">
        <v>4</v>
      </c>
      <c r="F467">
        <v>15</v>
      </c>
      <c r="G467" t="s">
        <v>3619</v>
      </c>
      <c r="H467">
        <v>4</v>
      </c>
    </row>
    <row r="468" spans="1:8" x14ac:dyDescent="0.3">
      <c r="A468">
        <v>467</v>
      </c>
      <c r="B468" t="s">
        <v>164</v>
      </c>
      <c r="C468" t="s">
        <v>1072</v>
      </c>
      <c r="D468" t="s">
        <v>1074</v>
      </c>
      <c r="E468">
        <v>8</v>
      </c>
      <c r="F468">
        <v>24</v>
      </c>
      <c r="G468" t="s">
        <v>3619</v>
      </c>
      <c r="H468">
        <v>3</v>
      </c>
    </row>
    <row r="469" spans="1:8" x14ac:dyDescent="0.3">
      <c r="A469">
        <v>468</v>
      </c>
      <c r="B469" t="s">
        <v>36</v>
      </c>
      <c r="C469" t="s">
        <v>1072</v>
      </c>
      <c r="D469" t="s">
        <v>1074</v>
      </c>
      <c r="E469">
        <v>8</v>
      </c>
      <c r="F469">
        <v>24</v>
      </c>
      <c r="G469" t="s">
        <v>3619</v>
      </c>
      <c r="H469">
        <v>3</v>
      </c>
    </row>
    <row r="470" spans="1:8" x14ac:dyDescent="0.3">
      <c r="A470">
        <v>469</v>
      </c>
      <c r="B470" t="s">
        <v>35</v>
      </c>
      <c r="C470" t="s">
        <v>1072</v>
      </c>
      <c r="D470" t="s">
        <v>1014</v>
      </c>
      <c r="E470">
        <v>1</v>
      </c>
      <c r="F470">
        <v>6</v>
      </c>
      <c r="G470" t="s">
        <v>3621</v>
      </c>
      <c r="H470">
        <v>6</v>
      </c>
    </row>
    <row r="471" spans="1:8" x14ac:dyDescent="0.3">
      <c r="A471">
        <v>470</v>
      </c>
      <c r="B471" t="s">
        <v>929</v>
      </c>
      <c r="C471" t="s">
        <v>1072</v>
      </c>
      <c r="D471" t="s">
        <v>1074</v>
      </c>
      <c r="E471">
        <v>8</v>
      </c>
      <c r="F471">
        <v>24</v>
      </c>
      <c r="G471" t="s">
        <v>3619</v>
      </c>
      <c r="H471">
        <v>3</v>
      </c>
    </row>
    <row r="472" spans="1:8" x14ac:dyDescent="0.3">
      <c r="A472">
        <v>471</v>
      </c>
      <c r="B472" t="s">
        <v>1106</v>
      </c>
      <c r="C472" t="s">
        <v>1072</v>
      </c>
      <c r="D472" t="s">
        <v>1074</v>
      </c>
      <c r="E472">
        <v>8</v>
      </c>
      <c r="F472">
        <v>24</v>
      </c>
      <c r="G472" t="s">
        <v>3619</v>
      </c>
      <c r="H472">
        <v>3</v>
      </c>
    </row>
    <row r="473" spans="1:8" x14ac:dyDescent="0.3">
      <c r="A473">
        <v>472</v>
      </c>
      <c r="B473" t="s">
        <v>932</v>
      </c>
      <c r="C473" t="s">
        <v>1072</v>
      </c>
      <c r="D473" t="s">
        <v>1109</v>
      </c>
      <c r="E473">
        <v>1</v>
      </c>
      <c r="F473">
        <v>3</v>
      </c>
      <c r="G473" t="s">
        <v>3621</v>
      </c>
      <c r="H473">
        <v>3</v>
      </c>
    </row>
    <row r="474" spans="1:8" x14ac:dyDescent="0.3">
      <c r="A474">
        <v>473</v>
      </c>
      <c r="B474" t="s">
        <v>935</v>
      </c>
      <c r="C474" t="s">
        <v>1072</v>
      </c>
      <c r="D474" t="s">
        <v>1074</v>
      </c>
      <c r="E474">
        <v>8</v>
      </c>
      <c r="F474">
        <v>24</v>
      </c>
      <c r="G474" t="s">
        <v>3619</v>
      </c>
      <c r="H474">
        <v>3</v>
      </c>
    </row>
    <row r="475" spans="1:8" x14ac:dyDescent="0.3">
      <c r="A475">
        <v>474</v>
      </c>
      <c r="B475" t="s">
        <v>1111</v>
      </c>
      <c r="C475" t="s">
        <v>1072</v>
      </c>
      <c r="D475" t="s">
        <v>1113</v>
      </c>
      <c r="E475">
        <v>4</v>
      </c>
      <c r="F475">
        <v>15</v>
      </c>
      <c r="G475" t="s">
        <v>3619</v>
      </c>
      <c r="H475">
        <v>3</v>
      </c>
    </row>
    <row r="476" spans="1:8" x14ac:dyDescent="0.3">
      <c r="A476">
        <v>475</v>
      </c>
      <c r="B476" t="s">
        <v>1114</v>
      </c>
      <c r="C476" t="s">
        <v>1072</v>
      </c>
      <c r="D476" t="s">
        <v>213</v>
      </c>
      <c r="E476">
        <v>4</v>
      </c>
      <c r="F476">
        <v>12</v>
      </c>
      <c r="G476" t="s">
        <v>3619</v>
      </c>
      <c r="H476">
        <v>3</v>
      </c>
    </row>
    <row r="477" spans="1:8" x14ac:dyDescent="0.3">
      <c r="A477">
        <v>476</v>
      </c>
      <c r="B477" t="s">
        <v>1116</v>
      </c>
      <c r="C477" t="s">
        <v>1072</v>
      </c>
      <c r="D477" t="s">
        <v>1118</v>
      </c>
      <c r="E477">
        <v>1</v>
      </c>
      <c r="F477">
        <v>3</v>
      </c>
      <c r="G477" t="s">
        <v>3621</v>
      </c>
      <c r="H477">
        <v>3</v>
      </c>
    </row>
    <row r="478" spans="1:8" x14ac:dyDescent="0.3">
      <c r="A478">
        <v>477</v>
      </c>
      <c r="B478" t="s">
        <v>1119</v>
      </c>
      <c r="C478" t="s">
        <v>1072</v>
      </c>
      <c r="D478" t="s">
        <v>1121</v>
      </c>
      <c r="E478">
        <v>1</v>
      </c>
      <c r="F478">
        <v>4</v>
      </c>
      <c r="G478" t="s">
        <v>3619</v>
      </c>
      <c r="H478">
        <v>4</v>
      </c>
    </row>
    <row r="479" spans="1:8" x14ac:dyDescent="0.3">
      <c r="A479">
        <v>478</v>
      </c>
      <c r="B479" t="s">
        <v>853</v>
      </c>
      <c r="C479" t="s">
        <v>1072</v>
      </c>
      <c r="D479" t="s">
        <v>1123</v>
      </c>
      <c r="E479">
        <v>1</v>
      </c>
      <c r="F479">
        <v>3</v>
      </c>
      <c r="G479" t="s">
        <v>3619</v>
      </c>
      <c r="H479">
        <v>3</v>
      </c>
    </row>
    <row r="480" spans="1:8" x14ac:dyDescent="0.3">
      <c r="A480">
        <v>479</v>
      </c>
      <c r="B480" t="s">
        <v>1124</v>
      </c>
      <c r="C480" t="s">
        <v>1072</v>
      </c>
      <c r="D480" t="s">
        <v>1126</v>
      </c>
      <c r="E480">
        <v>1</v>
      </c>
      <c r="F480">
        <v>3</v>
      </c>
      <c r="G480" t="s">
        <v>3621</v>
      </c>
      <c r="H480">
        <v>3</v>
      </c>
    </row>
    <row r="481" spans="1:8" x14ac:dyDescent="0.3">
      <c r="A481">
        <v>480</v>
      </c>
      <c r="B481" t="s">
        <v>44</v>
      </c>
      <c r="C481" t="s">
        <v>1072</v>
      </c>
      <c r="D481" t="s">
        <v>1128</v>
      </c>
      <c r="E481">
        <v>1</v>
      </c>
      <c r="F481">
        <v>5</v>
      </c>
      <c r="G481" t="s">
        <v>3623</v>
      </c>
      <c r="H481">
        <v>5</v>
      </c>
    </row>
    <row r="482" spans="1:8" x14ac:dyDescent="0.3">
      <c r="A482">
        <v>481</v>
      </c>
      <c r="B482" t="s">
        <v>1129</v>
      </c>
      <c r="C482" t="s">
        <v>1072</v>
      </c>
      <c r="D482" t="s">
        <v>1131</v>
      </c>
      <c r="E482">
        <v>1</v>
      </c>
      <c r="F482">
        <v>5</v>
      </c>
      <c r="G482" t="s">
        <v>3619</v>
      </c>
      <c r="H482">
        <v>5</v>
      </c>
    </row>
    <row r="483" spans="1:8" x14ac:dyDescent="0.3">
      <c r="A483">
        <v>482</v>
      </c>
      <c r="B483" t="s">
        <v>1132</v>
      </c>
      <c r="C483" t="s">
        <v>1072</v>
      </c>
      <c r="D483" t="s">
        <v>887</v>
      </c>
      <c r="E483">
        <v>2</v>
      </c>
      <c r="F483">
        <v>7</v>
      </c>
      <c r="G483" t="s">
        <v>3619</v>
      </c>
      <c r="H483">
        <v>3</v>
      </c>
    </row>
    <row r="484" spans="1:8" x14ac:dyDescent="0.3">
      <c r="A484">
        <v>483</v>
      </c>
      <c r="B484" t="s">
        <v>1134</v>
      </c>
      <c r="C484" t="s">
        <v>1072</v>
      </c>
      <c r="D484" t="s">
        <v>553</v>
      </c>
      <c r="E484">
        <v>2</v>
      </c>
      <c r="F484">
        <v>6</v>
      </c>
      <c r="G484" t="s">
        <v>3621</v>
      </c>
      <c r="H484">
        <v>3</v>
      </c>
    </row>
    <row r="485" spans="1:8" x14ac:dyDescent="0.3">
      <c r="A485">
        <v>484</v>
      </c>
      <c r="B485" t="s">
        <v>1059</v>
      </c>
      <c r="C485" t="s">
        <v>1072</v>
      </c>
      <c r="D485" t="s">
        <v>104</v>
      </c>
      <c r="E485">
        <v>4</v>
      </c>
      <c r="F485">
        <v>13</v>
      </c>
      <c r="G485" t="s">
        <v>3619</v>
      </c>
      <c r="H485">
        <v>3</v>
      </c>
    </row>
    <row r="486" spans="1:8" x14ac:dyDescent="0.3">
      <c r="A486">
        <v>485</v>
      </c>
      <c r="B486" t="s">
        <v>377</v>
      </c>
      <c r="C486" t="s">
        <v>1072</v>
      </c>
      <c r="D486" t="s">
        <v>973</v>
      </c>
      <c r="E486">
        <v>1</v>
      </c>
      <c r="F486">
        <v>3</v>
      </c>
      <c r="G486" t="s">
        <v>3619</v>
      </c>
      <c r="H486">
        <v>3</v>
      </c>
    </row>
    <row r="487" spans="1:8" x14ac:dyDescent="0.3">
      <c r="A487">
        <v>486</v>
      </c>
      <c r="B487" t="s">
        <v>1066</v>
      </c>
      <c r="C487" t="s">
        <v>1072</v>
      </c>
      <c r="D487" t="s">
        <v>104</v>
      </c>
      <c r="E487">
        <v>4</v>
      </c>
      <c r="F487">
        <v>13</v>
      </c>
      <c r="G487" t="s">
        <v>3619</v>
      </c>
      <c r="H487">
        <v>4</v>
      </c>
    </row>
    <row r="488" spans="1:8" x14ac:dyDescent="0.3">
      <c r="A488">
        <v>487</v>
      </c>
      <c r="B488" t="s">
        <v>1139</v>
      </c>
      <c r="C488" t="s">
        <v>1072</v>
      </c>
      <c r="D488" t="s">
        <v>553</v>
      </c>
      <c r="E488">
        <v>2</v>
      </c>
      <c r="F488">
        <v>6</v>
      </c>
      <c r="G488" t="s">
        <v>3621</v>
      </c>
      <c r="H488">
        <v>3</v>
      </c>
    </row>
    <row r="489" spans="1:8" x14ac:dyDescent="0.3">
      <c r="A489">
        <v>488</v>
      </c>
      <c r="B489" t="s">
        <v>1141</v>
      </c>
      <c r="C489" t="s">
        <v>1142</v>
      </c>
      <c r="D489" t="s">
        <v>1144</v>
      </c>
      <c r="E489">
        <v>3</v>
      </c>
      <c r="F489">
        <v>9</v>
      </c>
      <c r="G489" t="s">
        <v>3625</v>
      </c>
      <c r="H489">
        <v>3</v>
      </c>
    </row>
    <row r="490" spans="1:8" x14ac:dyDescent="0.3">
      <c r="A490">
        <v>489</v>
      </c>
      <c r="B490" t="s">
        <v>287</v>
      </c>
      <c r="C490" t="s">
        <v>1142</v>
      </c>
      <c r="D490" t="s">
        <v>1146</v>
      </c>
      <c r="E490">
        <v>2</v>
      </c>
      <c r="F490">
        <v>6</v>
      </c>
      <c r="G490" t="s">
        <v>3621</v>
      </c>
      <c r="H490">
        <v>3</v>
      </c>
    </row>
    <row r="491" spans="1:8" x14ac:dyDescent="0.3">
      <c r="A491">
        <v>490</v>
      </c>
      <c r="B491" t="s">
        <v>91</v>
      </c>
      <c r="C491" t="s">
        <v>1142</v>
      </c>
      <c r="D491" t="s">
        <v>1148</v>
      </c>
      <c r="E491">
        <v>2</v>
      </c>
      <c r="F491">
        <v>6</v>
      </c>
      <c r="G491" t="s">
        <v>3621</v>
      </c>
      <c r="H491">
        <v>3</v>
      </c>
    </row>
    <row r="492" spans="1:8" x14ac:dyDescent="0.3">
      <c r="A492">
        <v>491</v>
      </c>
      <c r="B492" t="s">
        <v>1149</v>
      </c>
      <c r="C492" t="s">
        <v>1142</v>
      </c>
      <c r="D492" t="s">
        <v>1151</v>
      </c>
      <c r="E492">
        <v>2</v>
      </c>
      <c r="F492">
        <v>7</v>
      </c>
      <c r="G492" t="s">
        <v>3621</v>
      </c>
      <c r="H492">
        <v>3</v>
      </c>
    </row>
    <row r="493" spans="1:8" x14ac:dyDescent="0.3">
      <c r="A493">
        <v>492</v>
      </c>
      <c r="B493" t="s">
        <v>393</v>
      </c>
      <c r="C493" t="s">
        <v>1142</v>
      </c>
      <c r="D493" t="s">
        <v>98</v>
      </c>
      <c r="E493">
        <v>1</v>
      </c>
      <c r="F493">
        <v>4</v>
      </c>
      <c r="G493" t="s">
        <v>3619</v>
      </c>
      <c r="H493">
        <v>4</v>
      </c>
    </row>
    <row r="494" spans="1:8" x14ac:dyDescent="0.3">
      <c r="A494">
        <v>493</v>
      </c>
      <c r="B494" t="s">
        <v>780</v>
      </c>
      <c r="C494" t="s">
        <v>1142</v>
      </c>
      <c r="D494" t="s">
        <v>1154</v>
      </c>
      <c r="E494">
        <v>5</v>
      </c>
      <c r="F494">
        <v>22</v>
      </c>
      <c r="G494" t="s">
        <v>3623</v>
      </c>
      <c r="H494">
        <v>6</v>
      </c>
    </row>
    <row r="495" spans="1:8" x14ac:dyDescent="0.3">
      <c r="A495">
        <v>494</v>
      </c>
      <c r="B495" t="s">
        <v>505</v>
      </c>
      <c r="C495" t="s">
        <v>1142</v>
      </c>
      <c r="D495" t="s">
        <v>1156</v>
      </c>
      <c r="E495">
        <v>2</v>
      </c>
      <c r="F495">
        <v>6</v>
      </c>
      <c r="G495" t="s">
        <v>3619</v>
      </c>
      <c r="H495">
        <v>3</v>
      </c>
    </row>
    <row r="496" spans="1:8" x14ac:dyDescent="0.3">
      <c r="A496">
        <v>495</v>
      </c>
      <c r="B496" t="s">
        <v>1157</v>
      </c>
      <c r="C496" t="s">
        <v>1142</v>
      </c>
      <c r="D496" t="s">
        <v>1159</v>
      </c>
      <c r="E496">
        <v>2</v>
      </c>
      <c r="F496">
        <v>6</v>
      </c>
      <c r="G496" t="s">
        <v>3619</v>
      </c>
      <c r="H496">
        <v>3</v>
      </c>
    </row>
    <row r="497" spans="1:8" x14ac:dyDescent="0.3">
      <c r="A497">
        <v>496</v>
      </c>
      <c r="B497" t="s">
        <v>27</v>
      </c>
      <c r="C497" t="s">
        <v>1142</v>
      </c>
      <c r="D497" t="s">
        <v>1161</v>
      </c>
      <c r="E497">
        <v>5</v>
      </c>
      <c r="F497">
        <v>22</v>
      </c>
      <c r="G497" t="s">
        <v>3623</v>
      </c>
      <c r="H497">
        <v>6</v>
      </c>
    </row>
    <row r="498" spans="1:8" x14ac:dyDescent="0.3">
      <c r="A498">
        <v>497</v>
      </c>
      <c r="B498" t="s">
        <v>1162</v>
      </c>
      <c r="C498" t="s">
        <v>1142</v>
      </c>
      <c r="D498" t="s">
        <v>1164</v>
      </c>
      <c r="E498">
        <v>3</v>
      </c>
      <c r="F498">
        <v>9</v>
      </c>
      <c r="G498" t="s">
        <v>3625</v>
      </c>
      <c r="H498">
        <v>3</v>
      </c>
    </row>
    <row r="499" spans="1:8" x14ac:dyDescent="0.3">
      <c r="A499">
        <v>498</v>
      </c>
      <c r="B499" t="s">
        <v>401</v>
      </c>
      <c r="C499" t="s">
        <v>1142</v>
      </c>
      <c r="D499" t="s">
        <v>1166</v>
      </c>
      <c r="E499">
        <v>1</v>
      </c>
      <c r="F499">
        <v>3</v>
      </c>
      <c r="G499" t="s">
        <v>3619</v>
      </c>
      <c r="H499">
        <v>3</v>
      </c>
    </row>
    <row r="500" spans="1:8" x14ac:dyDescent="0.3">
      <c r="A500">
        <v>499</v>
      </c>
      <c r="B500" t="s">
        <v>1167</v>
      </c>
      <c r="C500" t="s">
        <v>1142</v>
      </c>
      <c r="D500" t="s">
        <v>1169</v>
      </c>
      <c r="E500">
        <v>1</v>
      </c>
      <c r="F500">
        <v>3</v>
      </c>
      <c r="G500" t="s">
        <v>3619</v>
      </c>
      <c r="H500">
        <v>3</v>
      </c>
    </row>
    <row r="501" spans="1:8" x14ac:dyDescent="0.3">
      <c r="A501">
        <v>500</v>
      </c>
      <c r="B501" t="s">
        <v>141</v>
      </c>
      <c r="C501" t="s">
        <v>1142</v>
      </c>
      <c r="D501" t="s">
        <v>1171</v>
      </c>
      <c r="E501">
        <v>5</v>
      </c>
      <c r="F501">
        <v>22</v>
      </c>
      <c r="G501" t="s">
        <v>3623</v>
      </c>
      <c r="H501">
        <v>3</v>
      </c>
    </row>
    <row r="502" spans="1:8" x14ac:dyDescent="0.3">
      <c r="A502">
        <v>501</v>
      </c>
      <c r="B502" t="s">
        <v>802</v>
      </c>
      <c r="C502" t="s">
        <v>1142</v>
      </c>
      <c r="D502" t="s">
        <v>660</v>
      </c>
      <c r="E502">
        <v>3</v>
      </c>
      <c r="F502">
        <v>28</v>
      </c>
      <c r="G502" t="s">
        <v>3623</v>
      </c>
      <c r="H502">
        <v>11</v>
      </c>
    </row>
    <row r="503" spans="1:8" x14ac:dyDescent="0.3">
      <c r="A503">
        <v>502</v>
      </c>
      <c r="B503" t="s">
        <v>1011</v>
      </c>
      <c r="C503" t="s">
        <v>1142</v>
      </c>
      <c r="D503" t="s">
        <v>779</v>
      </c>
      <c r="E503">
        <v>1</v>
      </c>
      <c r="F503">
        <v>4</v>
      </c>
      <c r="G503" t="s">
        <v>3619</v>
      </c>
      <c r="H503">
        <v>4</v>
      </c>
    </row>
    <row r="504" spans="1:8" x14ac:dyDescent="0.3">
      <c r="A504">
        <v>503</v>
      </c>
      <c r="B504" t="s">
        <v>1174</v>
      </c>
      <c r="C504" t="s">
        <v>1142</v>
      </c>
      <c r="D504" t="s">
        <v>1176</v>
      </c>
      <c r="E504">
        <v>3</v>
      </c>
      <c r="F504">
        <v>12</v>
      </c>
      <c r="G504" t="s">
        <v>3624</v>
      </c>
      <c r="H504">
        <v>3</v>
      </c>
    </row>
    <row r="505" spans="1:8" x14ac:dyDescent="0.3">
      <c r="A505">
        <v>504</v>
      </c>
      <c r="B505" t="s">
        <v>189</v>
      </c>
      <c r="C505" t="s">
        <v>1142</v>
      </c>
      <c r="D505" t="s">
        <v>304</v>
      </c>
      <c r="E505">
        <v>1</v>
      </c>
      <c r="F505">
        <v>3</v>
      </c>
      <c r="G505" t="s">
        <v>3619</v>
      </c>
      <c r="H505">
        <v>3</v>
      </c>
    </row>
    <row r="506" spans="1:8" x14ac:dyDescent="0.3">
      <c r="A506">
        <v>505</v>
      </c>
      <c r="B506" t="s">
        <v>35</v>
      </c>
      <c r="C506" t="s">
        <v>1142</v>
      </c>
      <c r="D506" t="s">
        <v>1014</v>
      </c>
      <c r="E506">
        <v>1</v>
      </c>
      <c r="F506">
        <v>9</v>
      </c>
      <c r="G506" t="s">
        <v>3621</v>
      </c>
      <c r="H506">
        <v>9</v>
      </c>
    </row>
    <row r="507" spans="1:8" x14ac:dyDescent="0.3">
      <c r="A507">
        <v>506</v>
      </c>
      <c r="B507" t="s">
        <v>539</v>
      </c>
      <c r="C507" t="s">
        <v>1142</v>
      </c>
      <c r="D507" t="s">
        <v>1180</v>
      </c>
      <c r="E507">
        <v>5</v>
      </c>
      <c r="F507">
        <v>22</v>
      </c>
      <c r="G507" t="s">
        <v>3623</v>
      </c>
      <c r="H507">
        <v>3</v>
      </c>
    </row>
    <row r="508" spans="1:8" x14ac:dyDescent="0.3">
      <c r="A508">
        <v>507</v>
      </c>
      <c r="B508" t="s">
        <v>1181</v>
      </c>
      <c r="C508" t="s">
        <v>1142</v>
      </c>
      <c r="D508" t="s">
        <v>1183</v>
      </c>
      <c r="E508">
        <v>1</v>
      </c>
      <c r="F508">
        <v>4</v>
      </c>
      <c r="G508" t="s">
        <v>3621</v>
      </c>
      <c r="H508">
        <v>4</v>
      </c>
    </row>
    <row r="509" spans="1:8" x14ac:dyDescent="0.3">
      <c r="A509">
        <v>508</v>
      </c>
      <c r="B509" t="s">
        <v>1184</v>
      </c>
      <c r="C509" t="s">
        <v>1142</v>
      </c>
      <c r="D509" t="s">
        <v>1186</v>
      </c>
      <c r="E509">
        <v>3</v>
      </c>
      <c r="F509">
        <v>12</v>
      </c>
      <c r="G509" t="s">
        <v>3624</v>
      </c>
      <c r="H509">
        <v>6</v>
      </c>
    </row>
    <row r="510" spans="1:8" x14ac:dyDescent="0.3">
      <c r="A510">
        <v>509</v>
      </c>
      <c r="B510" t="s">
        <v>1187</v>
      </c>
      <c r="C510" t="s">
        <v>1142</v>
      </c>
      <c r="D510" t="s">
        <v>1189</v>
      </c>
      <c r="E510">
        <v>3</v>
      </c>
      <c r="F510">
        <v>12</v>
      </c>
      <c r="G510" t="s">
        <v>3624</v>
      </c>
      <c r="H510">
        <v>3</v>
      </c>
    </row>
    <row r="511" spans="1:8" x14ac:dyDescent="0.3">
      <c r="A511">
        <v>510</v>
      </c>
      <c r="B511" t="s">
        <v>57</v>
      </c>
      <c r="C511" t="s">
        <v>1142</v>
      </c>
      <c r="D511" t="s">
        <v>660</v>
      </c>
      <c r="E511">
        <v>3</v>
      </c>
      <c r="F511">
        <v>28</v>
      </c>
      <c r="G511" t="s">
        <v>3623</v>
      </c>
      <c r="H511">
        <v>9</v>
      </c>
    </row>
    <row r="512" spans="1:8" x14ac:dyDescent="0.3">
      <c r="A512">
        <v>511</v>
      </c>
      <c r="B512" t="s">
        <v>1114</v>
      </c>
      <c r="C512" t="s">
        <v>1142</v>
      </c>
      <c r="D512" t="s">
        <v>914</v>
      </c>
      <c r="E512">
        <v>1</v>
      </c>
      <c r="F512">
        <v>4</v>
      </c>
      <c r="G512" t="s">
        <v>3621</v>
      </c>
      <c r="H512">
        <v>4</v>
      </c>
    </row>
    <row r="513" spans="1:8" x14ac:dyDescent="0.3">
      <c r="A513">
        <v>512</v>
      </c>
      <c r="B513" t="s">
        <v>1116</v>
      </c>
      <c r="C513" t="s">
        <v>1142</v>
      </c>
      <c r="D513" t="s">
        <v>1193</v>
      </c>
      <c r="E513">
        <v>1</v>
      </c>
      <c r="F513">
        <v>4</v>
      </c>
      <c r="G513" t="s">
        <v>3621</v>
      </c>
      <c r="H513">
        <v>4</v>
      </c>
    </row>
    <row r="514" spans="1:8" x14ac:dyDescent="0.3">
      <c r="A514">
        <v>513</v>
      </c>
      <c r="B514" t="s">
        <v>355</v>
      </c>
      <c r="C514" t="s">
        <v>1142</v>
      </c>
      <c r="D514" t="s">
        <v>1195</v>
      </c>
      <c r="E514">
        <v>3</v>
      </c>
      <c r="F514">
        <v>9</v>
      </c>
      <c r="G514" t="s">
        <v>3625</v>
      </c>
      <c r="H514">
        <v>3</v>
      </c>
    </row>
    <row r="515" spans="1:8" x14ac:dyDescent="0.3">
      <c r="A515">
        <v>514</v>
      </c>
      <c r="B515" t="s">
        <v>1119</v>
      </c>
      <c r="C515" t="s">
        <v>1142</v>
      </c>
      <c r="D515" t="s">
        <v>349</v>
      </c>
      <c r="E515">
        <v>1</v>
      </c>
      <c r="F515">
        <v>3</v>
      </c>
      <c r="G515" t="s">
        <v>3621</v>
      </c>
      <c r="H515">
        <v>3</v>
      </c>
    </row>
    <row r="516" spans="1:8" x14ac:dyDescent="0.3">
      <c r="A516">
        <v>515</v>
      </c>
      <c r="B516" t="s">
        <v>1197</v>
      </c>
      <c r="C516" t="s">
        <v>1142</v>
      </c>
      <c r="D516" t="s">
        <v>1121</v>
      </c>
      <c r="E516">
        <v>1</v>
      </c>
      <c r="F516">
        <v>3</v>
      </c>
      <c r="G516" t="s">
        <v>3619</v>
      </c>
      <c r="H516">
        <v>3</v>
      </c>
    </row>
    <row r="517" spans="1:8" x14ac:dyDescent="0.3">
      <c r="A517">
        <v>516</v>
      </c>
      <c r="B517" t="s">
        <v>1033</v>
      </c>
      <c r="C517" t="s">
        <v>1142</v>
      </c>
      <c r="D517" t="s">
        <v>1200</v>
      </c>
      <c r="E517">
        <v>2</v>
      </c>
      <c r="F517">
        <v>6</v>
      </c>
      <c r="G517" t="s">
        <v>3619</v>
      </c>
      <c r="H517">
        <v>3</v>
      </c>
    </row>
    <row r="518" spans="1:8" x14ac:dyDescent="0.3">
      <c r="A518">
        <v>517</v>
      </c>
      <c r="B518" t="s">
        <v>231</v>
      </c>
      <c r="C518" t="s">
        <v>1142</v>
      </c>
      <c r="D518" t="s">
        <v>213</v>
      </c>
      <c r="E518">
        <v>1</v>
      </c>
      <c r="F518">
        <v>3</v>
      </c>
      <c r="G518" t="s">
        <v>3619</v>
      </c>
      <c r="H518">
        <v>3</v>
      </c>
    </row>
    <row r="519" spans="1:8" x14ac:dyDescent="0.3">
      <c r="A519">
        <v>518</v>
      </c>
      <c r="B519" t="s">
        <v>1202</v>
      </c>
      <c r="C519" t="s">
        <v>1142</v>
      </c>
      <c r="D519" t="s">
        <v>90</v>
      </c>
      <c r="E519">
        <v>2</v>
      </c>
      <c r="F519">
        <v>6</v>
      </c>
      <c r="G519" t="s">
        <v>3621</v>
      </c>
      <c r="H519">
        <v>3</v>
      </c>
    </row>
    <row r="520" spans="1:8" x14ac:dyDescent="0.3">
      <c r="A520">
        <v>519</v>
      </c>
      <c r="B520" t="s">
        <v>1204</v>
      </c>
      <c r="C520" t="s">
        <v>1142</v>
      </c>
      <c r="D520" t="s">
        <v>558</v>
      </c>
      <c r="E520">
        <v>1</v>
      </c>
      <c r="F520">
        <v>4</v>
      </c>
      <c r="G520" t="s">
        <v>3621</v>
      </c>
      <c r="H520">
        <v>4</v>
      </c>
    </row>
    <row r="521" spans="1:8" x14ac:dyDescent="0.3">
      <c r="A521">
        <v>520</v>
      </c>
      <c r="B521" t="s">
        <v>240</v>
      </c>
      <c r="C521" t="s">
        <v>1142</v>
      </c>
      <c r="D521" t="s">
        <v>1207</v>
      </c>
      <c r="E521">
        <v>2</v>
      </c>
      <c r="F521">
        <v>6</v>
      </c>
      <c r="G521" t="s">
        <v>3619</v>
      </c>
      <c r="H521">
        <v>3</v>
      </c>
    </row>
    <row r="522" spans="1:8" x14ac:dyDescent="0.3">
      <c r="A522">
        <v>521</v>
      </c>
      <c r="B522" t="s">
        <v>44</v>
      </c>
      <c r="C522" t="s">
        <v>1142</v>
      </c>
      <c r="D522" t="s">
        <v>977</v>
      </c>
      <c r="E522">
        <v>5</v>
      </c>
      <c r="F522">
        <v>22</v>
      </c>
      <c r="G522" t="s">
        <v>3623</v>
      </c>
      <c r="H522">
        <v>4</v>
      </c>
    </row>
    <row r="523" spans="1:8" x14ac:dyDescent="0.3">
      <c r="A523">
        <v>522</v>
      </c>
      <c r="B523" t="s">
        <v>55</v>
      </c>
      <c r="C523" t="s">
        <v>1142</v>
      </c>
      <c r="D523" t="s">
        <v>1210</v>
      </c>
      <c r="E523">
        <v>1</v>
      </c>
      <c r="F523">
        <v>5</v>
      </c>
      <c r="G523" t="s">
        <v>3619</v>
      </c>
      <c r="H523">
        <v>5</v>
      </c>
    </row>
    <row r="524" spans="1:8" x14ac:dyDescent="0.3">
      <c r="A524">
        <v>523</v>
      </c>
      <c r="B524" t="s">
        <v>1211</v>
      </c>
      <c r="C524" t="s">
        <v>1142</v>
      </c>
      <c r="D524" t="s">
        <v>266</v>
      </c>
      <c r="E524">
        <v>1</v>
      </c>
      <c r="F524">
        <v>4</v>
      </c>
      <c r="G524" t="s">
        <v>3621</v>
      </c>
      <c r="H524">
        <v>4</v>
      </c>
    </row>
    <row r="525" spans="1:8" x14ac:dyDescent="0.3">
      <c r="A525">
        <v>524</v>
      </c>
      <c r="B525" t="s">
        <v>1213</v>
      </c>
      <c r="C525" t="s">
        <v>1142</v>
      </c>
      <c r="D525" t="s">
        <v>1215</v>
      </c>
      <c r="E525">
        <v>1</v>
      </c>
      <c r="F525">
        <v>3</v>
      </c>
      <c r="G525" t="s">
        <v>3621</v>
      </c>
      <c r="H525">
        <v>3</v>
      </c>
    </row>
    <row r="526" spans="1:8" x14ac:dyDescent="0.3">
      <c r="A526">
        <v>525</v>
      </c>
      <c r="B526" t="s">
        <v>613</v>
      </c>
      <c r="C526" t="s">
        <v>1142</v>
      </c>
      <c r="D526" t="s">
        <v>1217</v>
      </c>
      <c r="E526">
        <v>2</v>
      </c>
      <c r="F526">
        <v>8</v>
      </c>
      <c r="G526" t="s">
        <v>3619</v>
      </c>
      <c r="H526">
        <v>3</v>
      </c>
    </row>
    <row r="527" spans="1:8" x14ac:dyDescent="0.3">
      <c r="A527">
        <v>526</v>
      </c>
      <c r="B527" t="s">
        <v>1132</v>
      </c>
      <c r="C527" t="s">
        <v>1142</v>
      </c>
      <c r="D527" t="s">
        <v>1219</v>
      </c>
      <c r="E527">
        <v>2</v>
      </c>
      <c r="F527">
        <v>6</v>
      </c>
      <c r="G527" t="s">
        <v>3619</v>
      </c>
      <c r="H527">
        <v>3</v>
      </c>
    </row>
    <row r="528" spans="1:8" x14ac:dyDescent="0.3">
      <c r="A528">
        <v>527</v>
      </c>
      <c r="B528" t="s">
        <v>1134</v>
      </c>
      <c r="C528" t="s">
        <v>1142</v>
      </c>
      <c r="D528" t="s">
        <v>309</v>
      </c>
      <c r="E528">
        <v>1</v>
      </c>
      <c r="F528">
        <v>3</v>
      </c>
      <c r="G528" t="s">
        <v>3621</v>
      </c>
      <c r="H528">
        <v>3</v>
      </c>
    </row>
    <row r="529" spans="1:8" x14ac:dyDescent="0.3">
      <c r="A529">
        <v>528</v>
      </c>
      <c r="B529" t="s">
        <v>1221</v>
      </c>
      <c r="C529" t="s">
        <v>1142</v>
      </c>
      <c r="D529" t="s">
        <v>90</v>
      </c>
      <c r="E529">
        <v>2</v>
      </c>
      <c r="F529">
        <v>6</v>
      </c>
      <c r="G529" t="s">
        <v>3621</v>
      </c>
      <c r="H529">
        <v>3</v>
      </c>
    </row>
    <row r="530" spans="1:8" x14ac:dyDescent="0.3">
      <c r="A530">
        <v>529</v>
      </c>
      <c r="B530" t="s">
        <v>41</v>
      </c>
      <c r="C530" t="s">
        <v>1142</v>
      </c>
      <c r="D530" t="s">
        <v>1224</v>
      </c>
      <c r="E530">
        <v>2</v>
      </c>
      <c r="F530">
        <v>8</v>
      </c>
      <c r="G530" t="s">
        <v>3619</v>
      </c>
      <c r="H530">
        <v>5</v>
      </c>
    </row>
    <row r="531" spans="1:8" x14ac:dyDescent="0.3">
      <c r="A531">
        <v>530</v>
      </c>
      <c r="B531" t="s">
        <v>878</v>
      </c>
      <c r="C531" t="s">
        <v>1142</v>
      </c>
      <c r="D531" t="s">
        <v>660</v>
      </c>
      <c r="E531">
        <v>3</v>
      </c>
      <c r="F531">
        <v>28</v>
      </c>
      <c r="G531" t="s">
        <v>3623</v>
      </c>
      <c r="H531">
        <v>8</v>
      </c>
    </row>
    <row r="532" spans="1:8" x14ac:dyDescent="0.3">
      <c r="A532">
        <v>531</v>
      </c>
      <c r="B532" t="s">
        <v>1226</v>
      </c>
      <c r="C532" t="s">
        <v>1142</v>
      </c>
      <c r="D532" t="s">
        <v>809</v>
      </c>
      <c r="E532">
        <v>2</v>
      </c>
      <c r="F532">
        <v>6</v>
      </c>
      <c r="G532" t="s">
        <v>3619</v>
      </c>
      <c r="H532">
        <v>3</v>
      </c>
    </row>
    <row r="533" spans="1:8" x14ac:dyDescent="0.3">
      <c r="A533">
        <v>532</v>
      </c>
      <c r="B533" t="s">
        <v>1228</v>
      </c>
      <c r="C533" t="s">
        <v>1142</v>
      </c>
      <c r="D533" t="s">
        <v>1151</v>
      </c>
      <c r="E533">
        <v>2</v>
      </c>
      <c r="F533">
        <v>7</v>
      </c>
      <c r="G533" t="s">
        <v>3621</v>
      </c>
      <c r="H533">
        <v>4</v>
      </c>
    </row>
    <row r="534" spans="1:8" x14ac:dyDescent="0.3">
      <c r="A534">
        <v>533</v>
      </c>
      <c r="B534" t="s">
        <v>1230</v>
      </c>
      <c r="C534" t="s">
        <v>1231</v>
      </c>
      <c r="D534" t="s">
        <v>113</v>
      </c>
      <c r="E534">
        <v>4</v>
      </c>
      <c r="F534">
        <v>14</v>
      </c>
      <c r="G534" t="s">
        <v>3619</v>
      </c>
      <c r="H534">
        <v>3</v>
      </c>
    </row>
    <row r="535" spans="1:8" x14ac:dyDescent="0.3">
      <c r="A535">
        <v>534</v>
      </c>
      <c r="B535" t="s">
        <v>1233</v>
      </c>
      <c r="C535" t="s">
        <v>1231</v>
      </c>
      <c r="D535" t="s">
        <v>1235</v>
      </c>
      <c r="E535">
        <v>5</v>
      </c>
      <c r="F535">
        <v>15</v>
      </c>
      <c r="G535" t="s">
        <v>3619</v>
      </c>
      <c r="H535">
        <v>3</v>
      </c>
    </row>
    <row r="536" spans="1:8" x14ac:dyDescent="0.3">
      <c r="A536">
        <v>535</v>
      </c>
      <c r="B536" t="s">
        <v>1236</v>
      </c>
      <c r="C536" t="s">
        <v>1231</v>
      </c>
      <c r="D536" t="s">
        <v>1238</v>
      </c>
      <c r="E536">
        <v>5</v>
      </c>
      <c r="F536">
        <v>15</v>
      </c>
      <c r="G536" t="s">
        <v>3619</v>
      </c>
      <c r="H536">
        <v>3</v>
      </c>
    </row>
    <row r="537" spans="1:8" x14ac:dyDescent="0.3">
      <c r="A537">
        <v>536</v>
      </c>
      <c r="B537" t="s">
        <v>1149</v>
      </c>
      <c r="C537" t="s">
        <v>1231</v>
      </c>
      <c r="D537" t="s">
        <v>296</v>
      </c>
      <c r="E537">
        <v>1</v>
      </c>
      <c r="F537">
        <v>3</v>
      </c>
      <c r="G537" t="s">
        <v>3619</v>
      </c>
      <c r="H537">
        <v>3</v>
      </c>
    </row>
    <row r="538" spans="1:8" x14ac:dyDescent="0.3">
      <c r="A538">
        <v>537</v>
      </c>
      <c r="B538" t="s">
        <v>1240</v>
      </c>
      <c r="C538" t="s">
        <v>1231</v>
      </c>
      <c r="D538" t="s">
        <v>309</v>
      </c>
      <c r="E538">
        <v>4</v>
      </c>
      <c r="F538">
        <v>14</v>
      </c>
      <c r="G538" t="s">
        <v>3619</v>
      </c>
      <c r="H538">
        <v>5</v>
      </c>
    </row>
    <row r="539" spans="1:8" x14ac:dyDescent="0.3">
      <c r="A539">
        <v>538</v>
      </c>
      <c r="B539" t="s">
        <v>1082</v>
      </c>
      <c r="C539" t="s">
        <v>1231</v>
      </c>
      <c r="D539" t="s">
        <v>1243</v>
      </c>
      <c r="E539">
        <v>3</v>
      </c>
      <c r="F539">
        <v>10</v>
      </c>
      <c r="G539" t="s">
        <v>3619</v>
      </c>
      <c r="H539">
        <v>4</v>
      </c>
    </row>
    <row r="540" spans="1:8" x14ac:dyDescent="0.3">
      <c r="A540">
        <v>539</v>
      </c>
      <c r="B540" t="s">
        <v>1244</v>
      </c>
      <c r="C540" t="s">
        <v>1231</v>
      </c>
      <c r="D540" t="s">
        <v>1246</v>
      </c>
      <c r="E540">
        <v>1</v>
      </c>
      <c r="F540">
        <v>3</v>
      </c>
      <c r="G540" t="s">
        <v>3625</v>
      </c>
      <c r="H540">
        <v>3</v>
      </c>
    </row>
    <row r="541" spans="1:8" x14ac:dyDescent="0.3">
      <c r="A541">
        <v>540</v>
      </c>
      <c r="B541" t="s">
        <v>777</v>
      </c>
      <c r="C541" t="s">
        <v>1231</v>
      </c>
      <c r="D541" t="s">
        <v>1248</v>
      </c>
      <c r="E541">
        <v>1</v>
      </c>
      <c r="F541">
        <v>3</v>
      </c>
      <c r="G541" t="s">
        <v>3621</v>
      </c>
      <c r="H541">
        <v>3</v>
      </c>
    </row>
    <row r="542" spans="1:8" x14ac:dyDescent="0.3">
      <c r="A542">
        <v>541</v>
      </c>
      <c r="B542" t="s">
        <v>505</v>
      </c>
      <c r="C542" t="s">
        <v>1231</v>
      </c>
      <c r="D542" t="s">
        <v>183</v>
      </c>
      <c r="E542">
        <v>3</v>
      </c>
      <c r="F542">
        <v>9</v>
      </c>
      <c r="G542" t="s">
        <v>3619</v>
      </c>
      <c r="H542">
        <v>3</v>
      </c>
    </row>
    <row r="543" spans="1:8" x14ac:dyDescent="0.3">
      <c r="A543">
        <v>542</v>
      </c>
      <c r="B543" t="s">
        <v>1086</v>
      </c>
      <c r="C543" t="s">
        <v>1231</v>
      </c>
      <c r="D543" t="s">
        <v>660</v>
      </c>
      <c r="E543">
        <v>1</v>
      </c>
      <c r="F543">
        <v>5</v>
      </c>
      <c r="G543" t="s">
        <v>3623</v>
      </c>
      <c r="H543">
        <v>5</v>
      </c>
    </row>
    <row r="544" spans="1:8" x14ac:dyDescent="0.3">
      <c r="A544">
        <v>543</v>
      </c>
      <c r="B544" t="s">
        <v>51</v>
      </c>
      <c r="C544" t="s">
        <v>1231</v>
      </c>
      <c r="D544" t="s">
        <v>113</v>
      </c>
      <c r="E544">
        <v>4</v>
      </c>
      <c r="F544">
        <v>14</v>
      </c>
      <c r="G544" t="s">
        <v>3619</v>
      </c>
      <c r="H544">
        <v>4</v>
      </c>
    </row>
    <row r="545" spans="1:8" x14ac:dyDescent="0.3">
      <c r="A545">
        <v>544</v>
      </c>
      <c r="B545" t="s">
        <v>42</v>
      </c>
      <c r="C545" t="s">
        <v>1231</v>
      </c>
      <c r="D545" t="s">
        <v>442</v>
      </c>
      <c r="E545">
        <v>4</v>
      </c>
      <c r="F545">
        <v>12</v>
      </c>
      <c r="G545" t="s">
        <v>3624</v>
      </c>
      <c r="H545">
        <v>3</v>
      </c>
    </row>
    <row r="546" spans="1:8" x14ac:dyDescent="0.3">
      <c r="A546">
        <v>545</v>
      </c>
      <c r="B546" t="s">
        <v>1253</v>
      </c>
      <c r="C546" t="s">
        <v>1231</v>
      </c>
      <c r="D546" t="s">
        <v>1126</v>
      </c>
      <c r="E546">
        <v>1</v>
      </c>
      <c r="F546">
        <v>3</v>
      </c>
      <c r="G546" t="s">
        <v>3621</v>
      </c>
      <c r="H546">
        <v>3</v>
      </c>
    </row>
    <row r="547" spans="1:8" x14ac:dyDescent="0.3">
      <c r="A547">
        <v>546</v>
      </c>
      <c r="B547" t="s">
        <v>1255</v>
      </c>
      <c r="C547" t="s">
        <v>1231</v>
      </c>
      <c r="D547" t="s">
        <v>1257</v>
      </c>
      <c r="E547">
        <v>3</v>
      </c>
      <c r="F547">
        <v>10</v>
      </c>
      <c r="G547" t="s">
        <v>3619</v>
      </c>
      <c r="H547">
        <v>3</v>
      </c>
    </row>
    <row r="548" spans="1:8" x14ac:dyDescent="0.3">
      <c r="A548">
        <v>547</v>
      </c>
      <c r="B548" t="s">
        <v>531</v>
      </c>
      <c r="C548" t="s">
        <v>1231</v>
      </c>
      <c r="D548" t="s">
        <v>113</v>
      </c>
      <c r="E548">
        <v>4</v>
      </c>
      <c r="F548">
        <v>14</v>
      </c>
      <c r="G548" t="s">
        <v>3619</v>
      </c>
      <c r="H548">
        <v>3</v>
      </c>
    </row>
    <row r="549" spans="1:8" x14ac:dyDescent="0.3">
      <c r="A549">
        <v>548</v>
      </c>
      <c r="B549" t="s">
        <v>36</v>
      </c>
      <c r="C549" t="s">
        <v>1231</v>
      </c>
      <c r="D549" t="s">
        <v>1260</v>
      </c>
      <c r="E549">
        <v>4</v>
      </c>
      <c r="F549">
        <v>12</v>
      </c>
      <c r="G549" t="s">
        <v>3624</v>
      </c>
      <c r="H549">
        <v>3</v>
      </c>
    </row>
    <row r="550" spans="1:8" x14ac:dyDescent="0.3">
      <c r="A550">
        <v>549</v>
      </c>
      <c r="B550" t="s">
        <v>179</v>
      </c>
      <c r="C550" t="s">
        <v>1231</v>
      </c>
      <c r="D550" t="s">
        <v>1262</v>
      </c>
      <c r="E550">
        <v>1</v>
      </c>
      <c r="F550">
        <v>3</v>
      </c>
      <c r="G550" t="s">
        <v>3623</v>
      </c>
      <c r="H550">
        <v>3</v>
      </c>
    </row>
    <row r="551" spans="1:8" x14ac:dyDescent="0.3">
      <c r="A551">
        <v>550</v>
      </c>
      <c r="B551" t="s">
        <v>35</v>
      </c>
      <c r="C551" t="s">
        <v>1231</v>
      </c>
      <c r="D551" t="s">
        <v>1014</v>
      </c>
      <c r="E551">
        <v>1</v>
      </c>
      <c r="F551">
        <v>8</v>
      </c>
      <c r="G551" t="s">
        <v>3621</v>
      </c>
      <c r="H551">
        <v>8</v>
      </c>
    </row>
    <row r="552" spans="1:8" x14ac:dyDescent="0.3">
      <c r="A552">
        <v>551</v>
      </c>
      <c r="B552" t="s">
        <v>929</v>
      </c>
      <c r="C552" t="s">
        <v>1231</v>
      </c>
      <c r="D552" t="s">
        <v>861</v>
      </c>
      <c r="E552">
        <v>4</v>
      </c>
      <c r="F552">
        <v>12</v>
      </c>
      <c r="G552" t="s">
        <v>3624</v>
      </c>
      <c r="H552">
        <v>3</v>
      </c>
    </row>
    <row r="553" spans="1:8" x14ac:dyDescent="0.3">
      <c r="A553">
        <v>552</v>
      </c>
      <c r="B553" t="s">
        <v>823</v>
      </c>
      <c r="C553" t="s">
        <v>1231</v>
      </c>
      <c r="D553" t="s">
        <v>309</v>
      </c>
      <c r="E553">
        <v>4</v>
      </c>
      <c r="F553">
        <v>14</v>
      </c>
      <c r="G553" t="s">
        <v>3619</v>
      </c>
      <c r="H553">
        <v>3</v>
      </c>
    </row>
    <row r="554" spans="1:8" x14ac:dyDescent="0.3">
      <c r="A554">
        <v>553</v>
      </c>
      <c r="B554" t="s">
        <v>1266</v>
      </c>
      <c r="C554" t="s">
        <v>1231</v>
      </c>
      <c r="D554" t="s">
        <v>1260</v>
      </c>
      <c r="E554">
        <v>4</v>
      </c>
      <c r="F554">
        <v>12</v>
      </c>
      <c r="G554" t="s">
        <v>3624</v>
      </c>
      <c r="H554">
        <v>3</v>
      </c>
    </row>
    <row r="555" spans="1:8" x14ac:dyDescent="0.3">
      <c r="A555">
        <v>554</v>
      </c>
      <c r="B555" t="s">
        <v>830</v>
      </c>
      <c r="C555" t="s">
        <v>1231</v>
      </c>
      <c r="D555" t="s">
        <v>309</v>
      </c>
      <c r="E555">
        <v>4</v>
      </c>
      <c r="F555">
        <v>14</v>
      </c>
      <c r="G555" t="s">
        <v>3619</v>
      </c>
      <c r="H555">
        <v>3</v>
      </c>
    </row>
    <row r="556" spans="1:8" x14ac:dyDescent="0.3">
      <c r="A556">
        <v>555</v>
      </c>
      <c r="B556" t="s">
        <v>1269</v>
      </c>
      <c r="C556" t="s">
        <v>1231</v>
      </c>
      <c r="D556" t="s">
        <v>1271</v>
      </c>
      <c r="E556">
        <v>5</v>
      </c>
      <c r="F556">
        <v>15</v>
      </c>
      <c r="G556" t="s">
        <v>3619</v>
      </c>
      <c r="H556">
        <v>3</v>
      </c>
    </row>
    <row r="557" spans="1:8" x14ac:dyDescent="0.3">
      <c r="A557">
        <v>556</v>
      </c>
      <c r="B557" t="s">
        <v>1116</v>
      </c>
      <c r="C557" t="s">
        <v>1231</v>
      </c>
      <c r="D557" t="s">
        <v>104</v>
      </c>
      <c r="E557">
        <v>1</v>
      </c>
      <c r="F557">
        <v>3</v>
      </c>
      <c r="G557" t="s">
        <v>3621</v>
      </c>
      <c r="H557">
        <v>3</v>
      </c>
    </row>
    <row r="558" spans="1:8" x14ac:dyDescent="0.3">
      <c r="A558">
        <v>557</v>
      </c>
      <c r="B558" t="s">
        <v>1273</v>
      </c>
      <c r="C558" t="s">
        <v>1231</v>
      </c>
      <c r="D558" t="s">
        <v>113</v>
      </c>
      <c r="E558">
        <v>4</v>
      </c>
      <c r="F558">
        <v>14</v>
      </c>
      <c r="G558" t="s">
        <v>3619</v>
      </c>
      <c r="H558">
        <v>4</v>
      </c>
    </row>
    <row r="559" spans="1:8" x14ac:dyDescent="0.3">
      <c r="A559">
        <v>558</v>
      </c>
      <c r="B559" t="s">
        <v>840</v>
      </c>
      <c r="C559" t="s">
        <v>1231</v>
      </c>
      <c r="D559" t="s">
        <v>887</v>
      </c>
      <c r="E559">
        <v>3</v>
      </c>
      <c r="F559">
        <v>9</v>
      </c>
      <c r="G559" t="s">
        <v>3619</v>
      </c>
      <c r="H559">
        <v>3</v>
      </c>
    </row>
    <row r="560" spans="1:8" x14ac:dyDescent="0.3">
      <c r="A560">
        <v>559</v>
      </c>
      <c r="B560" t="s">
        <v>1276</v>
      </c>
      <c r="C560" t="s">
        <v>1231</v>
      </c>
      <c r="D560" t="s">
        <v>1278</v>
      </c>
      <c r="E560">
        <v>5</v>
      </c>
      <c r="F560">
        <v>15</v>
      </c>
      <c r="G560" t="s">
        <v>3619</v>
      </c>
      <c r="H560">
        <v>3</v>
      </c>
    </row>
    <row r="561" spans="1:8" x14ac:dyDescent="0.3">
      <c r="A561">
        <v>560</v>
      </c>
      <c r="B561" t="s">
        <v>1033</v>
      </c>
      <c r="C561" t="s">
        <v>1231</v>
      </c>
      <c r="D561" t="s">
        <v>183</v>
      </c>
      <c r="E561">
        <v>3</v>
      </c>
      <c r="F561">
        <v>9</v>
      </c>
      <c r="G561" t="s">
        <v>3619</v>
      </c>
      <c r="H561">
        <v>3</v>
      </c>
    </row>
    <row r="562" spans="1:8" x14ac:dyDescent="0.3">
      <c r="A562">
        <v>561</v>
      </c>
      <c r="B562" t="s">
        <v>853</v>
      </c>
      <c r="C562" t="s">
        <v>1231</v>
      </c>
      <c r="D562" t="s">
        <v>1121</v>
      </c>
      <c r="E562">
        <v>1</v>
      </c>
      <c r="F562">
        <v>4</v>
      </c>
      <c r="G562" t="s">
        <v>3619</v>
      </c>
      <c r="H562">
        <v>4</v>
      </c>
    </row>
    <row r="563" spans="1:8" x14ac:dyDescent="0.3">
      <c r="A563">
        <v>562</v>
      </c>
      <c r="B563" t="s">
        <v>1124</v>
      </c>
      <c r="C563" t="s">
        <v>1231</v>
      </c>
      <c r="D563" t="s">
        <v>242</v>
      </c>
      <c r="E563">
        <v>1</v>
      </c>
      <c r="F563">
        <v>4</v>
      </c>
      <c r="G563" t="s">
        <v>3623</v>
      </c>
      <c r="H563">
        <v>4</v>
      </c>
    </row>
    <row r="564" spans="1:8" x14ac:dyDescent="0.3">
      <c r="A564">
        <v>563</v>
      </c>
      <c r="B564" t="s">
        <v>468</v>
      </c>
      <c r="C564" t="s">
        <v>1231</v>
      </c>
      <c r="D564" t="s">
        <v>1283</v>
      </c>
      <c r="E564">
        <v>1</v>
      </c>
      <c r="F564">
        <v>4</v>
      </c>
      <c r="G564" t="s">
        <v>3619</v>
      </c>
      <c r="H564">
        <v>4</v>
      </c>
    </row>
    <row r="565" spans="1:8" x14ac:dyDescent="0.3">
      <c r="A565">
        <v>564</v>
      </c>
      <c r="B565" t="s">
        <v>1284</v>
      </c>
      <c r="C565" t="s">
        <v>1231</v>
      </c>
      <c r="D565" t="s">
        <v>1286</v>
      </c>
      <c r="E565">
        <v>5</v>
      </c>
      <c r="F565">
        <v>15</v>
      </c>
      <c r="G565" t="s">
        <v>3619</v>
      </c>
      <c r="H565">
        <v>3</v>
      </c>
    </row>
    <row r="566" spans="1:8" x14ac:dyDescent="0.3">
      <c r="A566">
        <v>565</v>
      </c>
      <c r="B566" t="s">
        <v>1134</v>
      </c>
      <c r="C566" t="s">
        <v>1231</v>
      </c>
      <c r="D566" t="s">
        <v>1288</v>
      </c>
      <c r="E566">
        <v>3</v>
      </c>
      <c r="F566">
        <v>10</v>
      </c>
      <c r="G566" t="s">
        <v>3619</v>
      </c>
      <c r="H566">
        <v>3</v>
      </c>
    </row>
    <row r="567" spans="1:8" x14ac:dyDescent="0.3">
      <c r="A567">
        <v>566</v>
      </c>
      <c r="B567" t="s">
        <v>891</v>
      </c>
      <c r="C567" t="s">
        <v>1231</v>
      </c>
      <c r="D567" t="s">
        <v>309</v>
      </c>
      <c r="E567">
        <v>4</v>
      </c>
      <c r="F567">
        <v>14</v>
      </c>
      <c r="G567" t="s">
        <v>3619</v>
      </c>
      <c r="H567">
        <v>3</v>
      </c>
    </row>
    <row r="568" spans="1:8" x14ac:dyDescent="0.3">
      <c r="A568">
        <v>567</v>
      </c>
      <c r="B568" t="s">
        <v>1290</v>
      </c>
      <c r="C568" t="s">
        <v>1291</v>
      </c>
      <c r="D568" t="s">
        <v>266</v>
      </c>
      <c r="E568">
        <v>4</v>
      </c>
      <c r="F568">
        <v>15</v>
      </c>
      <c r="G568" t="s">
        <v>3619</v>
      </c>
      <c r="H568">
        <v>4</v>
      </c>
    </row>
    <row r="569" spans="1:8" x14ac:dyDescent="0.3">
      <c r="A569">
        <v>568</v>
      </c>
      <c r="B569" t="s">
        <v>755</v>
      </c>
      <c r="C569" t="s">
        <v>1291</v>
      </c>
      <c r="D569" t="s">
        <v>183</v>
      </c>
      <c r="E569">
        <v>4</v>
      </c>
      <c r="F569">
        <v>13</v>
      </c>
      <c r="G569" t="s">
        <v>3619</v>
      </c>
      <c r="H569">
        <v>3</v>
      </c>
    </row>
    <row r="570" spans="1:8" x14ac:dyDescent="0.3">
      <c r="A570">
        <v>569</v>
      </c>
      <c r="B570" t="s">
        <v>1236</v>
      </c>
      <c r="C570" t="s">
        <v>1291</v>
      </c>
      <c r="D570" t="s">
        <v>1295</v>
      </c>
      <c r="E570">
        <v>4</v>
      </c>
      <c r="F570">
        <v>16</v>
      </c>
      <c r="G570" t="s">
        <v>3619</v>
      </c>
      <c r="H570">
        <v>5</v>
      </c>
    </row>
    <row r="571" spans="1:8" x14ac:dyDescent="0.3">
      <c r="A571">
        <v>570</v>
      </c>
      <c r="B571" t="s">
        <v>760</v>
      </c>
      <c r="C571" t="s">
        <v>1291</v>
      </c>
      <c r="D571" t="s">
        <v>1029</v>
      </c>
      <c r="E571">
        <v>1</v>
      </c>
      <c r="F571">
        <v>5</v>
      </c>
      <c r="G571" t="s">
        <v>3621</v>
      </c>
      <c r="H571">
        <v>5</v>
      </c>
    </row>
    <row r="572" spans="1:8" x14ac:dyDescent="0.3">
      <c r="A572">
        <v>571</v>
      </c>
      <c r="B572" t="s">
        <v>105</v>
      </c>
      <c r="C572" t="s">
        <v>1291</v>
      </c>
      <c r="D572" t="s">
        <v>1298</v>
      </c>
      <c r="E572">
        <v>3</v>
      </c>
      <c r="F572">
        <v>9</v>
      </c>
      <c r="G572" t="s">
        <v>3623</v>
      </c>
      <c r="H572">
        <v>3</v>
      </c>
    </row>
    <row r="573" spans="1:8" x14ac:dyDescent="0.3">
      <c r="A573">
        <v>572</v>
      </c>
      <c r="B573" t="s">
        <v>1299</v>
      </c>
      <c r="C573" t="s">
        <v>1291</v>
      </c>
      <c r="D573" t="s">
        <v>263</v>
      </c>
      <c r="E573">
        <v>2</v>
      </c>
      <c r="F573">
        <v>6</v>
      </c>
      <c r="G573" t="s">
        <v>3619</v>
      </c>
      <c r="H573">
        <v>3</v>
      </c>
    </row>
    <row r="574" spans="1:8" x14ac:dyDescent="0.3">
      <c r="A574">
        <v>573</v>
      </c>
      <c r="B574" t="s">
        <v>1301</v>
      </c>
      <c r="C574" t="s">
        <v>1291</v>
      </c>
      <c r="D574" t="s">
        <v>1303</v>
      </c>
      <c r="E574">
        <v>1</v>
      </c>
      <c r="F574">
        <v>4</v>
      </c>
      <c r="G574" t="s">
        <v>3621</v>
      </c>
      <c r="H574">
        <v>4</v>
      </c>
    </row>
    <row r="575" spans="1:8" x14ac:dyDescent="0.3">
      <c r="A575">
        <v>574</v>
      </c>
      <c r="B575" t="s">
        <v>768</v>
      </c>
      <c r="C575" t="s">
        <v>1291</v>
      </c>
      <c r="D575" t="s">
        <v>406</v>
      </c>
      <c r="E575">
        <v>4</v>
      </c>
      <c r="F575">
        <v>13</v>
      </c>
      <c r="G575" t="s">
        <v>3619</v>
      </c>
      <c r="H575">
        <v>3</v>
      </c>
    </row>
    <row r="576" spans="1:8" x14ac:dyDescent="0.3">
      <c r="A576">
        <v>575</v>
      </c>
      <c r="B576" t="s">
        <v>1305</v>
      </c>
      <c r="C576" t="s">
        <v>1291</v>
      </c>
      <c r="D576" t="s">
        <v>1307</v>
      </c>
      <c r="E576">
        <v>5</v>
      </c>
      <c r="F576">
        <v>16</v>
      </c>
      <c r="G576" t="s">
        <v>3624</v>
      </c>
      <c r="H576">
        <v>3</v>
      </c>
    </row>
    <row r="577" spans="1:8" x14ac:dyDescent="0.3">
      <c r="A577">
        <v>576</v>
      </c>
      <c r="B577" t="s">
        <v>1308</v>
      </c>
      <c r="C577" t="s">
        <v>1291</v>
      </c>
      <c r="D577" t="s">
        <v>113</v>
      </c>
      <c r="E577">
        <v>2</v>
      </c>
      <c r="F577">
        <v>6</v>
      </c>
      <c r="G577" t="s">
        <v>3619</v>
      </c>
      <c r="H577">
        <v>3</v>
      </c>
    </row>
    <row r="578" spans="1:8" x14ac:dyDescent="0.3">
      <c r="A578">
        <v>577</v>
      </c>
      <c r="B578" t="s">
        <v>512</v>
      </c>
      <c r="C578" t="s">
        <v>1291</v>
      </c>
      <c r="D578" t="s">
        <v>113</v>
      </c>
      <c r="E578">
        <v>2</v>
      </c>
      <c r="F578">
        <v>6</v>
      </c>
      <c r="G578" t="s">
        <v>3619</v>
      </c>
      <c r="H578">
        <v>3</v>
      </c>
    </row>
    <row r="579" spans="1:8" x14ac:dyDescent="0.3">
      <c r="A579">
        <v>578</v>
      </c>
      <c r="B579" t="s">
        <v>786</v>
      </c>
      <c r="C579" t="s">
        <v>1291</v>
      </c>
      <c r="D579" t="s">
        <v>304</v>
      </c>
      <c r="E579">
        <v>4</v>
      </c>
      <c r="F579">
        <v>13</v>
      </c>
      <c r="G579" t="s">
        <v>3619</v>
      </c>
      <c r="H579">
        <v>4</v>
      </c>
    </row>
    <row r="580" spans="1:8" x14ac:dyDescent="0.3">
      <c r="A580">
        <v>579</v>
      </c>
      <c r="B580" t="s">
        <v>1312</v>
      </c>
      <c r="C580" t="s">
        <v>1291</v>
      </c>
      <c r="D580" t="s">
        <v>266</v>
      </c>
      <c r="E580">
        <v>4</v>
      </c>
      <c r="F580">
        <v>15</v>
      </c>
      <c r="G580" t="s">
        <v>3619</v>
      </c>
      <c r="H580">
        <v>5</v>
      </c>
    </row>
    <row r="581" spans="1:8" x14ac:dyDescent="0.3">
      <c r="A581">
        <v>580</v>
      </c>
      <c r="B581" t="s">
        <v>61</v>
      </c>
      <c r="C581" t="s">
        <v>1291</v>
      </c>
      <c r="D581" t="s">
        <v>1315</v>
      </c>
      <c r="E581">
        <v>1</v>
      </c>
      <c r="F581">
        <v>3</v>
      </c>
      <c r="G581" t="s">
        <v>3621</v>
      </c>
      <c r="H581">
        <v>3</v>
      </c>
    </row>
    <row r="582" spans="1:8" x14ac:dyDescent="0.3">
      <c r="A582">
        <v>581</v>
      </c>
      <c r="B582" t="s">
        <v>1316</v>
      </c>
      <c r="C582" t="s">
        <v>1291</v>
      </c>
      <c r="D582" t="s">
        <v>1307</v>
      </c>
      <c r="E582">
        <v>5</v>
      </c>
      <c r="F582">
        <v>16</v>
      </c>
      <c r="G582" t="s">
        <v>3624</v>
      </c>
      <c r="H582">
        <v>3</v>
      </c>
    </row>
    <row r="583" spans="1:8" x14ac:dyDescent="0.3">
      <c r="A583">
        <v>582</v>
      </c>
      <c r="B583" t="s">
        <v>1167</v>
      </c>
      <c r="C583" t="s">
        <v>1291</v>
      </c>
      <c r="D583" t="s">
        <v>1257</v>
      </c>
      <c r="E583">
        <v>2</v>
      </c>
      <c r="F583">
        <v>6</v>
      </c>
      <c r="G583" t="s">
        <v>3619</v>
      </c>
      <c r="H583">
        <v>3</v>
      </c>
    </row>
    <row r="584" spans="1:8" x14ac:dyDescent="0.3">
      <c r="A584">
        <v>583</v>
      </c>
      <c r="B584" t="s">
        <v>1319</v>
      </c>
      <c r="C584" t="s">
        <v>1291</v>
      </c>
      <c r="D584" t="s">
        <v>1307</v>
      </c>
      <c r="E584">
        <v>5</v>
      </c>
      <c r="F584">
        <v>16</v>
      </c>
      <c r="G584" t="s">
        <v>3624</v>
      </c>
      <c r="H584">
        <v>4</v>
      </c>
    </row>
    <row r="585" spans="1:8" x14ac:dyDescent="0.3">
      <c r="A585">
        <v>584</v>
      </c>
      <c r="B585" t="s">
        <v>924</v>
      </c>
      <c r="C585" t="s">
        <v>1291</v>
      </c>
      <c r="D585" t="s">
        <v>309</v>
      </c>
      <c r="E585">
        <v>1</v>
      </c>
      <c r="F585">
        <v>3</v>
      </c>
      <c r="G585" t="s">
        <v>3621</v>
      </c>
      <c r="H585">
        <v>3</v>
      </c>
    </row>
    <row r="586" spans="1:8" x14ac:dyDescent="0.3">
      <c r="A586">
        <v>585</v>
      </c>
      <c r="B586" t="s">
        <v>181</v>
      </c>
      <c r="C586" t="s">
        <v>1291</v>
      </c>
      <c r="D586" t="s">
        <v>1323</v>
      </c>
      <c r="E586">
        <v>1</v>
      </c>
      <c r="F586">
        <v>3</v>
      </c>
      <c r="G586" t="s">
        <v>3621</v>
      </c>
      <c r="H586">
        <v>3</v>
      </c>
    </row>
    <row r="587" spans="1:8" x14ac:dyDescent="0.3">
      <c r="A587">
        <v>586</v>
      </c>
      <c r="B587" t="s">
        <v>35</v>
      </c>
      <c r="C587" t="s">
        <v>1291</v>
      </c>
      <c r="D587" t="s">
        <v>1014</v>
      </c>
      <c r="E587">
        <v>1</v>
      </c>
      <c r="F587">
        <v>7</v>
      </c>
      <c r="G587" t="s">
        <v>3621</v>
      </c>
      <c r="H587">
        <v>7</v>
      </c>
    </row>
    <row r="588" spans="1:8" x14ac:dyDescent="0.3">
      <c r="A588">
        <v>587</v>
      </c>
      <c r="B588" t="s">
        <v>1181</v>
      </c>
      <c r="C588" t="s">
        <v>1291</v>
      </c>
      <c r="D588" t="s">
        <v>242</v>
      </c>
      <c r="E588">
        <v>1</v>
      </c>
      <c r="F588">
        <v>3</v>
      </c>
      <c r="G588" t="s">
        <v>3623</v>
      </c>
      <c r="H588">
        <v>3</v>
      </c>
    </row>
    <row r="589" spans="1:8" x14ac:dyDescent="0.3">
      <c r="A589">
        <v>588</v>
      </c>
      <c r="B589" t="s">
        <v>1326</v>
      </c>
      <c r="C589" t="s">
        <v>1291</v>
      </c>
      <c r="D589" t="s">
        <v>296</v>
      </c>
      <c r="E589">
        <v>1</v>
      </c>
      <c r="F589">
        <v>3</v>
      </c>
      <c r="G589" t="s">
        <v>3619</v>
      </c>
      <c r="H589">
        <v>3</v>
      </c>
    </row>
    <row r="590" spans="1:8" x14ac:dyDescent="0.3">
      <c r="A590">
        <v>589</v>
      </c>
      <c r="B590" t="s">
        <v>199</v>
      </c>
      <c r="C590" t="s">
        <v>1291</v>
      </c>
      <c r="D590" t="s">
        <v>1329</v>
      </c>
      <c r="E590">
        <v>3</v>
      </c>
      <c r="F590">
        <v>9</v>
      </c>
      <c r="G590" t="s">
        <v>3623</v>
      </c>
      <c r="H590">
        <v>3</v>
      </c>
    </row>
    <row r="591" spans="1:8" x14ac:dyDescent="0.3">
      <c r="A591">
        <v>590</v>
      </c>
      <c r="B591" t="s">
        <v>202</v>
      </c>
      <c r="C591" t="s">
        <v>1291</v>
      </c>
      <c r="D591" t="s">
        <v>1307</v>
      </c>
      <c r="E591">
        <v>5</v>
      </c>
      <c r="F591">
        <v>16</v>
      </c>
      <c r="G591" t="s">
        <v>3624</v>
      </c>
      <c r="H591">
        <v>3</v>
      </c>
    </row>
    <row r="592" spans="1:8" x14ac:dyDescent="0.3">
      <c r="A592">
        <v>591</v>
      </c>
      <c r="B592" t="s">
        <v>823</v>
      </c>
      <c r="C592" t="s">
        <v>1291</v>
      </c>
      <c r="D592" t="s">
        <v>266</v>
      </c>
      <c r="E592">
        <v>4</v>
      </c>
      <c r="F592">
        <v>15</v>
      </c>
      <c r="G592" t="s">
        <v>3619</v>
      </c>
      <c r="H592">
        <v>3</v>
      </c>
    </row>
    <row r="593" spans="1:8" x14ac:dyDescent="0.3">
      <c r="A593">
        <v>592</v>
      </c>
      <c r="B593" t="s">
        <v>694</v>
      </c>
      <c r="C593" t="s">
        <v>1291</v>
      </c>
      <c r="D593" t="s">
        <v>185</v>
      </c>
      <c r="E593">
        <v>1</v>
      </c>
      <c r="F593">
        <v>3</v>
      </c>
      <c r="G593" t="s">
        <v>3619</v>
      </c>
      <c r="H593">
        <v>3</v>
      </c>
    </row>
    <row r="594" spans="1:8" x14ac:dyDescent="0.3">
      <c r="A594">
        <v>593</v>
      </c>
      <c r="B594" t="s">
        <v>1333</v>
      </c>
      <c r="C594" t="s">
        <v>1291</v>
      </c>
      <c r="D594" t="s">
        <v>1335</v>
      </c>
      <c r="E594">
        <v>1</v>
      </c>
      <c r="F594">
        <v>4</v>
      </c>
      <c r="G594" t="s">
        <v>3621</v>
      </c>
      <c r="H594">
        <v>4</v>
      </c>
    </row>
    <row r="595" spans="1:8" x14ac:dyDescent="0.3">
      <c r="A595">
        <v>594</v>
      </c>
      <c r="B595" t="s">
        <v>1336</v>
      </c>
      <c r="C595" t="s">
        <v>1291</v>
      </c>
      <c r="D595" t="s">
        <v>1338</v>
      </c>
      <c r="E595">
        <v>1</v>
      </c>
      <c r="F595">
        <v>3</v>
      </c>
      <c r="G595" t="s">
        <v>3621</v>
      </c>
      <c r="H595">
        <v>3</v>
      </c>
    </row>
    <row r="596" spans="1:8" x14ac:dyDescent="0.3">
      <c r="A596">
        <v>595</v>
      </c>
      <c r="B596" t="s">
        <v>835</v>
      </c>
      <c r="C596" t="s">
        <v>1291</v>
      </c>
      <c r="D596" t="s">
        <v>1340</v>
      </c>
      <c r="E596">
        <v>2</v>
      </c>
      <c r="F596">
        <v>6</v>
      </c>
      <c r="G596" t="s">
        <v>3621</v>
      </c>
      <c r="H596">
        <v>3</v>
      </c>
    </row>
    <row r="597" spans="1:8" x14ac:dyDescent="0.3">
      <c r="A597">
        <v>596</v>
      </c>
      <c r="B597" t="s">
        <v>1269</v>
      </c>
      <c r="C597" t="s">
        <v>1291</v>
      </c>
      <c r="D597" t="s">
        <v>1342</v>
      </c>
      <c r="E597">
        <v>4</v>
      </c>
      <c r="F597">
        <v>16</v>
      </c>
      <c r="G597" t="s">
        <v>3619</v>
      </c>
      <c r="H597">
        <v>3</v>
      </c>
    </row>
    <row r="598" spans="1:8" x14ac:dyDescent="0.3">
      <c r="A598">
        <v>597</v>
      </c>
      <c r="B598" t="s">
        <v>1276</v>
      </c>
      <c r="C598" t="s">
        <v>1291</v>
      </c>
      <c r="D598" t="s">
        <v>1344</v>
      </c>
      <c r="E598">
        <v>4</v>
      </c>
      <c r="F598">
        <v>16</v>
      </c>
      <c r="G598" t="s">
        <v>3619</v>
      </c>
      <c r="H598">
        <v>4</v>
      </c>
    </row>
    <row r="599" spans="1:8" x14ac:dyDescent="0.3">
      <c r="A599">
        <v>598</v>
      </c>
      <c r="B599" t="s">
        <v>40</v>
      </c>
      <c r="C599" t="s">
        <v>1291</v>
      </c>
      <c r="D599" t="s">
        <v>1307</v>
      </c>
      <c r="E599">
        <v>5</v>
      </c>
      <c r="F599">
        <v>16</v>
      </c>
      <c r="G599" t="s">
        <v>3624</v>
      </c>
      <c r="H599">
        <v>3</v>
      </c>
    </row>
    <row r="600" spans="1:8" x14ac:dyDescent="0.3">
      <c r="A600">
        <v>599</v>
      </c>
      <c r="B600" t="s">
        <v>1346</v>
      </c>
      <c r="C600" t="s">
        <v>1291</v>
      </c>
      <c r="D600" t="s">
        <v>323</v>
      </c>
      <c r="E600">
        <v>4</v>
      </c>
      <c r="F600">
        <v>13</v>
      </c>
      <c r="G600" t="s">
        <v>3619</v>
      </c>
      <c r="H600">
        <v>3</v>
      </c>
    </row>
    <row r="601" spans="1:8" x14ac:dyDescent="0.3">
      <c r="A601">
        <v>600</v>
      </c>
      <c r="B601" t="s">
        <v>1348</v>
      </c>
      <c r="C601" t="s">
        <v>1291</v>
      </c>
      <c r="D601" t="s">
        <v>1350</v>
      </c>
      <c r="E601">
        <v>1</v>
      </c>
      <c r="F601">
        <v>3</v>
      </c>
      <c r="G601" t="s">
        <v>3621</v>
      </c>
      <c r="H601">
        <v>3</v>
      </c>
    </row>
    <row r="602" spans="1:8" x14ac:dyDescent="0.3">
      <c r="A602">
        <v>601</v>
      </c>
      <c r="B602" t="s">
        <v>261</v>
      </c>
      <c r="C602" t="s">
        <v>1291</v>
      </c>
      <c r="D602" t="s">
        <v>1340</v>
      </c>
      <c r="E602">
        <v>2</v>
      </c>
      <c r="F602">
        <v>6</v>
      </c>
      <c r="G602" t="s">
        <v>3621</v>
      </c>
      <c r="H602">
        <v>3</v>
      </c>
    </row>
    <row r="603" spans="1:8" x14ac:dyDescent="0.3">
      <c r="A603">
        <v>602</v>
      </c>
      <c r="B603" t="s">
        <v>868</v>
      </c>
      <c r="C603" t="s">
        <v>1291</v>
      </c>
      <c r="D603" t="s">
        <v>1353</v>
      </c>
      <c r="E603">
        <v>1</v>
      </c>
      <c r="F603">
        <v>5</v>
      </c>
      <c r="G603" t="s">
        <v>3623</v>
      </c>
      <c r="H603">
        <v>5</v>
      </c>
    </row>
    <row r="604" spans="1:8" x14ac:dyDescent="0.3">
      <c r="A604">
        <v>603</v>
      </c>
      <c r="B604" t="s">
        <v>1284</v>
      </c>
      <c r="C604" t="s">
        <v>1291</v>
      </c>
      <c r="D604" t="s">
        <v>1355</v>
      </c>
      <c r="E604">
        <v>4</v>
      </c>
      <c r="F604">
        <v>16</v>
      </c>
      <c r="G604" t="s">
        <v>3619</v>
      </c>
      <c r="H604">
        <v>4</v>
      </c>
    </row>
    <row r="605" spans="1:8" x14ac:dyDescent="0.3">
      <c r="A605">
        <v>604</v>
      </c>
      <c r="B605" t="s">
        <v>275</v>
      </c>
      <c r="C605" t="s">
        <v>1291</v>
      </c>
      <c r="D605" t="s">
        <v>1357</v>
      </c>
      <c r="E605">
        <v>3</v>
      </c>
      <c r="F605">
        <v>9</v>
      </c>
      <c r="G605" t="s">
        <v>3623</v>
      </c>
      <c r="H605">
        <v>3</v>
      </c>
    </row>
    <row r="606" spans="1:8" x14ac:dyDescent="0.3">
      <c r="A606">
        <v>605</v>
      </c>
      <c r="B606" t="s">
        <v>891</v>
      </c>
      <c r="C606" t="s">
        <v>1291</v>
      </c>
      <c r="D606" t="s">
        <v>266</v>
      </c>
      <c r="E606">
        <v>4</v>
      </c>
      <c r="F606">
        <v>15</v>
      </c>
      <c r="G606" t="s">
        <v>3619</v>
      </c>
      <c r="H606">
        <v>3</v>
      </c>
    </row>
    <row r="607" spans="1:8" x14ac:dyDescent="0.3">
      <c r="A607">
        <v>606</v>
      </c>
      <c r="B607" t="s">
        <v>1359</v>
      </c>
      <c r="C607" t="s">
        <v>1360</v>
      </c>
      <c r="D607" t="s">
        <v>1362</v>
      </c>
      <c r="E607">
        <v>2</v>
      </c>
      <c r="F607">
        <v>6</v>
      </c>
      <c r="G607" t="s">
        <v>3619</v>
      </c>
      <c r="H607">
        <v>3</v>
      </c>
    </row>
    <row r="608" spans="1:8" x14ac:dyDescent="0.3">
      <c r="A608">
        <v>607</v>
      </c>
      <c r="B608" t="s">
        <v>1240</v>
      </c>
      <c r="C608" t="s">
        <v>1360</v>
      </c>
      <c r="D608" t="s">
        <v>1364</v>
      </c>
      <c r="E608">
        <v>1</v>
      </c>
      <c r="F608">
        <v>3</v>
      </c>
      <c r="G608" t="s">
        <v>3619</v>
      </c>
      <c r="H608">
        <v>3</v>
      </c>
    </row>
    <row r="609" spans="1:8" x14ac:dyDescent="0.3">
      <c r="A609">
        <v>608</v>
      </c>
      <c r="B609" t="s">
        <v>760</v>
      </c>
      <c r="C609" t="s">
        <v>1360</v>
      </c>
      <c r="D609" t="s">
        <v>973</v>
      </c>
      <c r="E609">
        <v>1</v>
      </c>
      <c r="F609">
        <v>3</v>
      </c>
      <c r="G609" t="s">
        <v>3619</v>
      </c>
      <c r="H609">
        <v>3</v>
      </c>
    </row>
    <row r="610" spans="1:8" x14ac:dyDescent="0.3">
      <c r="A610">
        <v>609</v>
      </c>
      <c r="B610" t="s">
        <v>1301</v>
      </c>
      <c r="C610" t="s">
        <v>1360</v>
      </c>
      <c r="D610" t="s">
        <v>1367</v>
      </c>
      <c r="E610">
        <v>1</v>
      </c>
      <c r="F610">
        <v>3</v>
      </c>
      <c r="G610" t="s">
        <v>3621</v>
      </c>
      <c r="H610">
        <v>3</v>
      </c>
    </row>
    <row r="611" spans="1:8" x14ac:dyDescent="0.3">
      <c r="A611">
        <v>610</v>
      </c>
      <c r="B611" t="s">
        <v>1305</v>
      </c>
      <c r="C611" t="s">
        <v>1360</v>
      </c>
      <c r="D611" t="s">
        <v>1369</v>
      </c>
      <c r="E611">
        <v>1</v>
      </c>
      <c r="F611">
        <v>3</v>
      </c>
      <c r="G611" t="s">
        <v>3624</v>
      </c>
      <c r="H611">
        <v>3</v>
      </c>
    </row>
    <row r="612" spans="1:8" x14ac:dyDescent="0.3">
      <c r="A612">
        <v>611</v>
      </c>
      <c r="B612" t="s">
        <v>512</v>
      </c>
      <c r="C612" t="s">
        <v>1360</v>
      </c>
      <c r="D612" t="s">
        <v>1371</v>
      </c>
      <c r="E612">
        <v>1</v>
      </c>
      <c r="F612">
        <v>3</v>
      </c>
      <c r="G612" t="s">
        <v>3619</v>
      </c>
      <c r="H612">
        <v>3</v>
      </c>
    </row>
    <row r="613" spans="1:8" x14ac:dyDescent="0.3">
      <c r="A613">
        <v>612</v>
      </c>
      <c r="B613" t="s">
        <v>1372</v>
      </c>
      <c r="C613" t="s">
        <v>1360</v>
      </c>
      <c r="D613" t="s">
        <v>1374</v>
      </c>
      <c r="E613">
        <v>2</v>
      </c>
      <c r="F613">
        <v>6</v>
      </c>
      <c r="G613" t="s">
        <v>3621</v>
      </c>
      <c r="H613">
        <v>3</v>
      </c>
    </row>
    <row r="614" spans="1:8" x14ac:dyDescent="0.3">
      <c r="A614">
        <v>613</v>
      </c>
      <c r="B614" t="s">
        <v>130</v>
      </c>
      <c r="C614" t="s">
        <v>1360</v>
      </c>
      <c r="D614" t="s">
        <v>1376</v>
      </c>
      <c r="E614">
        <v>1</v>
      </c>
      <c r="F614">
        <v>3</v>
      </c>
      <c r="G614" t="s">
        <v>3621</v>
      </c>
      <c r="H614">
        <v>3</v>
      </c>
    </row>
    <row r="615" spans="1:8" x14ac:dyDescent="0.3">
      <c r="A615">
        <v>614</v>
      </c>
      <c r="B615" t="s">
        <v>794</v>
      </c>
      <c r="C615" t="s">
        <v>1360</v>
      </c>
      <c r="D615" t="s">
        <v>1378</v>
      </c>
      <c r="E615">
        <v>4</v>
      </c>
      <c r="F615">
        <v>13</v>
      </c>
      <c r="G615" t="s">
        <v>3625</v>
      </c>
      <c r="H615">
        <v>4</v>
      </c>
    </row>
    <row r="616" spans="1:8" x14ac:dyDescent="0.3">
      <c r="A616">
        <v>615</v>
      </c>
      <c r="B616" t="s">
        <v>1379</v>
      </c>
      <c r="C616" t="s">
        <v>1360</v>
      </c>
      <c r="D616" t="s">
        <v>1121</v>
      </c>
      <c r="E616">
        <v>1</v>
      </c>
      <c r="F616">
        <v>3</v>
      </c>
      <c r="G616" t="s">
        <v>3619</v>
      </c>
      <c r="H616">
        <v>3</v>
      </c>
    </row>
    <row r="617" spans="1:8" x14ac:dyDescent="0.3">
      <c r="A617">
        <v>616</v>
      </c>
      <c r="B617" t="s">
        <v>152</v>
      </c>
      <c r="C617" t="s">
        <v>1360</v>
      </c>
      <c r="D617" t="s">
        <v>1382</v>
      </c>
      <c r="E617">
        <v>4</v>
      </c>
      <c r="F617">
        <v>13</v>
      </c>
      <c r="G617" t="s">
        <v>3625</v>
      </c>
      <c r="H617">
        <v>3</v>
      </c>
    </row>
    <row r="618" spans="1:8" x14ac:dyDescent="0.3">
      <c r="A618">
        <v>617</v>
      </c>
      <c r="B618" t="s">
        <v>35</v>
      </c>
      <c r="C618" t="s">
        <v>1360</v>
      </c>
      <c r="D618" t="s">
        <v>1014</v>
      </c>
      <c r="E618">
        <v>1</v>
      </c>
      <c r="F618">
        <v>8</v>
      </c>
      <c r="G618" t="s">
        <v>3621</v>
      </c>
      <c r="H618">
        <v>8</v>
      </c>
    </row>
    <row r="619" spans="1:8" x14ac:dyDescent="0.3">
      <c r="A619">
        <v>618</v>
      </c>
      <c r="B619" t="s">
        <v>1384</v>
      </c>
      <c r="C619" t="s">
        <v>1360</v>
      </c>
      <c r="D619" t="s">
        <v>1386</v>
      </c>
      <c r="E619">
        <v>1</v>
      </c>
      <c r="F619">
        <v>4</v>
      </c>
      <c r="G619" t="s">
        <v>3621</v>
      </c>
      <c r="H619">
        <v>4</v>
      </c>
    </row>
    <row r="620" spans="1:8" x14ac:dyDescent="0.3">
      <c r="A620">
        <v>619</v>
      </c>
      <c r="B620" t="s">
        <v>344</v>
      </c>
      <c r="C620" t="s">
        <v>1360</v>
      </c>
      <c r="D620" t="s">
        <v>1388</v>
      </c>
      <c r="E620">
        <v>1</v>
      </c>
      <c r="F620">
        <v>3</v>
      </c>
      <c r="G620" t="s">
        <v>3623</v>
      </c>
      <c r="H620">
        <v>3</v>
      </c>
    </row>
    <row r="621" spans="1:8" x14ac:dyDescent="0.3">
      <c r="A621">
        <v>620</v>
      </c>
      <c r="B621" t="s">
        <v>1389</v>
      </c>
      <c r="C621" t="s">
        <v>1360</v>
      </c>
      <c r="D621" t="s">
        <v>1391</v>
      </c>
      <c r="E621">
        <v>2</v>
      </c>
      <c r="F621">
        <v>6</v>
      </c>
      <c r="G621" t="s">
        <v>3619</v>
      </c>
      <c r="H621">
        <v>3</v>
      </c>
    </row>
    <row r="622" spans="1:8" x14ac:dyDescent="0.3">
      <c r="A622">
        <v>621</v>
      </c>
      <c r="B622" t="s">
        <v>838</v>
      </c>
      <c r="C622" t="s">
        <v>1360</v>
      </c>
      <c r="D622" t="s">
        <v>1393</v>
      </c>
      <c r="E622">
        <v>4</v>
      </c>
      <c r="F622">
        <v>13</v>
      </c>
      <c r="G622" t="s">
        <v>3625</v>
      </c>
      <c r="H622">
        <v>3</v>
      </c>
    </row>
    <row r="623" spans="1:8" x14ac:dyDescent="0.3">
      <c r="A623">
        <v>622</v>
      </c>
      <c r="B623" t="s">
        <v>1394</v>
      </c>
      <c r="C623" t="s">
        <v>1360</v>
      </c>
      <c r="D623" t="s">
        <v>558</v>
      </c>
      <c r="E623">
        <v>1</v>
      </c>
      <c r="F623">
        <v>3</v>
      </c>
      <c r="G623" t="s">
        <v>3621</v>
      </c>
      <c r="H623">
        <v>3</v>
      </c>
    </row>
    <row r="624" spans="1:8" x14ac:dyDescent="0.3">
      <c r="A624">
        <v>623</v>
      </c>
      <c r="B624" t="s">
        <v>1396</v>
      </c>
      <c r="C624" t="s">
        <v>1360</v>
      </c>
      <c r="D624" t="s">
        <v>1398</v>
      </c>
      <c r="E624">
        <v>1</v>
      </c>
      <c r="F624">
        <v>3</v>
      </c>
      <c r="G624" t="s">
        <v>3621</v>
      </c>
      <c r="H624">
        <v>3</v>
      </c>
    </row>
    <row r="625" spans="1:8" x14ac:dyDescent="0.3">
      <c r="A625">
        <v>624</v>
      </c>
      <c r="B625" t="s">
        <v>1399</v>
      </c>
      <c r="C625" t="s">
        <v>1360</v>
      </c>
      <c r="D625" t="s">
        <v>113</v>
      </c>
      <c r="E625">
        <v>2</v>
      </c>
      <c r="F625">
        <v>6</v>
      </c>
      <c r="G625" t="s">
        <v>3619</v>
      </c>
      <c r="H625">
        <v>3</v>
      </c>
    </row>
    <row r="626" spans="1:8" x14ac:dyDescent="0.3">
      <c r="A626">
        <v>625</v>
      </c>
      <c r="B626" t="s">
        <v>1401</v>
      </c>
      <c r="C626" t="s">
        <v>1360</v>
      </c>
      <c r="D626" t="s">
        <v>1403</v>
      </c>
      <c r="E626">
        <v>1</v>
      </c>
      <c r="F626">
        <v>4</v>
      </c>
      <c r="G626" t="s">
        <v>3621</v>
      </c>
      <c r="H626">
        <v>4</v>
      </c>
    </row>
    <row r="627" spans="1:8" x14ac:dyDescent="0.3">
      <c r="A627">
        <v>626</v>
      </c>
      <c r="B627" t="s">
        <v>1404</v>
      </c>
      <c r="C627" t="s">
        <v>1360</v>
      </c>
      <c r="D627" t="s">
        <v>113</v>
      </c>
      <c r="E627">
        <v>2</v>
      </c>
      <c r="F627">
        <v>6</v>
      </c>
      <c r="G627" t="s">
        <v>3619</v>
      </c>
      <c r="H627">
        <v>3</v>
      </c>
    </row>
    <row r="628" spans="1:8" x14ac:dyDescent="0.3">
      <c r="A628">
        <v>627</v>
      </c>
      <c r="B628" t="s">
        <v>1406</v>
      </c>
      <c r="C628" t="s">
        <v>1360</v>
      </c>
      <c r="D628" t="s">
        <v>1408</v>
      </c>
      <c r="E628">
        <v>2</v>
      </c>
      <c r="F628">
        <v>6</v>
      </c>
      <c r="G628" t="s">
        <v>3621</v>
      </c>
      <c r="H628">
        <v>3</v>
      </c>
    </row>
    <row r="629" spans="1:8" x14ac:dyDescent="0.3">
      <c r="A629">
        <v>628</v>
      </c>
      <c r="B629" t="s">
        <v>873</v>
      </c>
      <c r="C629" t="s">
        <v>1360</v>
      </c>
      <c r="D629" t="s">
        <v>1410</v>
      </c>
      <c r="E629">
        <v>1</v>
      </c>
      <c r="F629">
        <v>3</v>
      </c>
      <c r="G629" t="s">
        <v>3621</v>
      </c>
      <c r="H629">
        <v>3</v>
      </c>
    </row>
    <row r="630" spans="1:8" x14ac:dyDescent="0.3">
      <c r="A630">
        <v>629</v>
      </c>
      <c r="B630" t="s">
        <v>41</v>
      </c>
      <c r="C630" t="s">
        <v>1360</v>
      </c>
      <c r="D630" t="s">
        <v>104</v>
      </c>
      <c r="E630">
        <v>1</v>
      </c>
      <c r="F630">
        <v>3</v>
      </c>
      <c r="G630" t="s">
        <v>3621</v>
      </c>
      <c r="H630">
        <v>3</v>
      </c>
    </row>
    <row r="631" spans="1:8" x14ac:dyDescent="0.3">
      <c r="A631">
        <v>630</v>
      </c>
      <c r="B631" t="s">
        <v>876</v>
      </c>
      <c r="C631" t="s">
        <v>1360</v>
      </c>
      <c r="D631" t="s">
        <v>1413</v>
      </c>
      <c r="E631">
        <v>4</v>
      </c>
      <c r="F631">
        <v>13</v>
      </c>
      <c r="G631" t="s">
        <v>3625</v>
      </c>
      <c r="H631">
        <v>3</v>
      </c>
    </row>
    <row r="632" spans="1:8" x14ac:dyDescent="0.3">
      <c r="A632">
        <v>631</v>
      </c>
      <c r="B632" t="s">
        <v>1290</v>
      </c>
      <c r="C632" t="s">
        <v>1414</v>
      </c>
      <c r="D632" t="s">
        <v>1257</v>
      </c>
      <c r="E632">
        <v>3</v>
      </c>
      <c r="F632">
        <v>10</v>
      </c>
      <c r="G632" t="s">
        <v>3619</v>
      </c>
      <c r="H632">
        <v>4</v>
      </c>
    </row>
    <row r="633" spans="1:8" x14ac:dyDescent="0.3">
      <c r="A633">
        <v>632</v>
      </c>
      <c r="B633" t="s">
        <v>1416</v>
      </c>
      <c r="C633" t="s">
        <v>1414</v>
      </c>
      <c r="D633" t="s">
        <v>514</v>
      </c>
      <c r="E633">
        <v>6</v>
      </c>
      <c r="F633">
        <v>21</v>
      </c>
      <c r="G633" t="s">
        <v>3624</v>
      </c>
      <c r="H633">
        <v>4</v>
      </c>
    </row>
    <row r="634" spans="1:8" x14ac:dyDescent="0.3">
      <c r="A634">
        <v>633</v>
      </c>
      <c r="B634" t="s">
        <v>1418</v>
      </c>
      <c r="C634" t="s">
        <v>1414</v>
      </c>
      <c r="D634" t="s">
        <v>1420</v>
      </c>
      <c r="E634">
        <v>8</v>
      </c>
      <c r="F634">
        <v>30</v>
      </c>
      <c r="G634" t="s">
        <v>3624</v>
      </c>
      <c r="H634">
        <v>3</v>
      </c>
    </row>
    <row r="635" spans="1:8" x14ac:dyDescent="0.3">
      <c r="A635">
        <v>634</v>
      </c>
      <c r="B635" t="s">
        <v>102</v>
      </c>
      <c r="C635" t="s">
        <v>1414</v>
      </c>
      <c r="D635" t="s">
        <v>1422</v>
      </c>
      <c r="E635">
        <v>1</v>
      </c>
      <c r="F635">
        <v>4</v>
      </c>
      <c r="G635" t="s">
        <v>3619</v>
      </c>
      <c r="H635">
        <v>4</v>
      </c>
    </row>
    <row r="636" spans="1:8" x14ac:dyDescent="0.3">
      <c r="A636">
        <v>635</v>
      </c>
      <c r="B636" t="s">
        <v>1301</v>
      </c>
      <c r="C636" t="s">
        <v>1414</v>
      </c>
      <c r="D636" t="s">
        <v>788</v>
      </c>
      <c r="E636">
        <v>3</v>
      </c>
      <c r="F636">
        <v>10</v>
      </c>
      <c r="G636" t="s">
        <v>3619</v>
      </c>
      <c r="H636">
        <v>3</v>
      </c>
    </row>
    <row r="637" spans="1:8" x14ac:dyDescent="0.3">
      <c r="A637">
        <v>636</v>
      </c>
      <c r="B637" t="s">
        <v>1424</v>
      </c>
      <c r="C637" t="s">
        <v>1414</v>
      </c>
      <c r="D637" t="s">
        <v>1426</v>
      </c>
      <c r="E637">
        <v>3</v>
      </c>
      <c r="F637">
        <v>9</v>
      </c>
      <c r="G637" t="s">
        <v>3619</v>
      </c>
      <c r="H637">
        <v>3</v>
      </c>
    </row>
    <row r="638" spans="1:8" x14ac:dyDescent="0.3">
      <c r="A638">
        <v>637</v>
      </c>
      <c r="B638" t="s">
        <v>997</v>
      </c>
      <c r="C638" t="s">
        <v>1414</v>
      </c>
      <c r="D638" t="s">
        <v>266</v>
      </c>
      <c r="E638">
        <v>1</v>
      </c>
      <c r="F638">
        <v>4</v>
      </c>
      <c r="G638" t="s">
        <v>3621</v>
      </c>
      <c r="H638">
        <v>4</v>
      </c>
    </row>
    <row r="639" spans="1:8" x14ac:dyDescent="0.3">
      <c r="A639">
        <v>638</v>
      </c>
      <c r="B639" t="s">
        <v>64</v>
      </c>
      <c r="C639" t="s">
        <v>1414</v>
      </c>
      <c r="D639" t="s">
        <v>1429</v>
      </c>
      <c r="E639">
        <v>1</v>
      </c>
      <c r="F639">
        <v>3</v>
      </c>
      <c r="G639" t="s">
        <v>3621</v>
      </c>
      <c r="H639">
        <v>3</v>
      </c>
    </row>
    <row r="640" spans="1:8" x14ac:dyDescent="0.3">
      <c r="A640">
        <v>639</v>
      </c>
      <c r="B640" t="s">
        <v>1430</v>
      </c>
      <c r="C640" t="s">
        <v>1414</v>
      </c>
      <c r="D640" t="s">
        <v>1432</v>
      </c>
      <c r="E640">
        <v>1</v>
      </c>
      <c r="F640">
        <v>3</v>
      </c>
      <c r="G640" t="s">
        <v>3619</v>
      </c>
      <c r="H640">
        <v>3</v>
      </c>
    </row>
    <row r="641" spans="1:8" x14ac:dyDescent="0.3">
      <c r="A641">
        <v>640</v>
      </c>
      <c r="B641" t="s">
        <v>1312</v>
      </c>
      <c r="C641" t="s">
        <v>1414</v>
      </c>
      <c r="D641" t="s">
        <v>90</v>
      </c>
      <c r="E641">
        <v>1</v>
      </c>
      <c r="F641">
        <v>3</v>
      </c>
      <c r="G641" t="s">
        <v>3621</v>
      </c>
      <c r="H641">
        <v>3</v>
      </c>
    </row>
    <row r="642" spans="1:8" x14ac:dyDescent="0.3">
      <c r="A642">
        <v>641</v>
      </c>
      <c r="B642" t="s">
        <v>794</v>
      </c>
      <c r="C642" t="s">
        <v>1414</v>
      </c>
      <c r="D642" t="s">
        <v>1435</v>
      </c>
      <c r="E642">
        <v>5</v>
      </c>
      <c r="F642">
        <v>16</v>
      </c>
      <c r="G642" t="s">
        <v>3619</v>
      </c>
      <c r="H642">
        <v>3</v>
      </c>
    </row>
    <row r="643" spans="1:8" x14ac:dyDescent="0.3">
      <c r="A643">
        <v>642</v>
      </c>
      <c r="B643" t="s">
        <v>1316</v>
      </c>
      <c r="C643" t="s">
        <v>1414</v>
      </c>
      <c r="D643" t="s">
        <v>1437</v>
      </c>
      <c r="E643">
        <v>8</v>
      </c>
      <c r="F643">
        <v>30</v>
      </c>
      <c r="G643" t="s">
        <v>3624</v>
      </c>
      <c r="H643">
        <v>3</v>
      </c>
    </row>
    <row r="644" spans="1:8" x14ac:dyDescent="0.3">
      <c r="A644">
        <v>643</v>
      </c>
      <c r="B644" t="s">
        <v>307</v>
      </c>
      <c r="C644" t="s">
        <v>1414</v>
      </c>
      <c r="D644" t="s">
        <v>1439</v>
      </c>
      <c r="E644">
        <v>1</v>
      </c>
      <c r="F644">
        <v>3</v>
      </c>
      <c r="G644" t="s">
        <v>3625</v>
      </c>
      <c r="H644">
        <v>3</v>
      </c>
    </row>
    <row r="645" spans="1:8" x14ac:dyDescent="0.3">
      <c r="A645">
        <v>644</v>
      </c>
      <c r="B645" t="s">
        <v>42</v>
      </c>
      <c r="C645" t="s">
        <v>1414</v>
      </c>
      <c r="D645" t="s">
        <v>514</v>
      </c>
      <c r="E645">
        <v>6</v>
      </c>
      <c r="F645">
        <v>21</v>
      </c>
      <c r="G645" t="s">
        <v>3624</v>
      </c>
      <c r="H645">
        <v>3</v>
      </c>
    </row>
    <row r="646" spans="1:8" x14ac:dyDescent="0.3">
      <c r="A646">
        <v>645</v>
      </c>
      <c r="B646" t="s">
        <v>155</v>
      </c>
      <c r="C646" t="s">
        <v>1414</v>
      </c>
      <c r="D646" t="s">
        <v>1442</v>
      </c>
      <c r="E646">
        <v>3</v>
      </c>
      <c r="F646">
        <v>12</v>
      </c>
      <c r="G646" t="s">
        <v>3619</v>
      </c>
      <c r="H646">
        <v>3</v>
      </c>
    </row>
    <row r="647" spans="1:8" x14ac:dyDescent="0.3">
      <c r="A647">
        <v>646</v>
      </c>
      <c r="B647" t="s">
        <v>1097</v>
      </c>
      <c r="C647" t="s">
        <v>1414</v>
      </c>
      <c r="D647" t="s">
        <v>1444</v>
      </c>
      <c r="E647">
        <v>8</v>
      </c>
      <c r="F647">
        <v>30</v>
      </c>
      <c r="G647" t="s">
        <v>3624</v>
      </c>
      <c r="H647">
        <v>3</v>
      </c>
    </row>
    <row r="648" spans="1:8" x14ac:dyDescent="0.3">
      <c r="A648">
        <v>647</v>
      </c>
      <c r="B648" t="s">
        <v>158</v>
      </c>
      <c r="C648" t="s">
        <v>1414</v>
      </c>
      <c r="D648" t="s">
        <v>514</v>
      </c>
      <c r="E648">
        <v>6</v>
      </c>
      <c r="F648">
        <v>21</v>
      </c>
      <c r="G648" t="s">
        <v>3624</v>
      </c>
      <c r="H648">
        <v>3</v>
      </c>
    </row>
    <row r="649" spans="1:8" x14ac:dyDescent="0.3">
      <c r="A649">
        <v>648</v>
      </c>
      <c r="B649" t="s">
        <v>807</v>
      </c>
      <c r="C649" t="s">
        <v>1414</v>
      </c>
      <c r="D649" t="s">
        <v>1126</v>
      </c>
      <c r="E649">
        <v>5</v>
      </c>
      <c r="F649">
        <v>16</v>
      </c>
      <c r="G649" t="s">
        <v>3619</v>
      </c>
      <c r="H649">
        <v>3</v>
      </c>
    </row>
    <row r="650" spans="1:8" x14ac:dyDescent="0.3">
      <c r="A650">
        <v>649</v>
      </c>
      <c r="B650" t="s">
        <v>161</v>
      </c>
      <c r="C650" t="s">
        <v>1414</v>
      </c>
      <c r="D650" t="s">
        <v>1448</v>
      </c>
      <c r="E650">
        <v>3</v>
      </c>
      <c r="F650">
        <v>12</v>
      </c>
      <c r="G650" t="s">
        <v>3619</v>
      </c>
      <c r="H650">
        <v>3</v>
      </c>
    </row>
    <row r="651" spans="1:8" x14ac:dyDescent="0.3">
      <c r="A651">
        <v>650</v>
      </c>
      <c r="B651" t="s">
        <v>1449</v>
      </c>
      <c r="C651" t="s">
        <v>1414</v>
      </c>
      <c r="D651" t="s">
        <v>514</v>
      </c>
      <c r="E651">
        <v>6</v>
      </c>
      <c r="F651">
        <v>21</v>
      </c>
      <c r="G651" t="s">
        <v>3624</v>
      </c>
      <c r="H651">
        <v>3</v>
      </c>
    </row>
    <row r="652" spans="1:8" x14ac:dyDescent="0.3">
      <c r="A652">
        <v>651</v>
      </c>
      <c r="B652" t="s">
        <v>176</v>
      </c>
      <c r="C652" t="s">
        <v>1414</v>
      </c>
      <c r="D652" t="s">
        <v>1452</v>
      </c>
      <c r="E652">
        <v>1</v>
      </c>
      <c r="F652">
        <v>4</v>
      </c>
      <c r="G652" t="s">
        <v>3623</v>
      </c>
      <c r="H652">
        <v>4</v>
      </c>
    </row>
    <row r="653" spans="1:8" x14ac:dyDescent="0.3">
      <c r="A653">
        <v>652</v>
      </c>
      <c r="B653" t="s">
        <v>812</v>
      </c>
      <c r="C653" t="s">
        <v>1414</v>
      </c>
      <c r="D653" t="s">
        <v>1454</v>
      </c>
      <c r="E653">
        <v>1</v>
      </c>
      <c r="F653">
        <v>3</v>
      </c>
      <c r="G653" t="s">
        <v>3621</v>
      </c>
      <c r="H653">
        <v>3</v>
      </c>
    </row>
    <row r="654" spans="1:8" x14ac:dyDescent="0.3">
      <c r="A654">
        <v>653</v>
      </c>
      <c r="B654" t="s">
        <v>186</v>
      </c>
      <c r="C654" t="s">
        <v>1414</v>
      </c>
      <c r="D654" t="s">
        <v>1456</v>
      </c>
      <c r="E654">
        <v>2</v>
      </c>
      <c r="F654">
        <v>6</v>
      </c>
      <c r="G654" t="s">
        <v>3621</v>
      </c>
      <c r="H654">
        <v>3</v>
      </c>
    </row>
    <row r="655" spans="1:8" x14ac:dyDescent="0.3">
      <c r="A655">
        <v>654</v>
      </c>
      <c r="B655" t="s">
        <v>1457</v>
      </c>
      <c r="C655" t="s">
        <v>1414</v>
      </c>
      <c r="D655" t="s">
        <v>1260</v>
      </c>
      <c r="E655">
        <v>8</v>
      </c>
      <c r="F655">
        <v>30</v>
      </c>
      <c r="G655" t="s">
        <v>3624</v>
      </c>
      <c r="H655">
        <v>4</v>
      </c>
    </row>
    <row r="656" spans="1:8" x14ac:dyDescent="0.3">
      <c r="A656">
        <v>655</v>
      </c>
      <c r="B656" t="s">
        <v>1459</v>
      </c>
      <c r="C656" t="s">
        <v>1414</v>
      </c>
      <c r="D656" t="s">
        <v>861</v>
      </c>
      <c r="E656">
        <v>8</v>
      </c>
      <c r="F656">
        <v>30</v>
      </c>
      <c r="G656" t="s">
        <v>3624</v>
      </c>
      <c r="H656">
        <v>6</v>
      </c>
    </row>
    <row r="657" spans="1:8" x14ac:dyDescent="0.3">
      <c r="A657">
        <v>656</v>
      </c>
      <c r="B657" t="s">
        <v>929</v>
      </c>
      <c r="C657" t="s">
        <v>1414</v>
      </c>
      <c r="D657" t="s">
        <v>514</v>
      </c>
      <c r="E657">
        <v>6</v>
      </c>
      <c r="F657">
        <v>21</v>
      </c>
      <c r="G657" t="s">
        <v>3624</v>
      </c>
      <c r="H657">
        <v>5</v>
      </c>
    </row>
    <row r="658" spans="1:8" x14ac:dyDescent="0.3">
      <c r="A658">
        <v>657</v>
      </c>
      <c r="B658" t="s">
        <v>1462</v>
      </c>
      <c r="C658" t="s">
        <v>1414</v>
      </c>
      <c r="D658" t="s">
        <v>1260</v>
      </c>
      <c r="E658">
        <v>8</v>
      </c>
      <c r="F658">
        <v>30</v>
      </c>
      <c r="G658" t="s">
        <v>3624</v>
      </c>
      <c r="H658">
        <v>4</v>
      </c>
    </row>
    <row r="659" spans="1:8" x14ac:dyDescent="0.3">
      <c r="A659">
        <v>658</v>
      </c>
      <c r="B659" t="s">
        <v>1266</v>
      </c>
      <c r="C659" t="s">
        <v>1414</v>
      </c>
      <c r="D659" t="s">
        <v>1465</v>
      </c>
      <c r="E659">
        <v>8</v>
      </c>
      <c r="F659">
        <v>30</v>
      </c>
      <c r="G659" t="s">
        <v>3624</v>
      </c>
      <c r="H659">
        <v>4</v>
      </c>
    </row>
    <row r="660" spans="1:8" x14ac:dyDescent="0.3">
      <c r="A660">
        <v>659</v>
      </c>
      <c r="B660" t="s">
        <v>341</v>
      </c>
      <c r="C660" t="s">
        <v>1414</v>
      </c>
      <c r="D660" t="s">
        <v>1065</v>
      </c>
      <c r="E660">
        <v>2</v>
      </c>
      <c r="F660">
        <v>7</v>
      </c>
      <c r="G660" t="s">
        <v>3621</v>
      </c>
      <c r="H660">
        <v>4</v>
      </c>
    </row>
    <row r="661" spans="1:8" x14ac:dyDescent="0.3">
      <c r="A661">
        <v>660</v>
      </c>
      <c r="B661" t="s">
        <v>1467</v>
      </c>
      <c r="C661" t="s">
        <v>1414</v>
      </c>
      <c r="D661" t="s">
        <v>1469</v>
      </c>
      <c r="E661">
        <v>3</v>
      </c>
      <c r="F661">
        <v>9</v>
      </c>
      <c r="G661" t="s">
        <v>3619</v>
      </c>
      <c r="H661">
        <v>3</v>
      </c>
    </row>
    <row r="662" spans="1:8" x14ac:dyDescent="0.3">
      <c r="A662">
        <v>661</v>
      </c>
      <c r="B662" t="s">
        <v>1470</v>
      </c>
      <c r="C662" t="s">
        <v>1414</v>
      </c>
      <c r="D662" t="s">
        <v>1472</v>
      </c>
      <c r="E662">
        <v>3</v>
      </c>
      <c r="F662">
        <v>9</v>
      </c>
      <c r="G662" t="s">
        <v>3619</v>
      </c>
      <c r="H662">
        <v>3</v>
      </c>
    </row>
    <row r="663" spans="1:8" x14ac:dyDescent="0.3">
      <c r="A663">
        <v>662</v>
      </c>
      <c r="B663" t="s">
        <v>838</v>
      </c>
      <c r="C663" t="s">
        <v>1414</v>
      </c>
      <c r="D663" t="s">
        <v>1126</v>
      </c>
      <c r="E663">
        <v>5</v>
      </c>
      <c r="F663">
        <v>16</v>
      </c>
      <c r="G663" t="s">
        <v>3619</v>
      </c>
      <c r="H663">
        <v>4</v>
      </c>
    </row>
    <row r="664" spans="1:8" x14ac:dyDescent="0.3">
      <c r="A664">
        <v>663</v>
      </c>
      <c r="B664" t="s">
        <v>1474</v>
      </c>
      <c r="C664" t="s">
        <v>1414</v>
      </c>
      <c r="D664" t="s">
        <v>887</v>
      </c>
      <c r="E664">
        <v>4</v>
      </c>
      <c r="F664">
        <v>12</v>
      </c>
      <c r="G664" t="s">
        <v>3619</v>
      </c>
      <c r="H664">
        <v>3</v>
      </c>
    </row>
    <row r="665" spans="1:8" x14ac:dyDescent="0.3">
      <c r="A665">
        <v>664</v>
      </c>
      <c r="B665" t="s">
        <v>56</v>
      </c>
      <c r="C665" t="s">
        <v>1414</v>
      </c>
      <c r="D665" t="s">
        <v>1477</v>
      </c>
      <c r="E665">
        <v>8</v>
      </c>
      <c r="F665">
        <v>30</v>
      </c>
      <c r="G665" t="s">
        <v>3624</v>
      </c>
      <c r="H665">
        <v>3</v>
      </c>
    </row>
    <row r="666" spans="1:8" x14ac:dyDescent="0.3">
      <c r="A666">
        <v>665</v>
      </c>
      <c r="B666" t="s">
        <v>219</v>
      </c>
      <c r="C666" t="s">
        <v>1414</v>
      </c>
      <c r="D666" t="s">
        <v>1479</v>
      </c>
      <c r="E666">
        <v>3</v>
      </c>
      <c r="F666">
        <v>12</v>
      </c>
      <c r="G666" t="s">
        <v>3619</v>
      </c>
      <c r="H666">
        <v>6</v>
      </c>
    </row>
    <row r="667" spans="1:8" x14ac:dyDescent="0.3">
      <c r="A667">
        <v>666</v>
      </c>
      <c r="B667" t="s">
        <v>1480</v>
      </c>
      <c r="C667" t="s">
        <v>1414</v>
      </c>
      <c r="D667" t="s">
        <v>1456</v>
      </c>
      <c r="E667">
        <v>2</v>
      </c>
      <c r="F667">
        <v>6</v>
      </c>
      <c r="G667" t="s">
        <v>3621</v>
      </c>
      <c r="H667">
        <v>3</v>
      </c>
    </row>
    <row r="668" spans="1:8" x14ac:dyDescent="0.3">
      <c r="A668">
        <v>667</v>
      </c>
      <c r="B668" t="s">
        <v>459</v>
      </c>
      <c r="C668" t="s">
        <v>1414</v>
      </c>
      <c r="D668" t="s">
        <v>1483</v>
      </c>
      <c r="E668">
        <v>3</v>
      </c>
      <c r="F668">
        <v>10</v>
      </c>
      <c r="G668" t="s">
        <v>3619</v>
      </c>
      <c r="H668">
        <v>3</v>
      </c>
    </row>
    <row r="669" spans="1:8" x14ac:dyDescent="0.3">
      <c r="A669">
        <v>668</v>
      </c>
      <c r="B669" t="s">
        <v>588</v>
      </c>
      <c r="C669" t="s">
        <v>1414</v>
      </c>
      <c r="D669" t="s">
        <v>207</v>
      </c>
      <c r="E669">
        <v>4</v>
      </c>
      <c r="F669">
        <v>12</v>
      </c>
      <c r="G669" t="s">
        <v>3619</v>
      </c>
      <c r="H669">
        <v>3</v>
      </c>
    </row>
    <row r="670" spans="1:8" x14ac:dyDescent="0.3">
      <c r="A670">
        <v>669</v>
      </c>
      <c r="B670" t="s">
        <v>1485</v>
      </c>
      <c r="C670" t="s">
        <v>1414</v>
      </c>
      <c r="D670" t="s">
        <v>323</v>
      </c>
      <c r="E670">
        <v>4</v>
      </c>
      <c r="F670">
        <v>12</v>
      </c>
      <c r="G670" t="s">
        <v>3619</v>
      </c>
      <c r="H670">
        <v>3</v>
      </c>
    </row>
    <row r="671" spans="1:8" x14ac:dyDescent="0.3">
      <c r="A671">
        <v>670</v>
      </c>
      <c r="B671" t="s">
        <v>55</v>
      </c>
      <c r="C671" t="s">
        <v>1414</v>
      </c>
      <c r="D671" t="s">
        <v>1488</v>
      </c>
      <c r="E671">
        <v>4</v>
      </c>
      <c r="F671">
        <v>12</v>
      </c>
      <c r="G671" t="s">
        <v>3619</v>
      </c>
      <c r="H671">
        <v>3</v>
      </c>
    </row>
    <row r="672" spans="1:8" x14ac:dyDescent="0.3">
      <c r="A672">
        <v>671</v>
      </c>
      <c r="B672" t="s">
        <v>1406</v>
      </c>
      <c r="C672" t="s">
        <v>1414</v>
      </c>
      <c r="D672" t="s">
        <v>1490</v>
      </c>
      <c r="E672">
        <v>1</v>
      </c>
      <c r="F672">
        <v>3</v>
      </c>
      <c r="G672" t="s">
        <v>3621</v>
      </c>
      <c r="H672">
        <v>3</v>
      </c>
    </row>
    <row r="673" spans="1:8" x14ac:dyDescent="0.3">
      <c r="A673">
        <v>672</v>
      </c>
      <c r="B673" t="s">
        <v>873</v>
      </c>
      <c r="C673" t="s">
        <v>1414</v>
      </c>
      <c r="D673" t="s">
        <v>1492</v>
      </c>
      <c r="E673">
        <v>5</v>
      </c>
      <c r="F673">
        <v>16</v>
      </c>
      <c r="G673" t="s">
        <v>3619</v>
      </c>
      <c r="H673">
        <v>3</v>
      </c>
    </row>
    <row r="674" spans="1:8" x14ac:dyDescent="0.3">
      <c r="A674">
        <v>673</v>
      </c>
      <c r="B674" t="s">
        <v>41</v>
      </c>
      <c r="C674" t="s">
        <v>1414</v>
      </c>
      <c r="D674" t="s">
        <v>973</v>
      </c>
      <c r="E674">
        <v>1</v>
      </c>
      <c r="F674">
        <v>3</v>
      </c>
      <c r="G674" t="s">
        <v>3619</v>
      </c>
      <c r="H674">
        <v>3</v>
      </c>
    </row>
    <row r="675" spans="1:8" x14ac:dyDescent="0.3">
      <c r="A675">
        <v>674</v>
      </c>
      <c r="B675" t="s">
        <v>270</v>
      </c>
      <c r="C675" t="s">
        <v>1414</v>
      </c>
      <c r="D675" t="s">
        <v>1495</v>
      </c>
      <c r="E675">
        <v>1</v>
      </c>
      <c r="F675">
        <v>3</v>
      </c>
      <c r="G675" t="s">
        <v>3621</v>
      </c>
      <c r="H675">
        <v>3</v>
      </c>
    </row>
    <row r="676" spans="1:8" x14ac:dyDescent="0.3">
      <c r="A676">
        <v>675</v>
      </c>
      <c r="B676" t="s">
        <v>1496</v>
      </c>
      <c r="C676" t="s">
        <v>1414</v>
      </c>
      <c r="D676" t="s">
        <v>1498</v>
      </c>
      <c r="E676">
        <v>2</v>
      </c>
      <c r="F676">
        <v>7</v>
      </c>
      <c r="G676" t="s">
        <v>3621</v>
      </c>
      <c r="H676">
        <v>3</v>
      </c>
    </row>
    <row r="677" spans="1:8" x14ac:dyDescent="0.3">
      <c r="A677">
        <v>676</v>
      </c>
      <c r="B677" t="s">
        <v>876</v>
      </c>
      <c r="C677" t="s">
        <v>1414</v>
      </c>
      <c r="D677" t="s">
        <v>1500</v>
      </c>
      <c r="E677">
        <v>5</v>
      </c>
      <c r="F677">
        <v>16</v>
      </c>
      <c r="G677" t="s">
        <v>3619</v>
      </c>
      <c r="H677">
        <v>3</v>
      </c>
    </row>
    <row r="678" spans="1:8" x14ac:dyDescent="0.3">
      <c r="A678">
        <v>677</v>
      </c>
      <c r="B678" t="s">
        <v>739</v>
      </c>
      <c r="C678" t="s">
        <v>1414</v>
      </c>
      <c r="D678" t="s">
        <v>514</v>
      </c>
      <c r="E678">
        <v>6</v>
      </c>
      <c r="F678">
        <v>21</v>
      </c>
      <c r="G678" t="s">
        <v>3624</v>
      </c>
      <c r="H678">
        <v>3</v>
      </c>
    </row>
    <row r="679" spans="1:8" x14ac:dyDescent="0.3">
      <c r="A679">
        <v>678</v>
      </c>
      <c r="B679" t="s">
        <v>290</v>
      </c>
      <c r="C679" t="s">
        <v>1502</v>
      </c>
      <c r="D679" t="s">
        <v>296</v>
      </c>
      <c r="E679">
        <v>2</v>
      </c>
      <c r="F679">
        <v>7</v>
      </c>
      <c r="G679" t="s">
        <v>3619</v>
      </c>
      <c r="H679">
        <v>3</v>
      </c>
    </row>
    <row r="680" spans="1:8" x14ac:dyDescent="0.3">
      <c r="A680">
        <v>679</v>
      </c>
      <c r="B680" t="s">
        <v>1504</v>
      </c>
      <c r="C680" t="s">
        <v>1502</v>
      </c>
      <c r="D680" t="s">
        <v>304</v>
      </c>
      <c r="E680">
        <v>11</v>
      </c>
      <c r="F680">
        <v>39</v>
      </c>
      <c r="G680" t="s">
        <v>3619</v>
      </c>
      <c r="H680">
        <v>3</v>
      </c>
    </row>
    <row r="681" spans="1:8" x14ac:dyDescent="0.3">
      <c r="A681">
        <v>680</v>
      </c>
      <c r="B681" t="s">
        <v>1416</v>
      </c>
      <c r="C681" t="s">
        <v>1502</v>
      </c>
      <c r="D681" t="s">
        <v>1507</v>
      </c>
      <c r="E681">
        <v>5</v>
      </c>
      <c r="F681">
        <v>20</v>
      </c>
      <c r="G681" t="s">
        <v>3623</v>
      </c>
      <c r="H681">
        <v>5</v>
      </c>
    </row>
    <row r="682" spans="1:8" x14ac:dyDescent="0.3">
      <c r="A682">
        <v>681</v>
      </c>
      <c r="B682" t="s">
        <v>1082</v>
      </c>
      <c r="C682" t="s">
        <v>1502</v>
      </c>
      <c r="D682" t="s">
        <v>183</v>
      </c>
      <c r="E682">
        <v>11</v>
      </c>
      <c r="F682">
        <v>39</v>
      </c>
      <c r="G682" t="s">
        <v>3619</v>
      </c>
      <c r="H682">
        <v>3</v>
      </c>
    </row>
    <row r="683" spans="1:8" x14ac:dyDescent="0.3">
      <c r="A683">
        <v>682</v>
      </c>
      <c r="B683" t="s">
        <v>66</v>
      </c>
      <c r="C683" t="s">
        <v>1502</v>
      </c>
      <c r="D683" t="s">
        <v>90</v>
      </c>
      <c r="E683">
        <v>2</v>
      </c>
      <c r="F683">
        <v>8</v>
      </c>
      <c r="G683" t="s">
        <v>3621</v>
      </c>
      <c r="H683">
        <v>3</v>
      </c>
    </row>
    <row r="684" spans="1:8" x14ac:dyDescent="0.3">
      <c r="A684">
        <v>683</v>
      </c>
      <c r="B684" t="s">
        <v>1510</v>
      </c>
      <c r="C684" t="s">
        <v>1502</v>
      </c>
      <c r="D684" t="s">
        <v>1512</v>
      </c>
      <c r="E684">
        <v>1</v>
      </c>
      <c r="F684">
        <v>3</v>
      </c>
      <c r="G684" t="s">
        <v>3621</v>
      </c>
      <c r="H684">
        <v>3</v>
      </c>
    </row>
    <row r="685" spans="1:8" x14ac:dyDescent="0.3">
      <c r="A685">
        <v>684</v>
      </c>
      <c r="B685" t="s">
        <v>763</v>
      </c>
      <c r="C685" t="s">
        <v>1502</v>
      </c>
      <c r="D685" t="s">
        <v>1514</v>
      </c>
      <c r="E685">
        <v>1</v>
      </c>
      <c r="F685">
        <v>6</v>
      </c>
      <c r="G685" t="s">
        <v>3621</v>
      </c>
      <c r="H685">
        <v>6</v>
      </c>
    </row>
    <row r="686" spans="1:8" x14ac:dyDescent="0.3">
      <c r="A686">
        <v>685</v>
      </c>
      <c r="B686" t="s">
        <v>997</v>
      </c>
      <c r="C686" t="s">
        <v>1502</v>
      </c>
      <c r="D686" t="s">
        <v>1516</v>
      </c>
      <c r="E686">
        <v>2</v>
      </c>
      <c r="F686">
        <v>9</v>
      </c>
      <c r="G686" t="s">
        <v>3621</v>
      </c>
      <c r="H686">
        <v>4</v>
      </c>
    </row>
    <row r="687" spans="1:8" x14ac:dyDescent="0.3">
      <c r="A687">
        <v>686</v>
      </c>
      <c r="B687" t="s">
        <v>64</v>
      </c>
      <c r="C687" t="s">
        <v>1502</v>
      </c>
      <c r="D687" t="s">
        <v>213</v>
      </c>
      <c r="E687">
        <v>2</v>
      </c>
      <c r="F687">
        <v>7</v>
      </c>
      <c r="G687" t="s">
        <v>3619</v>
      </c>
      <c r="H687">
        <v>3</v>
      </c>
    </row>
    <row r="688" spans="1:8" x14ac:dyDescent="0.3">
      <c r="A688">
        <v>687</v>
      </c>
      <c r="B688" t="s">
        <v>1308</v>
      </c>
      <c r="C688" t="s">
        <v>1502</v>
      </c>
      <c r="D688" t="s">
        <v>643</v>
      </c>
      <c r="E688">
        <v>1</v>
      </c>
      <c r="F688">
        <v>4</v>
      </c>
      <c r="G688" t="s">
        <v>3619</v>
      </c>
      <c r="H688">
        <v>4</v>
      </c>
    </row>
    <row r="689" spans="1:8" x14ac:dyDescent="0.3">
      <c r="A689">
        <v>688</v>
      </c>
      <c r="B689" t="s">
        <v>772</v>
      </c>
      <c r="C689" t="s">
        <v>1502</v>
      </c>
      <c r="D689" t="s">
        <v>1288</v>
      </c>
      <c r="E689">
        <v>5</v>
      </c>
      <c r="F689">
        <v>15</v>
      </c>
      <c r="G689" t="s">
        <v>3619</v>
      </c>
      <c r="H689">
        <v>3</v>
      </c>
    </row>
    <row r="690" spans="1:8" x14ac:dyDescent="0.3">
      <c r="A690">
        <v>689</v>
      </c>
      <c r="B690" t="s">
        <v>1157</v>
      </c>
      <c r="C690" t="s">
        <v>1502</v>
      </c>
      <c r="D690" t="s">
        <v>296</v>
      </c>
      <c r="E690">
        <v>2</v>
      </c>
      <c r="F690">
        <v>7</v>
      </c>
      <c r="G690" t="s">
        <v>3619</v>
      </c>
      <c r="H690">
        <v>4</v>
      </c>
    </row>
    <row r="691" spans="1:8" x14ac:dyDescent="0.3">
      <c r="A691">
        <v>690</v>
      </c>
      <c r="B691" t="s">
        <v>1430</v>
      </c>
      <c r="C691" t="s">
        <v>1502</v>
      </c>
      <c r="D691" t="s">
        <v>107</v>
      </c>
      <c r="E691">
        <v>11</v>
      </c>
      <c r="F691">
        <v>39</v>
      </c>
      <c r="G691" t="s">
        <v>3619</v>
      </c>
      <c r="H691">
        <v>3</v>
      </c>
    </row>
    <row r="692" spans="1:8" x14ac:dyDescent="0.3">
      <c r="A692">
        <v>691</v>
      </c>
      <c r="B692" t="s">
        <v>1522</v>
      </c>
      <c r="C692" t="s">
        <v>1502</v>
      </c>
      <c r="D692" t="s">
        <v>1524</v>
      </c>
      <c r="E692">
        <v>11</v>
      </c>
      <c r="F692">
        <v>39</v>
      </c>
      <c r="G692" t="s">
        <v>3619</v>
      </c>
      <c r="H692">
        <v>5</v>
      </c>
    </row>
    <row r="693" spans="1:8" x14ac:dyDescent="0.3">
      <c r="A693">
        <v>692</v>
      </c>
      <c r="B693" t="s">
        <v>1525</v>
      </c>
      <c r="C693" t="s">
        <v>1502</v>
      </c>
      <c r="D693" t="s">
        <v>887</v>
      </c>
      <c r="E693">
        <v>11</v>
      </c>
      <c r="F693">
        <v>39</v>
      </c>
      <c r="G693" t="s">
        <v>3619</v>
      </c>
      <c r="H693">
        <v>4</v>
      </c>
    </row>
    <row r="694" spans="1:8" x14ac:dyDescent="0.3">
      <c r="A694">
        <v>693</v>
      </c>
      <c r="B694" t="s">
        <v>53</v>
      </c>
      <c r="C694" t="s">
        <v>1502</v>
      </c>
      <c r="D694" t="s">
        <v>1437</v>
      </c>
      <c r="E694">
        <v>3</v>
      </c>
      <c r="F694">
        <v>11</v>
      </c>
      <c r="G694" t="s">
        <v>3624</v>
      </c>
      <c r="H694">
        <v>3</v>
      </c>
    </row>
    <row r="695" spans="1:8" x14ac:dyDescent="0.3">
      <c r="A695">
        <v>694</v>
      </c>
      <c r="B695" t="s">
        <v>69</v>
      </c>
      <c r="C695" t="s">
        <v>1502</v>
      </c>
      <c r="D695" t="s">
        <v>1529</v>
      </c>
      <c r="E695">
        <v>5</v>
      </c>
      <c r="F695">
        <v>20</v>
      </c>
      <c r="G695" t="s">
        <v>3623</v>
      </c>
      <c r="H695">
        <v>3</v>
      </c>
    </row>
    <row r="696" spans="1:8" x14ac:dyDescent="0.3">
      <c r="A696">
        <v>695</v>
      </c>
      <c r="B696" t="s">
        <v>42</v>
      </c>
      <c r="C696" t="s">
        <v>1502</v>
      </c>
      <c r="D696" t="s">
        <v>660</v>
      </c>
      <c r="E696">
        <v>2</v>
      </c>
      <c r="F696">
        <v>8</v>
      </c>
      <c r="G696" t="s">
        <v>3623</v>
      </c>
      <c r="H696">
        <v>3</v>
      </c>
    </row>
    <row r="697" spans="1:8" x14ac:dyDescent="0.3">
      <c r="A697">
        <v>696</v>
      </c>
      <c r="B697" t="s">
        <v>1531</v>
      </c>
      <c r="C697" t="s">
        <v>1502</v>
      </c>
      <c r="D697" t="s">
        <v>1488</v>
      </c>
      <c r="E697">
        <v>11</v>
      </c>
      <c r="F697">
        <v>39</v>
      </c>
      <c r="G697" t="s">
        <v>3619</v>
      </c>
      <c r="H697">
        <v>4</v>
      </c>
    </row>
    <row r="698" spans="1:8" x14ac:dyDescent="0.3">
      <c r="A698">
        <v>697</v>
      </c>
      <c r="B698" t="s">
        <v>1011</v>
      </c>
      <c r="C698" t="s">
        <v>1502</v>
      </c>
      <c r="D698" t="s">
        <v>1534</v>
      </c>
      <c r="E698">
        <v>1</v>
      </c>
      <c r="F698">
        <v>3</v>
      </c>
      <c r="G698" t="s">
        <v>3621</v>
      </c>
      <c r="H698">
        <v>3</v>
      </c>
    </row>
    <row r="699" spans="1:8" x14ac:dyDescent="0.3">
      <c r="A699">
        <v>698</v>
      </c>
      <c r="B699" t="s">
        <v>1449</v>
      </c>
      <c r="C699" t="s">
        <v>1502</v>
      </c>
      <c r="D699" t="s">
        <v>1536</v>
      </c>
      <c r="E699">
        <v>5</v>
      </c>
      <c r="F699">
        <v>20</v>
      </c>
      <c r="G699" t="s">
        <v>3623</v>
      </c>
      <c r="H699">
        <v>4</v>
      </c>
    </row>
    <row r="700" spans="1:8" x14ac:dyDescent="0.3">
      <c r="A700">
        <v>699</v>
      </c>
      <c r="B700" t="s">
        <v>36</v>
      </c>
      <c r="C700" t="s">
        <v>1502</v>
      </c>
      <c r="D700" t="s">
        <v>1538</v>
      </c>
      <c r="E700">
        <v>5</v>
      </c>
      <c r="F700">
        <v>20</v>
      </c>
      <c r="G700" t="s">
        <v>3623</v>
      </c>
      <c r="H700">
        <v>4</v>
      </c>
    </row>
    <row r="701" spans="1:8" x14ac:dyDescent="0.3">
      <c r="A701">
        <v>700</v>
      </c>
      <c r="B701" t="s">
        <v>812</v>
      </c>
      <c r="C701" t="s">
        <v>1502</v>
      </c>
      <c r="D701" t="s">
        <v>175</v>
      </c>
      <c r="E701">
        <v>5</v>
      </c>
      <c r="F701">
        <v>15</v>
      </c>
      <c r="G701" t="s">
        <v>3619</v>
      </c>
      <c r="H701">
        <v>3</v>
      </c>
    </row>
    <row r="702" spans="1:8" x14ac:dyDescent="0.3">
      <c r="A702">
        <v>701</v>
      </c>
      <c r="B702" t="s">
        <v>186</v>
      </c>
      <c r="C702" t="s">
        <v>1502</v>
      </c>
      <c r="D702" t="s">
        <v>1541</v>
      </c>
      <c r="E702">
        <v>1</v>
      </c>
      <c r="F702">
        <v>4</v>
      </c>
      <c r="G702" t="s">
        <v>3621</v>
      </c>
      <c r="H702">
        <v>4</v>
      </c>
    </row>
    <row r="703" spans="1:8" x14ac:dyDescent="0.3">
      <c r="A703">
        <v>702</v>
      </c>
      <c r="B703" t="s">
        <v>1542</v>
      </c>
      <c r="C703" t="s">
        <v>1502</v>
      </c>
      <c r="D703" t="s">
        <v>1524</v>
      </c>
      <c r="E703">
        <v>11</v>
      </c>
      <c r="F703">
        <v>39</v>
      </c>
      <c r="G703" t="s">
        <v>3619</v>
      </c>
      <c r="H703">
        <v>4</v>
      </c>
    </row>
    <row r="704" spans="1:8" x14ac:dyDescent="0.3">
      <c r="A704">
        <v>703</v>
      </c>
      <c r="B704" t="s">
        <v>423</v>
      </c>
      <c r="C704" t="s">
        <v>1502</v>
      </c>
      <c r="D704" t="s">
        <v>1288</v>
      </c>
      <c r="E704">
        <v>5</v>
      </c>
      <c r="F704">
        <v>15</v>
      </c>
      <c r="G704" t="s">
        <v>3619</v>
      </c>
      <c r="H704">
        <v>3</v>
      </c>
    </row>
    <row r="705" spans="1:8" x14ac:dyDescent="0.3">
      <c r="A705">
        <v>704</v>
      </c>
      <c r="B705" t="s">
        <v>37</v>
      </c>
      <c r="C705" t="s">
        <v>1502</v>
      </c>
      <c r="D705" t="s">
        <v>442</v>
      </c>
      <c r="E705">
        <v>3</v>
      </c>
      <c r="F705">
        <v>11</v>
      </c>
      <c r="G705" t="s">
        <v>3624</v>
      </c>
      <c r="H705">
        <v>4</v>
      </c>
    </row>
    <row r="706" spans="1:8" x14ac:dyDescent="0.3">
      <c r="A706">
        <v>705</v>
      </c>
      <c r="B706" t="s">
        <v>929</v>
      </c>
      <c r="C706" t="s">
        <v>1502</v>
      </c>
      <c r="D706" t="s">
        <v>660</v>
      </c>
      <c r="E706">
        <v>2</v>
      </c>
      <c r="F706">
        <v>8</v>
      </c>
      <c r="G706" t="s">
        <v>3623</v>
      </c>
      <c r="H706">
        <v>5</v>
      </c>
    </row>
    <row r="707" spans="1:8" x14ac:dyDescent="0.3">
      <c r="A707">
        <v>706</v>
      </c>
      <c r="B707" t="s">
        <v>48</v>
      </c>
      <c r="C707" t="s">
        <v>1502</v>
      </c>
      <c r="D707" t="s">
        <v>233</v>
      </c>
      <c r="E707">
        <v>5</v>
      </c>
      <c r="F707">
        <v>20</v>
      </c>
      <c r="G707" t="s">
        <v>3623</v>
      </c>
      <c r="H707">
        <v>4</v>
      </c>
    </row>
    <row r="708" spans="1:8" x14ac:dyDescent="0.3">
      <c r="A708">
        <v>707</v>
      </c>
      <c r="B708" t="s">
        <v>341</v>
      </c>
      <c r="C708" t="s">
        <v>1502</v>
      </c>
      <c r="D708" t="s">
        <v>1549</v>
      </c>
      <c r="E708">
        <v>1</v>
      </c>
      <c r="F708">
        <v>3</v>
      </c>
      <c r="G708" t="s">
        <v>3621</v>
      </c>
      <c r="H708">
        <v>3</v>
      </c>
    </row>
    <row r="709" spans="1:8" x14ac:dyDescent="0.3">
      <c r="A709">
        <v>708</v>
      </c>
      <c r="B709" t="s">
        <v>1336</v>
      </c>
      <c r="C709" t="s">
        <v>1502</v>
      </c>
      <c r="D709" t="s">
        <v>1551</v>
      </c>
      <c r="E709">
        <v>2</v>
      </c>
      <c r="F709">
        <v>9</v>
      </c>
      <c r="G709" t="s">
        <v>3621</v>
      </c>
      <c r="H709">
        <v>5</v>
      </c>
    </row>
    <row r="710" spans="1:8" x14ac:dyDescent="0.3">
      <c r="A710">
        <v>709</v>
      </c>
      <c r="B710" t="s">
        <v>1552</v>
      </c>
      <c r="C710" t="s">
        <v>1502</v>
      </c>
      <c r="D710" t="s">
        <v>90</v>
      </c>
      <c r="E710">
        <v>2</v>
      </c>
      <c r="F710">
        <v>8</v>
      </c>
      <c r="G710" t="s">
        <v>3621</v>
      </c>
      <c r="H710">
        <v>5</v>
      </c>
    </row>
    <row r="711" spans="1:8" x14ac:dyDescent="0.3">
      <c r="A711">
        <v>710</v>
      </c>
      <c r="B711" t="s">
        <v>347</v>
      </c>
      <c r="C711" t="s">
        <v>1502</v>
      </c>
      <c r="D711" t="s">
        <v>1555</v>
      </c>
      <c r="E711">
        <v>1</v>
      </c>
      <c r="F711">
        <v>3</v>
      </c>
      <c r="G711" t="s">
        <v>3621</v>
      </c>
      <c r="H711">
        <v>3</v>
      </c>
    </row>
    <row r="712" spans="1:8" x14ac:dyDescent="0.3">
      <c r="A712">
        <v>711</v>
      </c>
      <c r="B712" t="s">
        <v>1556</v>
      </c>
      <c r="C712" t="s">
        <v>1502</v>
      </c>
      <c r="D712" t="s">
        <v>1288</v>
      </c>
      <c r="E712">
        <v>5</v>
      </c>
      <c r="F712">
        <v>15</v>
      </c>
      <c r="G712" t="s">
        <v>3619</v>
      </c>
      <c r="H712">
        <v>3</v>
      </c>
    </row>
    <row r="713" spans="1:8" x14ac:dyDescent="0.3">
      <c r="A713">
        <v>712</v>
      </c>
      <c r="B713" t="s">
        <v>58</v>
      </c>
      <c r="C713" t="s">
        <v>1502</v>
      </c>
      <c r="D713" t="s">
        <v>104</v>
      </c>
      <c r="E713">
        <v>1</v>
      </c>
      <c r="F713">
        <v>3</v>
      </c>
      <c r="G713" t="s">
        <v>3621</v>
      </c>
      <c r="H713">
        <v>3</v>
      </c>
    </row>
    <row r="714" spans="1:8" x14ac:dyDescent="0.3">
      <c r="A714">
        <v>713</v>
      </c>
      <c r="B714" t="s">
        <v>1119</v>
      </c>
      <c r="C714" t="s">
        <v>1502</v>
      </c>
      <c r="D714" t="s">
        <v>884</v>
      </c>
      <c r="E714">
        <v>11</v>
      </c>
      <c r="F714">
        <v>39</v>
      </c>
      <c r="G714" t="s">
        <v>3619</v>
      </c>
      <c r="H714">
        <v>3</v>
      </c>
    </row>
    <row r="715" spans="1:8" x14ac:dyDescent="0.3">
      <c r="A715">
        <v>714</v>
      </c>
      <c r="B715" t="s">
        <v>1560</v>
      </c>
      <c r="C715" t="s">
        <v>1502</v>
      </c>
      <c r="D715" t="s">
        <v>1364</v>
      </c>
      <c r="E715">
        <v>1</v>
      </c>
      <c r="F715">
        <v>3</v>
      </c>
      <c r="G715" t="s">
        <v>3619</v>
      </c>
      <c r="H715">
        <v>3</v>
      </c>
    </row>
    <row r="716" spans="1:8" x14ac:dyDescent="0.3">
      <c r="A716">
        <v>715</v>
      </c>
      <c r="B716" t="s">
        <v>246</v>
      </c>
      <c r="C716" t="s">
        <v>1502</v>
      </c>
      <c r="D716" t="s">
        <v>388</v>
      </c>
      <c r="E716">
        <v>11</v>
      </c>
      <c r="F716">
        <v>39</v>
      </c>
      <c r="G716" t="s">
        <v>3619</v>
      </c>
      <c r="H716">
        <v>4</v>
      </c>
    </row>
    <row r="717" spans="1:8" x14ac:dyDescent="0.3">
      <c r="A717">
        <v>716</v>
      </c>
      <c r="B717" t="s">
        <v>1563</v>
      </c>
      <c r="C717" t="s">
        <v>1502</v>
      </c>
      <c r="D717" t="s">
        <v>1565</v>
      </c>
      <c r="E717">
        <v>5</v>
      </c>
      <c r="F717">
        <v>15</v>
      </c>
      <c r="G717" t="s">
        <v>3619</v>
      </c>
      <c r="H717">
        <v>3</v>
      </c>
    </row>
    <row r="718" spans="1:8" x14ac:dyDescent="0.3">
      <c r="A718">
        <v>717</v>
      </c>
      <c r="B718" t="s">
        <v>608</v>
      </c>
      <c r="C718" t="s">
        <v>1502</v>
      </c>
      <c r="D718" t="s">
        <v>213</v>
      </c>
      <c r="E718">
        <v>2</v>
      </c>
      <c r="F718">
        <v>7</v>
      </c>
      <c r="G718" t="s">
        <v>3619</v>
      </c>
      <c r="H718">
        <v>4</v>
      </c>
    </row>
    <row r="719" spans="1:8" x14ac:dyDescent="0.3">
      <c r="A719">
        <v>718</v>
      </c>
      <c r="B719" t="s">
        <v>1046</v>
      </c>
      <c r="C719" t="s">
        <v>1502</v>
      </c>
      <c r="D719" t="s">
        <v>1568</v>
      </c>
      <c r="E719">
        <v>11</v>
      </c>
      <c r="F719">
        <v>39</v>
      </c>
      <c r="G719" t="s">
        <v>3619</v>
      </c>
      <c r="H719">
        <v>3</v>
      </c>
    </row>
    <row r="720" spans="1:8" x14ac:dyDescent="0.3">
      <c r="A720">
        <v>719</v>
      </c>
      <c r="B720" t="s">
        <v>1213</v>
      </c>
      <c r="C720" t="s">
        <v>1502</v>
      </c>
      <c r="D720" t="s">
        <v>1570</v>
      </c>
      <c r="E720">
        <v>11</v>
      </c>
      <c r="F720">
        <v>39</v>
      </c>
      <c r="G720" t="s">
        <v>3619</v>
      </c>
      <c r="H720">
        <v>3</v>
      </c>
    </row>
    <row r="721" spans="1:8" x14ac:dyDescent="0.3">
      <c r="A721">
        <v>720</v>
      </c>
      <c r="B721" t="s">
        <v>871</v>
      </c>
      <c r="C721" t="s">
        <v>1502</v>
      </c>
      <c r="D721" t="s">
        <v>1572</v>
      </c>
      <c r="E721">
        <v>1</v>
      </c>
      <c r="F721">
        <v>3</v>
      </c>
      <c r="G721" t="s">
        <v>3625</v>
      </c>
      <c r="H721">
        <v>3</v>
      </c>
    </row>
    <row r="722" spans="1:8" x14ac:dyDescent="0.3">
      <c r="A722">
        <v>721</v>
      </c>
      <c r="B722" t="s">
        <v>1573</v>
      </c>
      <c r="C722" t="s">
        <v>1502</v>
      </c>
      <c r="D722" t="s">
        <v>266</v>
      </c>
      <c r="E722">
        <v>1</v>
      </c>
      <c r="F722">
        <v>4</v>
      </c>
      <c r="G722" t="s">
        <v>3621</v>
      </c>
      <c r="H722">
        <v>4</v>
      </c>
    </row>
    <row r="723" spans="1:8" x14ac:dyDescent="0.3">
      <c r="A723">
        <v>722</v>
      </c>
      <c r="B723" t="s">
        <v>272</v>
      </c>
      <c r="C723" t="s">
        <v>1502</v>
      </c>
      <c r="D723" t="s">
        <v>442</v>
      </c>
      <c r="E723">
        <v>3</v>
      </c>
      <c r="F723">
        <v>11</v>
      </c>
      <c r="G723" t="s">
        <v>3624</v>
      </c>
      <c r="H723">
        <v>4</v>
      </c>
    </row>
    <row r="724" spans="1:8" x14ac:dyDescent="0.3">
      <c r="A724">
        <v>723</v>
      </c>
      <c r="B724" t="s">
        <v>1228</v>
      </c>
      <c r="C724" t="s">
        <v>1502</v>
      </c>
      <c r="D724" t="s">
        <v>1577</v>
      </c>
      <c r="E724">
        <v>1</v>
      </c>
      <c r="F724">
        <v>4</v>
      </c>
      <c r="G724" t="s">
        <v>3619</v>
      </c>
      <c r="H724">
        <v>4</v>
      </c>
    </row>
    <row r="725" spans="1:8" x14ac:dyDescent="0.3">
      <c r="A725">
        <v>724</v>
      </c>
      <c r="B725" t="s">
        <v>1578</v>
      </c>
      <c r="C725" t="s">
        <v>1579</v>
      </c>
      <c r="D725" t="s">
        <v>1581</v>
      </c>
      <c r="E725">
        <v>7</v>
      </c>
      <c r="F725">
        <v>28</v>
      </c>
      <c r="G725" t="s">
        <v>3619</v>
      </c>
      <c r="H725">
        <v>4</v>
      </c>
    </row>
    <row r="726" spans="1:8" x14ac:dyDescent="0.3">
      <c r="A726">
        <v>725</v>
      </c>
      <c r="B726" t="s">
        <v>1582</v>
      </c>
      <c r="C726" t="s">
        <v>1579</v>
      </c>
      <c r="D726" t="s">
        <v>1584</v>
      </c>
      <c r="E726">
        <v>7</v>
      </c>
      <c r="F726">
        <v>28</v>
      </c>
      <c r="G726" t="s">
        <v>3619</v>
      </c>
      <c r="H726">
        <v>4</v>
      </c>
    </row>
    <row r="727" spans="1:8" x14ac:dyDescent="0.3">
      <c r="A727">
        <v>726</v>
      </c>
      <c r="B727" t="s">
        <v>1416</v>
      </c>
      <c r="C727" t="s">
        <v>1579</v>
      </c>
      <c r="D727" t="s">
        <v>1586</v>
      </c>
      <c r="E727">
        <v>1</v>
      </c>
      <c r="F727">
        <v>3</v>
      </c>
      <c r="G727" t="s">
        <v>3621</v>
      </c>
      <c r="H727">
        <v>3</v>
      </c>
    </row>
    <row r="728" spans="1:8" x14ac:dyDescent="0.3">
      <c r="A728">
        <v>727</v>
      </c>
      <c r="B728" t="s">
        <v>105</v>
      </c>
      <c r="C728" t="s">
        <v>1579</v>
      </c>
      <c r="D728" t="s">
        <v>1588</v>
      </c>
      <c r="E728">
        <v>4</v>
      </c>
      <c r="F728">
        <v>14</v>
      </c>
      <c r="G728" t="s">
        <v>3619</v>
      </c>
      <c r="H728">
        <v>3</v>
      </c>
    </row>
    <row r="729" spans="1:8" x14ac:dyDescent="0.3">
      <c r="A729">
        <v>728</v>
      </c>
      <c r="B729" t="s">
        <v>1589</v>
      </c>
      <c r="C729" t="s">
        <v>1579</v>
      </c>
      <c r="D729" t="s">
        <v>1591</v>
      </c>
      <c r="E729">
        <v>7</v>
      </c>
      <c r="F729">
        <v>28</v>
      </c>
      <c r="G729" t="s">
        <v>3619</v>
      </c>
      <c r="H729">
        <v>4</v>
      </c>
    </row>
    <row r="730" spans="1:8" x14ac:dyDescent="0.3">
      <c r="A730">
        <v>729</v>
      </c>
      <c r="B730" t="s">
        <v>1592</v>
      </c>
      <c r="C730" t="s">
        <v>1579</v>
      </c>
      <c r="D730" t="s">
        <v>1594</v>
      </c>
      <c r="E730">
        <v>1</v>
      </c>
      <c r="F730">
        <v>3</v>
      </c>
      <c r="G730" t="s">
        <v>3621</v>
      </c>
      <c r="H730">
        <v>3</v>
      </c>
    </row>
    <row r="731" spans="1:8" x14ac:dyDescent="0.3">
      <c r="A731">
        <v>730</v>
      </c>
      <c r="B731" t="s">
        <v>1595</v>
      </c>
      <c r="C731" t="s">
        <v>1579</v>
      </c>
      <c r="D731" t="s">
        <v>1541</v>
      </c>
      <c r="E731">
        <v>1</v>
      </c>
      <c r="F731">
        <v>3</v>
      </c>
      <c r="G731" t="s">
        <v>3621</v>
      </c>
      <c r="H731">
        <v>3</v>
      </c>
    </row>
    <row r="732" spans="1:8" x14ac:dyDescent="0.3">
      <c r="A732">
        <v>731</v>
      </c>
      <c r="B732" t="s">
        <v>1597</v>
      </c>
      <c r="C732" t="s">
        <v>1579</v>
      </c>
      <c r="D732" t="s">
        <v>553</v>
      </c>
      <c r="E732">
        <v>1</v>
      </c>
      <c r="F732">
        <v>3</v>
      </c>
      <c r="G732" t="s">
        <v>3621</v>
      </c>
      <c r="H732">
        <v>3</v>
      </c>
    </row>
    <row r="733" spans="1:8" x14ac:dyDescent="0.3">
      <c r="A733">
        <v>732</v>
      </c>
      <c r="B733" t="s">
        <v>1305</v>
      </c>
      <c r="C733" t="s">
        <v>1579</v>
      </c>
      <c r="D733" t="s">
        <v>1600</v>
      </c>
      <c r="E733">
        <v>5</v>
      </c>
      <c r="F733">
        <v>15</v>
      </c>
      <c r="G733" t="s">
        <v>3619</v>
      </c>
      <c r="H733">
        <v>3</v>
      </c>
    </row>
    <row r="734" spans="1:8" x14ac:dyDescent="0.3">
      <c r="A734">
        <v>733</v>
      </c>
      <c r="B734" t="s">
        <v>1601</v>
      </c>
      <c r="C734" t="s">
        <v>1579</v>
      </c>
      <c r="D734" t="s">
        <v>1603</v>
      </c>
      <c r="E734">
        <v>1</v>
      </c>
      <c r="F734">
        <v>6</v>
      </c>
      <c r="G734" t="s">
        <v>3619</v>
      </c>
      <c r="H734">
        <v>6</v>
      </c>
    </row>
    <row r="735" spans="1:8" x14ac:dyDescent="0.3">
      <c r="A735">
        <v>734</v>
      </c>
      <c r="B735" t="s">
        <v>1604</v>
      </c>
      <c r="C735" t="s">
        <v>1579</v>
      </c>
      <c r="D735" t="s">
        <v>1606</v>
      </c>
      <c r="E735">
        <v>7</v>
      </c>
      <c r="F735">
        <v>28</v>
      </c>
      <c r="G735" t="s">
        <v>3619</v>
      </c>
      <c r="H735">
        <v>4</v>
      </c>
    </row>
    <row r="736" spans="1:8" x14ac:dyDescent="0.3">
      <c r="A736">
        <v>735</v>
      </c>
      <c r="B736" t="s">
        <v>53</v>
      </c>
      <c r="C736" t="s">
        <v>1579</v>
      </c>
      <c r="D736" t="s">
        <v>1608</v>
      </c>
      <c r="E736">
        <v>4</v>
      </c>
      <c r="F736">
        <v>14</v>
      </c>
      <c r="G736" t="s">
        <v>3619</v>
      </c>
      <c r="H736">
        <v>5</v>
      </c>
    </row>
    <row r="737" spans="1:8" x14ac:dyDescent="0.3">
      <c r="A737">
        <v>736</v>
      </c>
      <c r="B737" t="s">
        <v>1609</v>
      </c>
      <c r="C737" t="s">
        <v>1579</v>
      </c>
      <c r="D737" t="s">
        <v>1611</v>
      </c>
      <c r="E737">
        <v>1</v>
      </c>
      <c r="F737">
        <v>3</v>
      </c>
      <c r="G737" t="s">
        <v>3619</v>
      </c>
      <c r="H737">
        <v>3</v>
      </c>
    </row>
    <row r="738" spans="1:8" x14ac:dyDescent="0.3">
      <c r="A738">
        <v>737</v>
      </c>
      <c r="B738" t="s">
        <v>1612</v>
      </c>
      <c r="C738" t="s">
        <v>1579</v>
      </c>
      <c r="D738" t="s">
        <v>977</v>
      </c>
      <c r="E738">
        <v>3</v>
      </c>
      <c r="F738">
        <v>9</v>
      </c>
      <c r="G738" t="s">
        <v>3623</v>
      </c>
      <c r="H738">
        <v>3</v>
      </c>
    </row>
    <row r="739" spans="1:8" x14ac:dyDescent="0.3">
      <c r="A739">
        <v>738</v>
      </c>
      <c r="B739" t="s">
        <v>1316</v>
      </c>
      <c r="C739" t="s">
        <v>1579</v>
      </c>
      <c r="D739" t="s">
        <v>1615</v>
      </c>
      <c r="E739">
        <v>5</v>
      </c>
      <c r="F739">
        <v>15</v>
      </c>
      <c r="G739" t="s">
        <v>3619</v>
      </c>
      <c r="H739">
        <v>3</v>
      </c>
    </row>
    <row r="740" spans="1:8" x14ac:dyDescent="0.3">
      <c r="A740">
        <v>739</v>
      </c>
      <c r="B740" t="s">
        <v>149</v>
      </c>
      <c r="C740" t="s">
        <v>1579</v>
      </c>
      <c r="D740" t="s">
        <v>1617</v>
      </c>
      <c r="E740">
        <v>3</v>
      </c>
      <c r="F740">
        <v>9</v>
      </c>
      <c r="G740" t="s">
        <v>3623</v>
      </c>
      <c r="H740">
        <v>3</v>
      </c>
    </row>
    <row r="741" spans="1:8" x14ac:dyDescent="0.3">
      <c r="A741">
        <v>740</v>
      </c>
      <c r="B741" t="s">
        <v>155</v>
      </c>
      <c r="C741" t="s">
        <v>1579</v>
      </c>
      <c r="D741" t="s">
        <v>183</v>
      </c>
      <c r="E741">
        <v>6</v>
      </c>
      <c r="F741">
        <v>21</v>
      </c>
      <c r="G741" t="s">
        <v>3619</v>
      </c>
      <c r="H741">
        <v>3</v>
      </c>
    </row>
    <row r="742" spans="1:8" x14ac:dyDescent="0.3">
      <c r="A742">
        <v>741</v>
      </c>
      <c r="B742" t="s">
        <v>807</v>
      </c>
      <c r="C742" t="s">
        <v>1579</v>
      </c>
      <c r="D742" t="s">
        <v>1288</v>
      </c>
      <c r="E742">
        <v>1</v>
      </c>
      <c r="F742">
        <v>3</v>
      </c>
      <c r="G742" t="s">
        <v>3619</v>
      </c>
      <c r="H742">
        <v>3</v>
      </c>
    </row>
    <row r="743" spans="1:8" x14ac:dyDescent="0.3">
      <c r="A743">
        <v>742</v>
      </c>
      <c r="B743" t="s">
        <v>161</v>
      </c>
      <c r="C743" t="s">
        <v>1579</v>
      </c>
      <c r="D743" t="s">
        <v>183</v>
      </c>
      <c r="E743">
        <v>6</v>
      </c>
      <c r="F743">
        <v>21</v>
      </c>
      <c r="G743" t="s">
        <v>3619</v>
      </c>
      <c r="H743">
        <v>6</v>
      </c>
    </row>
    <row r="744" spans="1:8" x14ac:dyDescent="0.3">
      <c r="A744">
        <v>743</v>
      </c>
      <c r="B744" t="s">
        <v>164</v>
      </c>
      <c r="C744" t="s">
        <v>1579</v>
      </c>
      <c r="D744" t="s">
        <v>1622</v>
      </c>
      <c r="E744">
        <v>5</v>
      </c>
      <c r="F744">
        <v>15</v>
      </c>
      <c r="G744" t="s">
        <v>3619</v>
      </c>
      <c r="H744">
        <v>3</v>
      </c>
    </row>
    <row r="745" spans="1:8" x14ac:dyDescent="0.3">
      <c r="A745">
        <v>744</v>
      </c>
      <c r="B745" t="s">
        <v>1623</v>
      </c>
      <c r="C745" t="s">
        <v>1579</v>
      </c>
      <c r="D745" t="s">
        <v>1625</v>
      </c>
      <c r="E745">
        <v>6</v>
      </c>
      <c r="F745">
        <v>21</v>
      </c>
      <c r="G745" t="s">
        <v>3619</v>
      </c>
      <c r="H745">
        <v>3</v>
      </c>
    </row>
    <row r="746" spans="1:8" x14ac:dyDescent="0.3">
      <c r="A746">
        <v>745</v>
      </c>
      <c r="B746" t="s">
        <v>1626</v>
      </c>
      <c r="C746" t="s">
        <v>1579</v>
      </c>
      <c r="D746" t="s">
        <v>113</v>
      </c>
      <c r="E746">
        <v>1</v>
      </c>
      <c r="F746">
        <v>3</v>
      </c>
      <c r="G746" t="s">
        <v>3619</v>
      </c>
      <c r="H746">
        <v>3</v>
      </c>
    </row>
    <row r="747" spans="1:8" x14ac:dyDescent="0.3">
      <c r="A747">
        <v>746</v>
      </c>
      <c r="B747" t="s">
        <v>324</v>
      </c>
      <c r="C747" t="s">
        <v>1579</v>
      </c>
      <c r="D747" t="s">
        <v>442</v>
      </c>
      <c r="E747">
        <v>1</v>
      </c>
      <c r="F747">
        <v>3</v>
      </c>
      <c r="G747" t="s">
        <v>3624</v>
      </c>
      <c r="H747">
        <v>3</v>
      </c>
    </row>
    <row r="748" spans="1:8" x14ac:dyDescent="0.3">
      <c r="A748">
        <v>747</v>
      </c>
      <c r="B748" t="s">
        <v>37</v>
      </c>
      <c r="C748" t="s">
        <v>1579</v>
      </c>
      <c r="D748" t="s">
        <v>1630</v>
      </c>
      <c r="E748">
        <v>4</v>
      </c>
      <c r="F748">
        <v>14</v>
      </c>
      <c r="G748" t="s">
        <v>3619</v>
      </c>
      <c r="H748">
        <v>3</v>
      </c>
    </row>
    <row r="749" spans="1:8" x14ac:dyDescent="0.3">
      <c r="A749">
        <v>748</v>
      </c>
      <c r="B749" t="s">
        <v>1631</v>
      </c>
      <c r="C749" t="s">
        <v>1579</v>
      </c>
      <c r="D749" t="s">
        <v>333</v>
      </c>
      <c r="E749">
        <v>6</v>
      </c>
      <c r="F749">
        <v>21</v>
      </c>
      <c r="G749" t="s">
        <v>3619</v>
      </c>
      <c r="H749">
        <v>3</v>
      </c>
    </row>
    <row r="750" spans="1:8" x14ac:dyDescent="0.3">
      <c r="A750">
        <v>749</v>
      </c>
      <c r="B750" t="s">
        <v>429</v>
      </c>
      <c r="C750" t="s">
        <v>1579</v>
      </c>
      <c r="D750" t="s">
        <v>1634</v>
      </c>
      <c r="E750">
        <v>1</v>
      </c>
      <c r="F750">
        <v>3</v>
      </c>
      <c r="G750" t="s">
        <v>3619</v>
      </c>
      <c r="H750">
        <v>3</v>
      </c>
    </row>
    <row r="751" spans="1:8" x14ac:dyDescent="0.3">
      <c r="A751">
        <v>750</v>
      </c>
      <c r="B751" t="s">
        <v>432</v>
      </c>
      <c r="C751" t="s">
        <v>1579</v>
      </c>
      <c r="D751" t="s">
        <v>1074</v>
      </c>
      <c r="E751">
        <v>1</v>
      </c>
      <c r="F751">
        <v>3</v>
      </c>
      <c r="G751" t="s">
        <v>3621</v>
      </c>
      <c r="H751">
        <v>3</v>
      </c>
    </row>
    <row r="752" spans="1:8" x14ac:dyDescent="0.3">
      <c r="A752">
        <v>751</v>
      </c>
      <c r="B752" t="s">
        <v>202</v>
      </c>
      <c r="C752" t="s">
        <v>1579</v>
      </c>
      <c r="D752" t="s">
        <v>1637</v>
      </c>
      <c r="E752">
        <v>5</v>
      </c>
      <c r="F752">
        <v>15</v>
      </c>
      <c r="G752" t="s">
        <v>3619</v>
      </c>
      <c r="H752">
        <v>3</v>
      </c>
    </row>
    <row r="753" spans="1:8" x14ac:dyDescent="0.3">
      <c r="A753">
        <v>752</v>
      </c>
      <c r="B753" t="s">
        <v>205</v>
      </c>
      <c r="C753" t="s">
        <v>1579</v>
      </c>
      <c r="D753" t="s">
        <v>1639</v>
      </c>
      <c r="E753">
        <v>4</v>
      </c>
      <c r="F753">
        <v>14</v>
      </c>
      <c r="G753" t="s">
        <v>3619</v>
      </c>
      <c r="H753">
        <v>3</v>
      </c>
    </row>
    <row r="754" spans="1:8" x14ac:dyDescent="0.3">
      <c r="A754">
        <v>753</v>
      </c>
      <c r="B754" t="s">
        <v>339</v>
      </c>
      <c r="C754" t="s">
        <v>1579</v>
      </c>
      <c r="D754" t="s">
        <v>1641</v>
      </c>
      <c r="E754">
        <v>3</v>
      </c>
      <c r="F754">
        <v>13</v>
      </c>
      <c r="G754" t="s">
        <v>3619</v>
      </c>
      <c r="H754">
        <v>4</v>
      </c>
    </row>
    <row r="755" spans="1:8" x14ac:dyDescent="0.3">
      <c r="A755">
        <v>754</v>
      </c>
      <c r="B755" t="s">
        <v>57</v>
      </c>
      <c r="C755" t="s">
        <v>1579</v>
      </c>
      <c r="D755" t="s">
        <v>1643</v>
      </c>
      <c r="E755">
        <v>3</v>
      </c>
      <c r="F755">
        <v>13</v>
      </c>
      <c r="G755" t="s">
        <v>3619</v>
      </c>
      <c r="H755">
        <v>5</v>
      </c>
    </row>
    <row r="756" spans="1:8" x14ac:dyDescent="0.3">
      <c r="A756">
        <v>755</v>
      </c>
      <c r="B756" t="s">
        <v>1644</v>
      </c>
      <c r="C756" t="s">
        <v>1579</v>
      </c>
      <c r="D756" t="s">
        <v>1584</v>
      </c>
      <c r="E756">
        <v>7</v>
      </c>
      <c r="F756">
        <v>28</v>
      </c>
      <c r="G756" t="s">
        <v>3619</v>
      </c>
      <c r="H756">
        <v>4</v>
      </c>
    </row>
    <row r="757" spans="1:8" x14ac:dyDescent="0.3">
      <c r="A757">
        <v>756</v>
      </c>
      <c r="B757" t="s">
        <v>704</v>
      </c>
      <c r="C757" t="s">
        <v>1579</v>
      </c>
      <c r="D757" t="s">
        <v>779</v>
      </c>
      <c r="E757">
        <v>1</v>
      </c>
      <c r="F757">
        <v>4</v>
      </c>
      <c r="G757" t="s">
        <v>3619</v>
      </c>
      <c r="H757">
        <v>4</v>
      </c>
    </row>
    <row r="758" spans="1:8" x14ac:dyDescent="0.3">
      <c r="A758">
        <v>757</v>
      </c>
      <c r="B758" t="s">
        <v>40</v>
      </c>
      <c r="C758" t="s">
        <v>1579</v>
      </c>
      <c r="D758" t="s">
        <v>1648</v>
      </c>
      <c r="E758">
        <v>5</v>
      </c>
      <c r="F758">
        <v>15</v>
      </c>
      <c r="G758" t="s">
        <v>3619</v>
      </c>
      <c r="H758">
        <v>3</v>
      </c>
    </row>
    <row r="759" spans="1:8" x14ac:dyDescent="0.3">
      <c r="A759">
        <v>758</v>
      </c>
      <c r="B759" t="s">
        <v>1649</v>
      </c>
      <c r="C759" t="s">
        <v>1579</v>
      </c>
      <c r="D759" t="s">
        <v>1651</v>
      </c>
      <c r="E759">
        <v>7</v>
      </c>
      <c r="F759">
        <v>28</v>
      </c>
      <c r="G759" t="s">
        <v>3619</v>
      </c>
      <c r="H759">
        <v>4</v>
      </c>
    </row>
    <row r="760" spans="1:8" x14ac:dyDescent="0.3">
      <c r="A760">
        <v>759</v>
      </c>
      <c r="B760" t="s">
        <v>237</v>
      </c>
      <c r="C760" t="s">
        <v>1579</v>
      </c>
      <c r="D760" t="s">
        <v>1653</v>
      </c>
      <c r="E760">
        <v>3</v>
      </c>
      <c r="F760">
        <v>13</v>
      </c>
      <c r="G760" t="s">
        <v>3619</v>
      </c>
      <c r="H760">
        <v>4</v>
      </c>
    </row>
    <row r="761" spans="1:8" x14ac:dyDescent="0.3">
      <c r="A761">
        <v>760</v>
      </c>
      <c r="B761" t="s">
        <v>1480</v>
      </c>
      <c r="C761" t="s">
        <v>1579</v>
      </c>
      <c r="D761" t="s">
        <v>1655</v>
      </c>
      <c r="E761">
        <v>1</v>
      </c>
      <c r="F761">
        <v>4</v>
      </c>
      <c r="G761" t="s">
        <v>3619</v>
      </c>
      <c r="H761">
        <v>4</v>
      </c>
    </row>
    <row r="762" spans="1:8" x14ac:dyDescent="0.3">
      <c r="A762">
        <v>761</v>
      </c>
      <c r="B762" t="s">
        <v>1656</v>
      </c>
      <c r="C762" t="s">
        <v>1579</v>
      </c>
      <c r="D762" t="s">
        <v>333</v>
      </c>
      <c r="E762">
        <v>6</v>
      </c>
      <c r="F762">
        <v>21</v>
      </c>
      <c r="G762" t="s">
        <v>3619</v>
      </c>
      <c r="H762">
        <v>3</v>
      </c>
    </row>
    <row r="763" spans="1:8" x14ac:dyDescent="0.3">
      <c r="A763">
        <v>762</v>
      </c>
      <c r="B763" t="s">
        <v>1658</v>
      </c>
      <c r="C763" t="s">
        <v>1579</v>
      </c>
      <c r="D763" t="s">
        <v>1660</v>
      </c>
      <c r="E763">
        <v>3</v>
      </c>
      <c r="F763">
        <v>9</v>
      </c>
      <c r="G763" t="s">
        <v>3623</v>
      </c>
      <c r="H763">
        <v>3</v>
      </c>
    </row>
    <row r="764" spans="1:8" x14ac:dyDescent="0.3">
      <c r="A764">
        <v>763</v>
      </c>
      <c r="B764" t="s">
        <v>603</v>
      </c>
      <c r="C764" t="s">
        <v>1579</v>
      </c>
      <c r="D764" t="s">
        <v>1662</v>
      </c>
      <c r="E764">
        <v>2</v>
      </c>
      <c r="F764">
        <v>7</v>
      </c>
      <c r="G764" t="s">
        <v>3621</v>
      </c>
      <c r="H764">
        <v>3</v>
      </c>
    </row>
    <row r="765" spans="1:8" x14ac:dyDescent="0.3">
      <c r="A765">
        <v>764</v>
      </c>
      <c r="B765" t="s">
        <v>1663</v>
      </c>
      <c r="C765" t="s">
        <v>1579</v>
      </c>
      <c r="D765" t="s">
        <v>1665</v>
      </c>
      <c r="E765">
        <v>7</v>
      </c>
      <c r="F765">
        <v>28</v>
      </c>
      <c r="G765" t="s">
        <v>3619</v>
      </c>
      <c r="H765">
        <v>4</v>
      </c>
    </row>
    <row r="766" spans="1:8" x14ac:dyDescent="0.3">
      <c r="A766">
        <v>765</v>
      </c>
      <c r="B766" t="s">
        <v>1666</v>
      </c>
      <c r="C766" t="s">
        <v>1579</v>
      </c>
      <c r="D766" t="s">
        <v>107</v>
      </c>
      <c r="E766">
        <v>6</v>
      </c>
      <c r="F766">
        <v>21</v>
      </c>
      <c r="G766" t="s">
        <v>3619</v>
      </c>
      <c r="H766">
        <v>3</v>
      </c>
    </row>
    <row r="767" spans="1:8" x14ac:dyDescent="0.3">
      <c r="A767">
        <v>766</v>
      </c>
      <c r="B767" t="s">
        <v>1668</v>
      </c>
      <c r="C767" t="s">
        <v>1579</v>
      </c>
      <c r="D767" t="s">
        <v>1670</v>
      </c>
      <c r="E767">
        <v>2</v>
      </c>
      <c r="F767">
        <v>7</v>
      </c>
      <c r="G767" t="s">
        <v>3621</v>
      </c>
      <c r="H767">
        <v>4</v>
      </c>
    </row>
    <row r="768" spans="1:8" x14ac:dyDescent="0.3">
      <c r="A768">
        <v>767</v>
      </c>
      <c r="B768" t="s">
        <v>1671</v>
      </c>
      <c r="C768" t="s">
        <v>1579</v>
      </c>
      <c r="D768" t="s">
        <v>1673</v>
      </c>
      <c r="E768">
        <v>1</v>
      </c>
      <c r="F768">
        <v>3</v>
      </c>
      <c r="G768" t="s">
        <v>3619</v>
      </c>
      <c r="H768">
        <v>3</v>
      </c>
    </row>
    <row r="769" spans="1:8" x14ac:dyDescent="0.3">
      <c r="A769">
        <v>768</v>
      </c>
      <c r="B769" t="s">
        <v>497</v>
      </c>
      <c r="C769" t="s">
        <v>1674</v>
      </c>
      <c r="D769" t="s">
        <v>213</v>
      </c>
      <c r="E769">
        <v>2</v>
      </c>
      <c r="F769">
        <v>8</v>
      </c>
      <c r="G769" t="s">
        <v>3619</v>
      </c>
      <c r="H769">
        <v>4</v>
      </c>
    </row>
    <row r="770" spans="1:8" x14ac:dyDescent="0.3">
      <c r="A770">
        <v>769</v>
      </c>
      <c r="B770" t="s">
        <v>102</v>
      </c>
      <c r="C770" t="s">
        <v>1674</v>
      </c>
      <c r="D770" t="s">
        <v>660</v>
      </c>
      <c r="E770">
        <v>2</v>
      </c>
      <c r="F770">
        <v>7</v>
      </c>
      <c r="G770" t="s">
        <v>3623</v>
      </c>
      <c r="H770">
        <v>3</v>
      </c>
    </row>
    <row r="771" spans="1:8" x14ac:dyDescent="0.3">
      <c r="A771">
        <v>770</v>
      </c>
      <c r="B771" t="s">
        <v>1677</v>
      </c>
      <c r="C771" t="s">
        <v>1674</v>
      </c>
      <c r="D771" t="s">
        <v>1679</v>
      </c>
      <c r="E771">
        <v>1</v>
      </c>
      <c r="F771">
        <v>3</v>
      </c>
      <c r="G771" t="s">
        <v>3621</v>
      </c>
      <c r="H771">
        <v>3</v>
      </c>
    </row>
    <row r="772" spans="1:8" x14ac:dyDescent="0.3">
      <c r="A772">
        <v>771</v>
      </c>
      <c r="B772" t="s">
        <v>120</v>
      </c>
      <c r="C772" t="s">
        <v>1674</v>
      </c>
      <c r="D772" t="s">
        <v>113</v>
      </c>
      <c r="E772">
        <v>1</v>
      </c>
      <c r="F772">
        <v>3</v>
      </c>
      <c r="G772" t="s">
        <v>3619</v>
      </c>
      <c r="H772">
        <v>3</v>
      </c>
    </row>
    <row r="773" spans="1:8" x14ac:dyDescent="0.3">
      <c r="A773">
        <v>772</v>
      </c>
      <c r="B773" t="s">
        <v>1681</v>
      </c>
      <c r="C773" t="s">
        <v>1674</v>
      </c>
      <c r="D773" t="s">
        <v>333</v>
      </c>
      <c r="E773">
        <v>3</v>
      </c>
      <c r="F773">
        <v>13</v>
      </c>
      <c r="G773" t="s">
        <v>3619</v>
      </c>
      <c r="H773">
        <v>5</v>
      </c>
    </row>
    <row r="774" spans="1:8" x14ac:dyDescent="0.3">
      <c r="A774">
        <v>773</v>
      </c>
      <c r="B774" t="s">
        <v>1683</v>
      </c>
      <c r="C774" t="s">
        <v>1674</v>
      </c>
      <c r="D774" t="s">
        <v>104</v>
      </c>
      <c r="E774">
        <v>1</v>
      </c>
      <c r="F774">
        <v>3</v>
      </c>
      <c r="G774" t="s">
        <v>3621</v>
      </c>
      <c r="H774">
        <v>3</v>
      </c>
    </row>
    <row r="775" spans="1:8" x14ac:dyDescent="0.3">
      <c r="A775">
        <v>774</v>
      </c>
      <c r="B775" t="s">
        <v>1685</v>
      </c>
      <c r="C775" t="s">
        <v>1674</v>
      </c>
      <c r="D775" t="s">
        <v>1687</v>
      </c>
      <c r="E775">
        <v>5</v>
      </c>
      <c r="F775">
        <v>17</v>
      </c>
      <c r="G775" t="s">
        <v>3619</v>
      </c>
      <c r="H775">
        <v>4</v>
      </c>
    </row>
    <row r="776" spans="1:8" x14ac:dyDescent="0.3">
      <c r="A776">
        <v>775</v>
      </c>
      <c r="B776" t="s">
        <v>1688</v>
      </c>
      <c r="C776" t="s">
        <v>1674</v>
      </c>
      <c r="D776" t="s">
        <v>514</v>
      </c>
      <c r="E776">
        <v>1</v>
      </c>
      <c r="F776">
        <v>3</v>
      </c>
      <c r="G776" t="s">
        <v>3624</v>
      </c>
      <c r="H776">
        <v>3</v>
      </c>
    </row>
    <row r="777" spans="1:8" x14ac:dyDescent="0.3">
      <c r="A777">
        <v>776</v>
      </c>
      <c r="B777" t="s">
        <v>653</v>
      </c>
      <c r="C777" t="s">
        <v>1674</v>
      </c>
      <c r="D777" t="s">
        <v>1691</v>
      </c>
      <c r="E777">
        <v>1</v>
      </c>
      <c r="F777">
        <v>3</v>
      </c>
      <c r="G777" t="s">
        <v>3619</v>
      </c>
      <c r="H777">
        <v>3</v>
      </c>
    </row>
    <row r="778" spans="1:8" x14ac:dyDescent="0.3">
      <c r="A778">
        <v>777</v>
      </c>
      <c r="B778" t="s">
        <v>1692</v>
      </c>
      <c r="C778" t="s">
        <v>1674</v>
      </c>
      <c r="D778" t="s">
        <v>1694</v>
      </c>
      <c r="E778">
        <v>2</v>
      </c>
      <c r="F778">
        <v>6</v>
      </c>
      <c r="G778" t="s">
        <v>3621</v>
      </c>
      <c r="H778">
        <v>3</v>
      </c>
    </row>
    <row r="779" spans="1:8" x14ac:dyDescent="0.3">
      <c r="A779">
        <v>778</v>
      </c>
      <c r="B779" t="s">
        <v>135</v>
      </c>
      <c r="C779" t="s">
        <v>1674</v>
      </c>
      <c r="D779" t="s">
        <v>1696</v>
      </c>
      <c r="E779">
        <v>4</v>
      </c>
      <c r="F779">
        <v>17</v>
      </c>
      <c r="G779" t="s">
        <v>3624</v>
      </c>
      <c r="H779">
        <v>3</v>
      </c>
    </row>
    <row r="780" spans="1:8" x14ac:dyDescent="0.3">
      <c r="A780">
        <v>779</v>
      </c>
      <c r="B780" t="s">
        <v>307</v>
      </c>
      <c r="C780" t="s">
        <v>1674</v>
      </c>
      <c r="D780" t="s">
        <v>1698</v>
      </c>
      <c r="E780">
        <v>2</v>
      </c>
      <c r="F780">
        <v>6</v>
      </c>
      <c r="G780" t="s">
        <v>3623</v>
      </c>
      <c r="H780">
        <v>3</v>
      </c>
    </row>
    <row r="781" spans="1:8" x14ac:dyDescent="0.3">
      <c r="A781">
        <v>780</v>
      </c>
      <c r="B781" t="s">
        <v>802</v>
      </c>
      <c r="C781" t="s">
        <v>1674</v>
      </c>
      <c r="D781" t="s">
        <v>442</v>
      </c>
      <c r="E781">
        <v>4</v>
      </c>
      <c r="F781">
        <v>17</v>
      </c>
      <c r="G781" t="s">
        <v>3624</v>
      </c>
      <c r="H781">
        <v>5</v>
      </c>
    </row>
    <row r="782" spans="1:8" x14ac:dyDescent="0.3">
      <c r="A782">
        <v>781</v>
      </c>
      <c r="B782" t="s">
        <v>1700</v>
      </c>
      <c r="C782" t="s">
        <v>1674</v>
      </c>
      <c r="D782" t="s">
        <v>1702</v>
      </c>
      <c r="E782">
        <v>4</v>
      </c>
      <c r="F782">
        <v>12</v>
      </c>
      <c r="G782" t="s">
        <v>3619</v>
      </c>
      <c r="H782">
        <v>3</v>
      </c>
    </row>
    <row r="783" spans="1:8" x14ac:dyDescent="0.3">
      <c r="A783">
        <v>782</v>
      </c>
      <c r="B783" t="s">
        <v>1319</v>
      </c>
      <c r="C783" t="s">
        <v>1674</v>
      </c>
      <c r="D783" t="s">
        <v>1600</v>
      </c>
      <c r="E783">
        <v>1</v>
      </c>
      <c r="F783">
        <v>5</v>
      </c>
      <c r="G783" t="s">
        <v>3621</v>
      </c>
      <c r="H783">
        <v>5</v>
      </c>
    </row>
    <row r="784" spans="1:8" x14ac:dyDescent="0.3">
      <c r="A784">
        <v>783</v>
      </c>
      <c r="B784" t="s">
        <v>155</v>
      </c>
      <c r="C784" t="s">
        <v>1674</v>
      </c>
      <c r="D784" t="s">
        <v>660</v>
      </c>
      <c r="E784">
        <v>2</v>
      </c>
      <c r="F784">
        <v>7</v>
      </c>
      <c r="G784" t="s">
        <v>3623</v>
      </c>
      <c r="H784">
        <v>4</v>
      </c>
    </row>
    <row r="785" spans="1:8" x14ac:dyDescent="0.3">
      <c r="A785">
        <v>784</v>
      </c>
      <c r="B785" t="s">
        <v>161</v>
      </c>
      <c r="C785" t="s">
        <v>1674</v>
      </c>
      <c r="D785" t="s">
        <v>927</v>
      </c>
      <c r="E785">
        <v>1</v>
      </c>
      <c r="F785">
        <v>6</v>
      </c>
      <c r="G785" t="s">
        <v>3619</v>
      </c>
      <c r="H785">
        <v>6</v>
      </c>
    </row>
    <row r="786" spans="1:8" x14ac:dyDescent="0.3">
      <c r="A786">
        <v>785</v>
      </c>
      <c r="B786" t="s">
        <v>167</v>
      </c>
      <c r="C786" t="s">
        <v>1674</v>
      </c>
      <c r="D786" t="s">
        <v>1707</v>
      </c>
      <c r="E786">
        <v>1</v>
      </c>
      <c r="F786">
        <v>4</v>
      </c>
      <c r="G786" t="s">
        <v>3621</v>
      </c>
      <c r="H786">
        <v>4</v>
      </c>
    </row>
    <row r="787" spans="1:8" x14ac:dyDescent="0.3">
      <c r="A787">
        <v>786</v>
      </c>
      <c r="B787" t="s">
        <v>1708</v>
      </c>
      <c r="C787" t="s">
        <v>1674</v>
      </c>
      <c r="D787" t="s">
        <v>1710</v>
      </c>
      <c r="E787">
        <v>1</v>
      </c>
      <c r="F787">
        <v>3</v>
      </c>
      <c r="G787" t="s">
        <v>3619</v>
      </c>
      <c r="H787">
        <v>3</v>
      </c>
    </row>
    <row r="788" spans="1:8" x14ac:dyDescent="0.3">
      <c r="A788">
        <v>787</v>
      </c>
      <c r="B788" t="s">
        <v>36</v>
      </c>
      <c r="C788" t="s">
        <v>1674</v>
      </c>
      <c r="D788" t="s">
        <v>242</v>
      </c>
      <c r="E788">
        <v>2</v>
      </c>
      <c r="F788">
        <v>6</v>
      </c>
      <c r="G788" t="s">
        <v>3623</v>
      </c>
      <c r="H788">
        <v>3</v>
      </c>
    </row>
    <row r="789" spans="1:8" x14ac:dyDescent="0.3">
      <c r="A789">
        <v>788</v>
      </c>
      <c r="B789" t="s">
        <v>1631</v>
      </c>
      <c r="C789" t="s">
        <v>1674</v>
      </c>
      <c r="D789" t="s">
        <v>1713</v>
      </c>
      <c r="E789">
        <v>1</v>
      </c>
      <c r="F789">
        <v>3</v>
      </c>
      <c r="G789" t="s">
        <v>3619</v>
      </c>
      <c r="H789">
        <v>3</v>
      </c>
    </row>
    <row r="790" spans="1:8" x14ac:dyDescent="0.3">
      <c r="A790">
        <v>789</v>
      </c>
      <c r="B790" t="s">
        <v>196</v>
      </c>
      <c r="C790" t="s">
        <v>1674</v>
      </c>
      <c r="D790" t="s">
        <v>1702</v>
      </c>
      <c r="E790">
        <v>4</v>
      </c>
      <c r="F790">
        <v>12</v>
      </c>
      <c r="G790" t="s">
        <v>3619</v>
      </c>
      <c r="H790">
        <v>3</v>
      </c>
    </row>
    <row r="791" spans="1:8" x14ac:dyDescent="0.3">
      <c r="A791">
        <v>790</v>
      </c>
      <c r="B791" t="s">
        <v>334</v>
      </c>
      <c r="C791" t="s">
        <v>1674</v>
      </c>
      <c r="D791" t="s">
        <v>1260</v>
      </c>
      <c r="E791">
        <v>4</v>
      </c>
      <c r="F791">
        <v>17</v>
      </c>
      <c r="G791" t="s">
        <v>3624</v>
      </c>
      <c r="H791">
        <v>5</v>
      </c>
    </row>
    <row r="792" spans="1:8" x14ac:dyDescent="0.3">
      <c r="A792">
        <v>791</v>
      </c>
      <c r="B792" t="s">
        <v>339</v>
      </c>
      <c r="C792" t="s">
        <v>1674</v>
      </c>
      <c r="D792" t="s">
        <v>1717</v>
      </c>
      <c r="E792">
        <v>5</v>
      </c>
      <c r="F792">
        <v>17</v>
      </c>
      <c r="G792" t="s">
        <v>3619</v>
      </c>
      <c r="H792">
        <v>3</v>
      </c>
    </row>
    <row r="793" spans="1:8" x14ac:dyDescent="0.3">
      <c r="A793">
        <v>792</v>
      </c>
      <c r="B793" t="s">
        <v>1111</v>
      </c>
      <c r="C793" t="s">
        <v>1674</v>
      </c>
      <c r="D793" t="s">
        <v>395</v>
      </c>
      <c r="E793">
        <v>2</v>
      </c>
      <c r="F793">
        <v>7</v>
      </c>
      <c r="G793" t="s">
        <v>3621</v>
      </c>
      <c r="H793">
        <v>3</v>
      </c>
    </row>
    <row r="794" spans="1:8" x14ac:dyDescent="0.3">
      <c r="A794">
        <v>793</v>
      </c>
      <c r="B794" t="s">
        <v>1719</v>
      </c>
      <c r="C794" t="s">
        <v>1674</v>
      </c>
      <c r="D794" t="s">
        <v>1721</v>
      </c>
      <c r="E794">
        <v>1</v>
      </c>
      <c r="F794">
        <v>3</v>
      </c>
      <c r="G794" t="s">
        <v>3621</v>
      </c>
      <c r="H794">
        <v>3</v>
      </c>
    </row>
    <row r="795" spans="1:8" x14ac:dyDescent="0.3">
      <c r="A795">
        <v>794</v>
      </c>
      <c r="B795" t="s">
        <v>355</v>
      </c>
      <c r="C795" t="s">
        <v>1674</v>
      </c>
      <c r="D795" t="s">
        <v>207</v>
      </c>
      <c r="E795">
        <v>3</v>
      </c>
      <c r="F795">
        <v>13</v>
      </c>
      <c r="G795" t="s">
        <v>3619</v>
      </c>
      <c r="H795">
        <v>3</v>
      </c>
    </row>
    <row r="796" spans="1:8" x14ac:dyDescent="0.3">
      <c r="A796">
        <v>795</v>
      </c>
      <c r="B796" t="s">
        <v>842</v>
      </c>
      <c r="C796" t="s">
        <v>1674</v>
      </c>
      <c r="D796" t="s">
        <v>333</v>
      </c>
      <c r="E796">
        <v>3</v>
      </c>
      <c r="F796">
        <v>13</v>
      </c>
      <c r="G796" t="s">
        <v>3619</v>
      </c>
      <c r="H796">
        <v>5</v>
      </c>
    </row>
    <row r="797" spans="1:8" x14ac:dyDescent="0.3">
      <c r="A797">
        <v>796</v>
      </c>
      <c r="B797" t="s">
        <v>958</v>
      </c>
      <c r="C797" t="s">
        <v>1674</v>
      </c>
      <c r="D797" t="s">
        <v>1725</v>
      </c>
      <c r="E797">
        <v>5</v>
      </c>
      <c r="F797">
        <v>17</v>
      </c>
      <c r="G797" t="s">
        <v>3619</v>
      </c>
      <c r="H797">
        <v>3</v>
      </c>
    </row>
    <row r="798" spans="1:8" x14ac:dyDescent="0.3">
      <c r="A798">
        <v>797</v>
      </c>
      <c r="B798" t="s">
        <v>1038</v>
      </c>
      <c r="C798" t="s">
        <v>1674</v>
      </c>
      <c r="D798" t="s">
        <v>1727</v>
      </c>
      <c r="E798">
        <v>5</v>
      </c>
      <c r="F798">
        <v>17</v>
      </c>
      <c r="G798" t="s">
        <v>3619</v>
      </c>
      <c r="H798">
        <v>4</v>
      </c>
    </row>
    <row r="799" spans="1:8" x14ac:dyDescent="0.3">
      <c r="A799">
        <v>798</v>
      </c>
      <c r="B799" t="s">
        <v>1728</v>
      </c>
      <c r="C799" t="s">
        <v>1674</v>
      </c>
      <c r="D799" t="s">
        <v>1694</v>
      </c>
      <c r="E799">
        <v>2</v>
      </c>
      <c r="F799">
        <v>6</v>
      </c>
      <c r="G799" t="s">
        <v>3621</v>
      </c>
      <c r="H799">
        <v>3</v>
      </c>
    </row>
    <row r="800" spans="1:8" x14ac:dyDescent="0.3">
      <c r="A800">
        <v>799</v>
      </c>
      <c r="B800" t="s">
        <v>715</v>
      </c>
      <c r="C800" t="s">
        <v>1674</v>
      </c>
      <c r="D800" t="s">
        <v>1702</v>
      </c>
      <c r="E800">
        <v>4</v>
      </c>
      <c r="F800">
        <v>12</v>
      </c>
      <c r="G800" t="s">
        <v>3619</v>
      </c>
      <c r="H800">
        <v>3</v>
      </c>
    </row>
    <row r="801" spans="1:8" x14ac:dyDescent="0.3">
      <c r="A801">
        <v>800</v>
      </c>
      <c r="B801" t="s">
        <v>44</v>
      </c>
      <c r="C801" t="s">
        <v>1674</v>
      </c>
      <c r="D801" t="s">
        <v>1260</v>
      </c>
      <c r="E801">
        <v>4</v>
      </c>
      <c r="F801">
        <v>17</v>
      </c>
      <c r="G801" t="s">
        <v>3624</v>
      </c>
      <c r="H801">
        <v>4</v>
      </c>
    </row>
    <row r="802" spans="1:8" x14ac:dyDescent="0.3">
      <c r="A802">
        <v>801</v>
      </c>
      <c r="B802" t="s">
        <v>1732</v>
      </c>
      <c r="C802" t="s">
        <v>1674</v>
      </c>
      <c r="D802" t="s">
        <v>349</v>
      </c>
      <c r="E802">
        <v>1</v>
      </c>
      <c r="F802">
        <v>3</v>
      </c>
      <c r="G802" t="s">
        <v>3621</v>
      </c>
      <c r="H802">
        <v>3</v>
      </c>
    </row>
    <row r="803" spans="1:8" x14ac:dyDescent="0.3">
      <c r="A803">
        <v>802</v>
      </c>
      <c r="B803" t="s">
        <v>1734</v>
      </c>
      <c r="C803" t="s">
        <v>1674</v>
      </c>
      <c r="D803" t="s">
        <v>1736</v>
      </c>
      <c r="E803">
        <v>1</v>
      </c>
      <c r="F803">
        <v>3</v>
      </c>
      <c r="G803" t="s">
        <v>3621</v>
      </c>
      <c r="H803">
        <v>3</v>
      </c>
    </row>
    <row r="804" spans="1:8" x14ac:dyDescent="0.3">
      <c r="A804">
        <v>803</v>
      </c>
      <c r="B804" t="s">
        <v>611</v>
      </c>
      <c r="C804" t="s">
        <v>1674</v>
      </c>
      <c r="D804" t="s">
        <v>1738</v>
      </c>
      <c r="E804">
        <v>1</v>
      </c>
      <c r="F804">
        <v>3</v>
      </c>
      <c r="G804" t="s">
        <v>3625</v>
      </c>
      <c r="H804">
        <v>3</v>
      </c>
    </row>
    <row r="805" spans="1:8" x14ac:dyDescent="0.3">
      <c r="A805">
        <v>804</v>
      </c>
      <c r="B805" t="s">
        <v>1739</v>
      </c>
      <c r="C805" t="s">
        <v>1674</v>
      </c>
      <c r="D805" t="s">
        <v>309</v>
      </c>
      <c r="E805">
        <v>1</v>
      </c>
      <c r="F805">
        <v>3</v>
      </c>
      <c r="G805" t="s">
        <v>3621</v>
      </c>
      <c r="H805">
        <v>3</v>
      </c>
    </row>
    <row r="806" spans="1:8" x14ac:dyDescent="0.3">
      <c r="A806">
        <v>805</v>
      </c>
      <c r="B806" t="s">
        <v>729</v>
      </c>
      <c r="C806" t="s">
        <v>1674</v>
      </c>
      <c r="D806" t="s">
        <v>395</v>
      </c>
      <c r="E806">
        <v>2</v>
      </c>
      <c r="F806">
        <v>7</v>
      </c>
      <c r="G806" t="s">
        <v>3621</v>
      </c>
      <c r="H806">
        <v>4</v>
      </c>
    </row>
    <row r="807" spans="1:8" x14ac:dyDescent="0.3">
      <c r="A807">
        <v>806</v>
      </c>
      <c r="B807" t="s">
        <v>871</v>
      </c>
      <c r="C807" t="s">
        <v>1674</v>
      </c>
      <c r="D807" t="s">
        <v>263</v>
      </c>
      <c r="E807">
        <v>2</v>
      </c>
      <c r="F807">
        <v>6</v>
      </c>
      <c r="G807" t="s">
        <v>3619</v>
      </c>
      <c r="H807">
        <v>3</v>
      </c>
    </row>
    <row r="808" spans="1:8" x14ac:dyDescent="0.3">
      <c r="A808">
        <v>807</v>
      </c>
      <c r="B808" t="s">
        <v>1743</v>
      </c>
      <c r="C808" t="s">
        <v>1674</v>
      </c>
      <c r="D808" t="s">
        <v>90</v>
      </c>
      <c r="E808">
        <v>1</v>
      </c>
      <c r="F808">
        <v>3</v>
      </c>
      <c r="G808" t="s">
        <v>3621</v>
      </c>
      <c r="H808">
        <v>3</v>
      </c>
    </row>
    <row r="809" spans="1:8" x14ac:dyDescent="0.3">
      <c r="A809">
        <v>808</v>
      </c>
      <c r="B809" t="s">
        <v>1666</v>
      </c>
      <c r="C809" t="s">
        <v>1674</v>
      </c>
      <c r="D809" t="s">
        <v>643</v>
      </c>
      <c r="E809">
        <v>1</v>
      </c>
      <c r="F809">
        <v>3</v>
      </c>
      <c r="G809" t="s">
        <v>3619</v>
      </c>
      <c r="H809">
        <v>3</v>
      </c>
    </row>
    <row r="810" spans="1:8" x14ac:dyDescent="0.3">
      <c r="A810">
        <v>809</v>
      </c>
      <c r="B810" t="s">
        <v>26</v>
      </c>
      <c r="C810" t="s">
        <v>1674</v>
      </c>
      <c r="D810" t="s">
        <v>213</v>
      </c>
      <c r="E810">
        <v>2</v>
      </c>
      <c r="F810">
        <v>8</v>
      </c>
      <c r="G810" t="s">
        <v>3619</v>
      </c>
      <c r="H810">
        <v>4</v>
      </c>
    </row>
    <row r="811" spans="1:8" x14ac:dyDescent="0.3">
      <c r="A811">
        <v>810</v>
      </c>
      <c r="B811" t="s">
        <v>880</v>
      </c>
      <c r="C811" t="s">
        <v>1674</v>
      </c>
      <c r="D811" t="s">
        <v>289</v>
      </c>
      <c r="E811">
        <v>2</v>
      </c>
      <c r="F811">
        <v>6</v>
      </c>
      <c r="G811" t="s">
        <v>3619</v>
      </c>
      <c r="H811">
        <v>3</v>
      </c>
    </row>
    <row r="812" spans="1:8" x14ac:dyDescent="0.3">
      <c r="A812">
        <v>811</v>
      </c>
      <c r="B812" t="s">
        <v>486</v>
      </c>
      <c r="C812" t="s">
        <v>1674</v>
      </c>
      <c r="D812" t="s">
        <v>1702</v>
      </c>
      <c r="E812">
        <v>4</v>
      </c>
      <c r="F812">
        <v>12</v>
      </c>
      <c r="G812" t="s">
        <v>3619</v>
      </c>
      <c r="H812">
        <v>3</v>
      </c>
    </row>
    <row r="813" spans="1:8" x14ac:dyDescent="0.3">
      <c r="A813">
        <v>812</v>
      </c>
      <c r="B813" t="s">
        <v>272</v>
      </c>
      <c r="C813" t="s">
        <v>1674</v>
      </c>
      <c r="D813" t="s">
        <v>1750</v>
      </c>
      <c r="E813">
        <v>5</v>
      </c>
      <c r="F813">
        <v>17</v>
      </c>
      <c r="G813" t="s">
        <v>3619</v>
      </c>
      <c r="H813">
        <v>3</v>
      </c>
    </row>
    <row r="814" spans="1:8" x14ac:dyDescent="0.3">
      <c r="A814">
        <v>813</v>
      </c>
      <c r="B814" t="s">
        <v>1228</v>
      </c>
      <c r="C814" t="s">
        <v>1674</v>
      </c>
      <c r="D814" t="s">
        <v>1752</v>
      </c>
      <c r="E814">
        <v>1</v>
      </c>
      <c r="F814">
        <v>4</v>
      </c>
      <c r="G814" t="s">
        <v>3619</v>
      </c>
      <c r="H814">
        <v>4</v>
      </c>
    </row>
    <row r="815" spans="1:8" x14ac:dyDescent="0.3">
      <c r="A815">
        <v>814</v>
      </c>
      <c r="B815" t="s">
        <v>746</v>
      </c>
      <c r="C815" t="s">
        <v>1753</v>
      </c>
      <c r="D815" t="s">
        <v>1710</v>
      </c>
      <c r="E815">
        <v>3</v>
      </c>
      <c r="F815">
        <v>9</v>
      </c>
      <c r="G815" t="s">
        <v>3619</v>
      </c>
      <c r="H815">
        <v>3</v>
      </c>
    </row>
    <row r="816" spans="1:8" x14ac:dyDescent="0.3">
      <c r="A816">
        <v>815</v>
      </c>
      <c r="B816" t="s">
        <v>1141</v>
      </c>
      <c r="C816" t="s">
        <v>1753</v>
      </c>
      <c r="D816" t="s">
        <v>323</v>
      </c>
      <c r="E816">
        <v>4</v>
      </c>
      <c r="F816">
        <v>13</v>
      </c>
      <c r="G816" t="s">
        <v>3619</v>
      </c>
      <c r="H816">
        <v>3</v>
      </c>
    </row>
    <row r="817" spans="1:8" x14ac:dyDescent="0.3">
      <c r="A817">
        <v>816</v>
      </c>
      <c r="B817" t="s">
        <v>1359</v>
      </c>
      <c r="C817" t="s">
        <v>1753</v>
      </c>
      <c r="D817" t="s">
        <v>553</v>
      </c>
      <c r="E817">
        <v>3</v>
      </c>
      <c r="F817">
        <v>10</v>
      </c>
      <c r="G817" t="s">
        <v>3619</v>
      </c>
      <c r="H817">
        <v>3</v>
      </c>
    </row>
    <row r="818" spans="1:8" x14ac:dyDescent="0.3">
      <c r="A818">
        <v>817</v>
      </c>
      <c r="B818" t="s">
        <v>99</v>
      </c>
      <c r="C818" t="s">
        <v>1753</v>
      </c>
      <c r="D818" t="s">
        <v>1758</v>
      </c>
      <c r="E818">
        <v>2</v>
      </c>
      <c r="F818">
        <v>7</v>
      </c>
      <c r="G818" t="s">
        <v>3621</v>
      </c>
      <c r="H818">
        <v>3</v>
      </c>
    </row>
    <row r="819" spans="1:8" x14ac:dyDescent="0.3">
      <c r="A819">
        <v>818</v>
      </c>
      <c r="B819" t="s">
        <v>66</v>
      </c>
      <c r="C819" t="s">
        <v>1753</v>
      </c>
      <c r="D819" t="s">
        <v>104</v>
      </c>
      <c r="E819">
        <v>3</v>
      </c>
      <c r="F819">
        <v>10</v>
      </c>
      <c r="G819" t="s">
        <v>3619</v>
      </c>
      <c r="H819">
        <v>3</v>
      </c>
    </row>
    <row r="820" spans="1:8" x14ac:dyDescent="0.3">
      <c r="A820">
        <v>819</v>
      </c>
      <c r="B820" t="s">
        <v>768</v>
      </c>
      <c r="C820" t="s">
        <v>1753</v>
      </c>
      <c r="D820" t="s">
        <v>1761</v>
      </c>
      <c r="E820">
        <v>2</v>
      </c>
      <c r="F820">
        <v>6</v>
      </c>
      <c r="G820" t="s">
        <v>3621</v>
      </c>
      <c r="H820">
        <v>3</v>
      </c>
    </row>
    <row r="821" spans="1:8" x14ac:dyDescent="0.3">
      <c r="A821">
        <v>820</v>
      </c>
      <c r="B821" t="s">
        <v>1683</v>
      </c>
      <c r="C821" t="s">
        <v>1753</v>
      </c>
      <c r="D821" t="s">
        <v>1763</v>
      </c>
      <c r="E821">
        <v>3</v>
      </c>
      <c r="F821">
        <v>15</v>
      </c>
      <c r="G821" t="s">
        <v>3619</v>
      </c>
      <c r="H821">
        <v>4</v>
      </c>
    </row>
    <row r="822" spans="1:8" x14ac:dyDescent="0.3">
      <c r="A822">
        <v>821</v>
      </c>
      <c r="B822" t="s">
        <v>1685</v>
      </c>
      <c r="C822" t="s">
        <v>1753</v>
      </c>
      <c r="D822" t="s">
        <v>140</v>
      </c>
      <c r="E822">
        <v>6</v>
      </c>
      <c r="F822">
        <v>21</v>
      </c>
      <c r="G822" t="s">
        <v>3619</v>
      </c>
      <c r="H822">
        <v>3</v>
      </c>
    </row>
    <row r="823" spans="1:8" x14ac:dyDescent="0.3">
      <c r="A823">
        <v>822</v>
      </c>
      <c r="B823" t="s">
        <v>1765</v>
      </c>
      <c r="C823" t="s">
        <v>1753</v>
      </c>
      <c r="D823" t="s">
        <v>1121</v>
      </c>
      <c r="E823">
        <v>1</v>
      </c>
      <c r="F823">
        <v>4</v>
      </c>
      <c r="G823" t="s">
        <v>3619</v>
      </c>
      <c r="H823">
        <v>4</v>
      </c>
    </row>
    <row r="824" spans="1:8" x14ac:dyDescent="0.3">
      <c r="A824">
        <v>823</v>
      </c>
      <c r="B824" t="s">
        <v>1767</v>
      </c>
      <c r="C824" t="s">
        <v>1753</v>
      </c>
      <c r="D824" t="s">
        <v>1769</v>
      </c>
      <c r="E824">
        <v>1</v>
      </c>
      <c r="F824">
        <v>3</v>
      </c>
      <c r="G824" t="s">
        <v>3625</v>
      </c>
      <c r="H824">
        <v>3</v>
      </c>
    </row>
    <row r="825" spans="1:8" x14ac:dyDescent="0.3">
      <c r="A825">
        <v>824</v>
      </c>
      <c r="B825" t="s">
        <v>1770</v>
      </c>
      <c r="C825" t="s">
        <v>1753</v>
      </c>
      <c r="D825" t="s">
        <v>553</v>
      </c>
      <c r="E825">
        <v>3</v>
      </c>
      <c r="F825">
        <v>10</v>
      </c>
      <c r="G825" t="s">
        <v>3619</v>
      </c>
      <c r="H825">
        <v>3</v>
      </c>
    </row>
    <row r="826" spans="1:8" x14ac:dyDescent="0.3">
      <c r="A826">
        <v>825</v>
      </c>
      <c r="B826" t="s">
        <v>1772</v>
      </c>
      <c r="C826" t="s">
        <v>1753</v>
      </c>
      <c r="D826" t="s">
        <v>296</v>
      </c>
      <c r="E826">
        <v>1</v>
      </c>
      <c r="F826">
        <v>6</v>
      </c>
      <c r="G826" t="s">
        <v>3619</v>
      </c>
      <c r="H826">
        <v>6</v>
      </c>
    </row>
    <row r="827" spans="1:8" x14ac:dyDescent="0.3">
      <c r="A827">
        <v>826</v>
      </c>
      <c r="B827" t="s">
        <v>786</v>
      </c>
      <c r="C827" t="s">
        <v>1753</v>
      </c>
      <c r="D827" t="s">
        <v>1775</v>
      </c>
      <c r="E827">
        <v>2</v>
      </c>
      <c r="F827">
        <v>6</v>
      </c>
      <c r="G827" t="s">
        <v>3621</v>
      </c>
      <c r="H827">
        <v>3</v>
      </c>
    </row>
    <row r="828" spans="1:8" x14ac:dyDescent="0.3">
      <c r="A828">
        <v>827</v>
      </c>
      <c r="B828" t="s">
        <v>1700</v>
      </c>
      <c r="C828" t="s">
        <v>1753</v>
      </c>
      <c r="D828" t="s">
        <v>1777</v>
      </c>
      <c r="E828">
        <v>3</v>
      </c>
      <c r="F828">
        <v>9</v>
      </c>
      <c r="G828" t="s">
        <v>3619</v>
      </c>
      <c r="H828">
        <v>3</v>
      </c>
    </row>
    <row r="829" spans="1:8" x14ac:dyDescent="0.3">
      <c r="A829">
        <v>828</v>
      </c>
      <c r="B829" t="s">
        <v>152</v>
      </c>
      <c r="C829" t="s">
        <v>1753</v>
      </c>
      <c r="D829" t="s">
        <v>242</v>
      </c>
      <c r="E829">
        <v>1</v>
      </c>
      <c r="F829">
        <v>3</v>
      </c>
      <c r="G829" t="s">
        <v>3623</v>
      </c>
      <c r="H829">
        <v>3</v>
      </c>
    </row>
    <row r="830" spans="1:8" x14ac:dyDescent="0.3">
      <c r="A830">
        <v>829</v>
      </c>
      <c r="B830" t="s">
        <v>155</v>
      </c>
      <c r="C830" t="s">
        <v>1753</v>
      </c>
      <c r="D830" t="s">
        <v>1780</v>
      </c>
      <c r="E830">
        <v>4</v>
      </c>
      <c r="F830">
        <v>19</v>
      </c>
      <c r="G830" t="s">
        <v>3623</v>
      </c>
      <c r="H830">
        <v>6</v>
      </c>
    </row>
    <row r="831" spans="1:8" x14ac:dyDescent="0.3">
      <c r="A831">
        <v>830</v>
      </c>
      <c r="B831" t="s">
        <v>1099</v>
      </c>
      <c r="C831" t="s">
        <v>1753</v>
      </c>
      <c r="D831" t="s">
        <v>1710</v>
      </c>
      <c r="E831">
        <v>3</v>
      </c>
      <c r="F831">
        <v>9</v>
      </c>
      <c r="G831" t="s">
        <v>3619</v>
      </c>
      <c r="H831">
        <v>3</v>
      </c>
    </row>
    <row r="832" spans="1:8" x14ac:dyDescent="0.3">
      <c r="A832">
        <v>831</v>
      </c>
      <c r="B832" t="s">
        <v>34</v>
      </c>
      <c r="C832" t="s">
        <v>1753</v>
      </c>
      <c r="D832" t="s">
        <v>442</v>
      </c>
      <c r="E832">
        <v>1</v>
      </c>
      <c r="F832">
        <v>3</v>
      </c>
      <c r="G832" t="s">
        <v>3624</v>
      </c>
      <c r="H832">
        <v>3</v>
      </c>
    </row>
    <row r="833" spans="1:8" x14ac:dyDescent="0.3">
      <c r="A833">
        <v>832</v>
      </c>
      <c r="B833" t="s">
        <v>161</v>
      </c>
      <c r="C833" t="s">
        <v>1753</v>
      </c>
      <c r="D833" t="s">
        <v>1784</v>
      </c>
      <c r="E833">
        <v>4</v>
      </c>
      <c r="F833">
        <v>19</v>
      </c>
      <c r="G833" t="s">
        <v>3623</v>
      </c>
      <c r="H833">
        <v>6</v>
      </c>
    </row>
    <row r="834" spans="1:8" x14ac:dyDescent="0.3">
      <c r="A834">
        <v>833</v>
      </c>
      <c r="B834" t="s">
        <v>196</v>
      </c>
      <c r="C834" t="s">
        <v>1753</v>
      </c>
      <c r="D834" t="s">
        <v>140</v>
      </c>
      <c r="E834">
        <v>6</v>
      </c>
      <c r="F834">
        <v>21</v>
      </c>
      <c r="G834" t="s">
        <v>3619</v>
      </c>
      <c r="H834">
        <v>4</v>
      </c>
    </row>
    <row r="835" spans="1:8" x14ac:dyDescent="0.3">
      <c r="A835">
        <v>834</v>
      </c>
      <c r="B835" t="s">
        <v>1786</v>
      </c>
      <c r="C835" t="s">
        <v>1753</v>
      </c>
      <c r="D835" t="s">
        <v>1529</v>
      </c>
      <c r="E835">
        <v>4</v>
      </c>
      <c r="F835">
        <v>19</v>
      </c>
      <c r="G835" t="s">
        <v>3623</v>
      </c>
      <c r="H835">
        <v>3</v>
      </c>
    </row>
    <row r="836" spans="1:8" x14ac:dyDescent="0.3">
      <c r="A836">
        <v>835</v>
      </c>
      <c r="B836" t="s">
        <v>429</v>
      </c>
      <c r="C836" t="s">
        <v>1753</v>
      </c>
      <c r="D836" t="s">
        <v>1789</v>
      </c>
      <c r="E836">
        <v>1</v>
      </c>
      <c r="F836">
        <v>3</v>
      </c>
      <c r="G836" t="s">
        <v>3621</v>
      </c>
      <c r="H836">
        <v>3</v>
      </c>
    </row>
    <row r="837" spans="1:8" x14ac:dyDescent="0.3">
      <c r="A837">
        <v>836</v>
      </c>
      <c r="B837" t="s">
        <v>1790</v>
      </c>
      <c r="C837" t="s">
        <v>1753</v>
      </c>
      <c r="D837" t="s">
        <v>1792</v>
      </c>
      <c r="E837">
        <v>4</v>
      </c>
      <c r="F837">
        <v>19</v>
      </c>
      <c r="G837" t="s">
        <v>3623</v>
      </c>
      <c r="H837">
        <v>4</v>
      </c>
    </row>
    <row r="838" spans="1:8" x14ac:dyDescent="0.3">
      <c r="A838">
        <v>837</v>
      </c>
      <c r="B838" t="s">
        <v>208</v>
      </c>
      <c r="C838" t="s">
        <v>1753</v>
      </c>
      <c r="D838" t="s">
        <v>140</v>
      </c>
      <c r="E838">
        <v>6</v>
      </c>
      <c r="F838">
        <v>21</v>
      </c>
      <c r="G838" t="s">
        <v>3619</v>
      </c>
      <c r="H838">
        <v>3</v>
      </c>
    </row>
    <row r="839" spans="1:8" x14ac:dyDescent="0.3">
      <c r="A839">
        <v>838</v>
      </c>
      <c r="B839" t="s">
        <v>1111</v>
      </c>
      <c r="C839" t="s">
        <v>1753</v>
      </c>
      <c r="D839" t="s">
        <v>1710</v>
      </c>
      <c r="E839">
        <v>3</v>
      </c>
      <c r="F839">
        <v>9</v>
      </c>
      <c r="G839" t="s">
        <v>3619</v>
      </c>
      <c r="H839">
        <v>3</v>
      </c>
    </row>
    <row r="840" spans="1:8" x14ac:dyDescent="0.3">
      <c r="A840">
        <v>839</v>
      </c>
      <c r="B840" t="s">
        <v>1116</v>
      </c>
      <c r="C840" t="s">
        <v>1753</v>
      </c>
      <c r="D840" t="s">
        <v>304</v>
      </c>
      <c r="E840">
        <v>4</v>
      </c>
      <c r="F840">
        <v>13</v>
      </c>
      <c r="G840" t="s">
        <v>3619</v>
      </c>
      <c r="H840">
        <v>3</v>
      </c>
    </row>
    <row r="841" spans="1:8" x14ac:dyDescent="0.3">
      <c r="A841">
        <v>840</v>
      </c>
      <c r="B841" t="s">
        <v>955</v>
      </c>
      <c r="C841" t="s">
        <v>1753</v>
      </c>
      <c r="D841" t="s">
        <v>140</v>
      </c>
      <c r="E841">
        <v>6</v>
      </c>
      <c r="F841">
        <v>21</v>
      </c>
      <c r="G841" t="s">
        <v>3619</v>
      </c>
      <c r="H841">
        <v>4</v>
      </c>
    </row>
    <row r="842" spans="1:8" x14ac:dyDescent="0.3">
      <c r="A842">
        <v>841</v>
      </c>
      <c r="B842" t="s">
        <v>842</v>
      </c>
      <c r="C842" t="s">
        <v>1753</v>
      </c>
      <c r="D842" t="s">
        <v>660</v>
      </c>
      <c r="E842">
        <v>2</v>
      </c>
      <c r="F842">
        <v>11</v>
      </c>
      <c r="G842" t="s">
        <v>3623</v>
      </c>
      <c r="H842">
        <v>6</v>
      </c>
    </row>
    <row r="843" spans="1:8" x14ac:dyDescent="0.3">
      <c r="A843">
        <v>842</v>
      </c>
      <c r="B843" t="s">
        <v>1798</v>
      </c>
      <c r="C843" t="s">
        <v>1753</v>
      </c>
      <c r="D843" t="s">
        <v>1490</v>
      </c>
      <c r="E843">
        <v>1</v>
      </c>
      <c r="F843">
        <v>4</v>
      </c>
      <c r="G843" t="s">
        <v>3621</v>
      </c>
      <c r="H843">
        <v>4</v>
      </c>
    </row>
    <row r="844" spans="1:8" x14ac:dyDescent="0.3">
      <c r="A844">
        <v>843</v>
      </c>
      <c r="B844" t="s">
        <v>1197</v>
      </c>
      <c r="C844" t="s">
        <v>1753</v>
      </c>
      <c r="D844" t="s">
        <v>1801</v>
      </c>
      <c r="E844">
        <v>1</v>
      </c>
      <c r="F844">
        <v>3</v>
      </c>
      <c r="G844" t="s">
        <v>3621</v>
      </c>
      <c r="H844">
        <v>3</v>
      </c>
    </row>
    <row r="845" spans="1:8" x14ac:dyDescent="0.3">
      <c r="A845">
        <v>844</v>
      </c>
      <c r="B845" t="s">
        <v>219</v>
      </c>
      <c r="C845" t="s">
        <v>1753</v>
      </c>
      <c r="D845" t="s">
        <v>660</v>
      </c>
      <c r="E845">
        <v>2</v>
      </c>
      <c r="F845">
        <v>11</v>
      </c>
      <c r="G845" t="s">
        <v>3623</v>
      </c>
      <c r="H845">
        <v>5</v>
      </c>
    </row>
    <row r="846" spans="1:8" x14ac:dyDescent="0.3">
      <c r="A846">
        <v>845</v>
      </c>
      <c r="B846" t="s">
        <v>1803</v>
      </c>
      <c r="C846" t="s">
        <v>1753</v>
      </c>
      <c r="D846" t="s">
        <v>1565</v>
      </c>
      <c r="E846">
        <v>3</v>
      </c>
      <c r="F846">
        <v>15</v>
      </c>
      <c r="G846" t="s">
        <v>3619</v>
      </c>
      <c r="H846">
        <v>3</v>
      </c>
    </row>
    <row r="847" spans="1:8" x14ac:dyDescent="0.3">
      <c r="A847">
        <v>846</v>
      </c>
      <c r="B847" t="s">
        <v>1124</v>
      </c>
      <c r="C847" t="s">
        <v>1753</v>
      </c>
      <c r="D847" t="s">
        <v>1806</v>
      </c>
      <c r="E847">
        <v>4</v>
      </c>
      <c r="F847">
        <v>13</v>
      </c>
      <c r="G847" t="s">
        <v>3619</v>
      </c>
      <c r="H847">
        <v>4</v>
      </c>
    </row>
    <row r="848" spans="1:8" x14ac:dyDescent="0.3">
      <c r="A848">
        <v>847</v>
      </c>
      <c r="B848" t="s">
        <v>1807</v>
      </c>
      <c r="C848" t="s">
        <v>1753</v>
      </c>
      <c r="D848" t="s">
        <v>140</v>
      </c>
      <c r="E848">
        <v>6</v>
      </c>
      <c r="F848">
        <v>21</v>
      </c>
      <c r="G848" t="s">
        <v>3619</v>
      </c>
      <c r="H848">
        <v>3</v>
      </c>
    </row>
    <row r="849" spans="1:8" x14ac:dyDescent="0.3">
      <c r="A849">
        <v>848</v>
      </c>
      <c r="B849" t="s">
        <v>256</v>
      </c>
      <c r="C849" t="s">
        <v>1753</v>
      </c>
      <c r="D849" t="s">
        <v>1810</v>
      </c>
      <c r="E849">
        <v>2</v>
      </c>
      <c r="F849">
        <v>7</v>
      </c>
      <c r="G849" t="s">
        <v>3621</v>
      </c>
      <c r="H849">
        <v>4</v>
      </c>
    </row>
    <row r="850" spans="1:8" x14ac:dyDescent="0.3">
      <c r="A850">
        <v>849</v>
      </c>
      <c r="B850" t="s">
        <v>1734</v>
      </c>
      <c r="C850" t="s">
        <v>1753</v>
      </c>
      <c r="D850" t="s">
        <v>213</v>
      </c>
      <c r="E850">
        <v>1</v>
      </c>
      <c r="F850">
        <v>3</v>
      </c>
      <c r="G850" t="s">
        <v>3619</v>
      </c>
      <c r="H850">
        <v>3</v>
      </c>
    </row>
    <row r="851" spans="1:8" x14ac:dyDescent="0.3">
      <c r="A851">
        <v>850</v>
      </c>
      <c r="B851" t="s">
        <v>1739</v>
      </c>
      <c r="C851" t="s">
        <v>1753</v>
      </c>
      <c r="D851" t="s">
        <v>1813</v>
      </c>
      <c r="E851">
        <v>1</v>
      </c>
      <c r="F851">
        <v>3</v>
      </c>
      <c r="G851" t="s">
        <v>3621</v>
      </c>
      <c r="H851">
        <v>3</v>
      </c>
    </row>
    <row r="852" spans="1:8" x14ac:dyDescent="0.3">
      <c r="A852">
        <v>851</v>
      </c>
      <c r="B852" t="s">
        <v>1814</v>
      </c>
      <c r="C852" t="s">
        <v>1753</v>
      </c>
      <c r="D852" t="s">
        <v>104</v>
      </c>
      <c r="E852">
        <v>3</v>
      </c>
      <c r="F852">
        <v>10</v>
      </c>
      <c r="G852" t="s">
        <v>3619</v>
      </c>
      <c r="H852">
        <v>4</v>
      </c>
    </row>
    <row r="853" spans="1:8" x14ac:dyDescent="0.3">
      <c r="A853">
        <v>852</v>
      </c>
      <c r="B853" t="s">
        <v>729</v>
      </c>
      <c r="C853" t="s">
        <v>1753</v>
      </c>
      <c r="D853" t="s">
        <v>1817</v>
      </c>
      <c r="E853">
        <v>1</v>
      </c>
      <c r="F853">
        <v>3</v>
      </c>
      <c r="G853" t="s">
        <v>3621</v>
      </c>
      <c r="H853">
        <v>3</v>
      </c>
    </row>
    <row r="854" spans="1:8" x14ac:dyDescent="0.3">
      <c r="A854">
        <v>853</v>
      </c>
      <c r="B854" t="s">
        <v>1818</v>
      </c>
      <c r="C854" t="s">
        <v>1753</v>
      </c>
      <c r="D854" t="s">
        <v>553</v>
      </c>
      <c r="E854">
        <v>3</v>
      </c>
      <c r="F854">
        <v>10</v>
      </c>
      <c r="G854" t="s">
        <v>3619</v>
      </c>
      <c r="H854">
        <v>4</v>
      </c>
    </row>
    <row r="855" spans="1:8" x14ac:dyDescent="0.3">
      <c r="A855">
        <v>854</v>
      </c>
      <c r="B855" t="s">
        <v>1057</v>
      </c>
      <c r="C855" t="s">
        <v>1753</v>
      </c>
      <c r="D855" t="s">
        <v>1821</v>
      </c>
      <c r="E855">
        <v>3</v>
      </c>
      <c r="F855">
        <v>9</v>
      </c>
      <c r="G855" t="s">
        <v>3619</v>
      </c>
      <c r="H855">
        <v>3</v>
      </c>
    </row>
    <row r="856" spans="1:8" x14ac:dyDescent="0.3">
      <c r="A856">
        <v>855</v>
      </c>
      <c r="B856" t="s">
        <v>377</v>
      </c>
      <c r="C856" t="s">
        <v>1753</v>
      </c>
      <c r="D856" t="s">
        <v>349</v>
      </c>
      <c r="E856">
        <v>1</v>
      </c>
      <c r="F856">
        <v>3</v>
      </c>
      <c r="G856" t="s">
        <v>3621</v>
      </c>
      <c r="H856">
        <v>3</v>
      </c>
    </row>
    <row r="857" spans="1:8" x14ac:dyDescent="0.3">
      <c r="A857">
        <v>856</v>
      </c>
      <c r="B857" t="s">
        <v>1823</v>
      </c>
      <c r="C857" t="s">
        <v>1753</v>
      </c>
      <c r="D857" t="s">
        <v>266</v>
      </c>
      <c r="E857">
        <v>1</v>
      </c>
      <c r="F857">
        <v>4</v>
      </c>
      <c r="G857" t="s">
        <v>3621</v>
      </c>
      <c r="H857">
        <v>4</v>
      </c>
    </row>
    <row r="858" spans="1:8" x14ac:dyDescent="0.3">
      <c r="A858">
        <v>857</v>
      </c>
      <c r="B858" t="s">
        <v>1825</v>
      </c>
      <c r="C858" t="s">
        <v>1753</v>
      </c>
      <c r="D858" t="s">
        <v>887</v>
      </c>
      <c r="E858">
        <v>4</v>
      </c>
      <c r="F858">
        <v>13</v>
      </c>
      <c r="G858" t="s">
        <v>3619</v>
      </c>
      <c r="H858">
        <v>3</v>
      </c>
    </row>
    <row r="859" spans="1:8" x14ac:dyDescent="0.3">
      <c r="A859">
        <v>858</v>
      </c>
      <c r="B859" t="s">
        <v>1827</v>
      </c>
      <c r="C859" t="s">
        <v>1753</v>
      </c>
      <c r="D859" t="s">
        <v>1829</v>
      </c>
      <c r="E859">
        <v>1</v>
      </c>
      <c r="F859">
        <v>3</v>
      </c>
      <c r="G859" t="s">
        <v>3621</v>
      </c>
      <c r="H859">
        <v>3</v>
      </c>
    </row>
    <row r="860" spans="1:8" x14ac:dyDescent="0.3">
      <c r="A860">
        <v>859</v>
      </c>
      <c r="B860" t="s">
        <v>880</v>
      </c>
      <c r="C860" t="s">
        <v>1753</v>
      </c>
      <c r="D860" t="s">
        <v>667</v>
      </c>
      <c r="E860">
        <v>3</v>
      </c>
      <c r="F860">
        <v>15</v>
      </c>
      <c r="G860" t="s">
        <v>3619</v>
      </c>
      <c r="H860">
        <v>8</v>
      </c>
    </row>
    <row r="861" spans="1:8" x14ac:dyDescent="0.3">
      <c r="A861">
        <v>860</v>
      </c>
      <c r="B861" t="s">
        <v>486</v>
      </c>
      <c r="C861" t="s">
        <v>1753</v>
      </c>
      <c r="D861" t="s">
        <v>1832</v>
      </c>
      <c r="E861">
        <v>3</v>
      </c>
      <c r="F861">
        <v>9</v>
      </c>
      <c r="G861" t="s">
        <v>3619</v>
      </c>
      <c r="H861">
        <v>3</v>
      </c>
    </row>
    <row r="862" spans="1:8" x14ac:dyDescent="0.3">
      <c r="A862">
        <v>861</v>
      </c>
      <c r="B862" t="s">
        <v>272</v>
      </c>
      <c r="C862" t="s">
        <v>1753</v>
      </c>
      <c r="D862" t="s">
        <v>140</v>
      </c>
      <c r="E862">
        <v>6</v>
      </c>
      <c r="F862">
        <v>21</v>
      </c>
      <c r="G862" t="s">
        <v>3619</v>
      </c>
      <c r="H862">
        <v>4</v>
      </c>
    </row>
    <row r="863" spans="1:8" x14ac:dyDescent="0.3">
      <c r="A863">
        <v>862</v>
      </c>
      <c r="B863" t="s">
        <v>888</v>
      </c>
      <c r="C863" t="s">
        <v>1753</v>
      </c>
      <c r="D863" t="s">
        <v>104</v>
      </c>
      <c r="E863">
        <v>3</v>
      </c>
      <c r="F863">
        <v>10</v>
      </c>
      <c r="G863" t="s">
        <v>3619</v>
      </c>
      <c r="H863">
        <v>3</v>
      </c>
    </row>
    <row r="864" spans="1:8" x14ac:dyDescent="0.3">
      <c r="A864">
        <v>863</v>
      </c>
      <c r="B864" t="s">
        <v>1228</v>
      </c>
      <c r="C864" t="s">
        <v>1753</v>
      </c>
      <c r="D864" t="s">
        <v>1836</v>
      </c>
      <c r="E864">
        <v>1</v>
      </c>
      <c r="F864">
        <v>7</v>
      </c>
      <c r="G864" t="s">
        <v>3619</v>
      </c>
      <c r="H864">
        <v>7</v>
      </c>
    </row>
    <row r="865" spans="1:8" x14ac:dyDescent="0.3">
      <c r="A865">
        <v>864</v>
      </c>
      <c r="B865" t="s">
        <v>746</v>
      </c>
      <c r="C865" t="s">
        <v>1837</v>
      </c>
      <c r="D865" t="s">
        <v>1839</v>
      </c>
      <c r="E865">
        <v>7</v>
      </c>
      <c r="F865">
        <v>23</v>
      </c>
      <c r="G865" t="s">
        <v>3619</v>
      </c>
      <c r="H865">
        <v>3</v>
      </c>
    </row>
    <row r="866" spans="1:8" x14ac:dyDescent="0.3">
      <c r="A866">
        <v>865</v>
      </c>
      <c r="B866" t="s">
        <v>1290</v>
      </c>
      <c r="C866" t="s">
        <v>1837</v>
      </c>
      <c r="D866" t="s">
        <v>1094</v>
      </c>
      <c r="E866">
        <v>1</v>
      </c>
      <c r="F866">
        <v>3</v>
      </c>
      <c r="G866" t="s">
        <v>3619</v>
      </c>
      <c r="H866">
        <v>3</v>
      </c>
    </row>
    <row r="867" spans="1:8" x14ac:dyDescent="0.3">
      <c r="A867">
        <v>866</v>
      </c>
      <c r="B867" t="s">
        <v>1075</v>
      </c>
      <c r="C867" t="s">
        <v>1837</v>
      </c>
      <c r="D867" t="s">
        <v>90</v>
      </c>
      <c r="E867">
        <v>8</v>
      </c>
      <c r="F867">
        <v>41</v>
      </c>
      <c r="G867" t="s">
        <v>3619</v>
      </c>
      <c r="H867">
        <v>7</v>
      </c>
    </row>
    <row r="868" spans="1:8" x14ac:dyDescent="0.3">
      <c r="A868">
        <v>867</v>
      </c>
      <c r="B868" t="s">
        <v>290</v>
      </c>
      <c r="C868" t="s">
        <v>1837</v>
      </c>
      <c r="D868" t="s">
        <v>1752</v>
      </c>
      <c r="E868">
        <v>1</v>
      </c>
      <c r="F868">
        <v>3</v>
      </c>
      <c r="G868" t="s">
        <v>3619</v>
      </c>
      <c r="H868">
        <v>3</v>
      </c>
    </row>
    <row r="869" spans="1:8" x14ac:dyDescent="0.3">
      <c r="A869">
        <v>868</v>
      </c>
      <c r="B869" t="s">
        <v>1843</v>
      </c>
      <c r="C869" t="s">
        <v>1837</v>
      </c>
      <c r="D869" t="s">
        <v>90</v>
      </c>
      <c r="E869">
        <v>8</v>
      </c>
      <c r="F869">
        <v>41</v>
      </c>
      <c r="G869" t="s">
        <v>3619</v>
      </c>
      <c r="H869">
        <v>4</v>
      </c>
    </row>
    <row r="870" spans="1:8" x14ac:dyDescent="0.3">
      <c r="A870">
        <v>869</v>
      </c>
      <c r="B870" t="s">
        <v>1845</v>
      </c>
      <c r="C870" t="s">
        <v>1837</v>
      </c>
      <c r="D870" t="s">
        <v>1847</v>
      </c>
      <c r="E870">
        <v>1</v>
      </c>
      <c r="F870">
        <v>4</v>
      </c>
      <c r="G870" t="s">
        <v>3619</v>
      </c>
      <c r="H870">
        <v>4</v>
      </c>
    </row>
    <row r="871" spans="1:8" x14ac:dyDescent="0.3">
      <c r="A871">
        <v>870</v>
      </c>
      <c r="B871" t="s">
        <v>1240</v>
      </c>
      <c r="C871" t="s">
        <v>1837</v>
      </c>
      <c r="D871" t="s">
        <v>1849</v>
      </c>
      <c r="E871">
        <v>7</v>
      </c>
      <c r="F871">
        <v>31</v>
      </c>
      <c r="G871" t="s">
        <v>3623</v>
      </c>
      <c r="H871">
        <v>5</v>
      </c>
    </row>
    <row r="872" spans="1:8" x14ac:dyDescent="0.3">
      <c r="A872">
        <v>871</v>
      </c>
      <c r="B872" t="s">
        <v>1416</v>
      </c>
      <c r="C872" t="s">
        <v>1837</v>
      </c>
      <c r="D872" t="s">
        <v>1288</v>
      </c>
      <c r="E872">
        <v>7</v>
      </c>
      <c r="F872">
        <v>23</v>
      </c>
      <c r="G872" t="s">
        <v>3619</v>
      </c>
      <c r="H872">
        <v>3</v>
      </c>
    </row>
    <row r="873" spans="1:8" x14ac:dyDescent="0.3">
      <c r="A873">
        <v>872</v>
      </c>
      <c r="B873" t="s">
        <v>99</v>
      </c>
      <c r="C873" t="s">
        <v>1837</v>
      </c>
      <c r="D873" t="s">
        <v>90</v>
      </c>
      <c r="E873">
        <v>8</v>
      </c>
      <c r="F873">
        <v>41</v>
      </c>
      <c r="G873" t="s">
        <v>3619</v>
      </c>
      <c r="H873">
        <v>5</v>
      </c>
    </row>
    <row r="874" spans="1:8" x14ac:dyDescent="0.3">
      <c r="A874">
        <v>873</v>
      </c>
      <c r="B874" t="s">
        <v>1082</v>
      </c>
      <c r="C874" t="s">
        <v>1837</v>
      </c>
      <c r="D874" t="s">
        <v>1853</v>
      </c>
      <c r="E874">
        <v>7</v>
      </c>
      <c r="F874">
        <v>31</v>
      </c>
      <c r="G874" t="s">
        <v>3623</v>
      </c>
      <c r="H874">
        <v>6</v>
      </c>
    </row>
    <row r="875" spans="1:8" x14ac:dyDescent="0.3">
      <c r="A875">
        <v>874</v>
      </c>
      <c r="B875" t="s">
        <v>105</v>
      </c>
      <c r="C875" t="s">
        <v>1837</v>
      </c>
      <c r="D875" t="s">
        <v>1855</v>
      </c>
      <c r="E875">
        <v>7</v>
      </c>
      <c r="F875">
        <v>31</v>
      </c>
      <c r="G875" t="s">
        <v>3623</v>
      </c>
      <c r="H875">
        <v>3</v>
      </c>
    </row>
    <row r="876" spans="1:8" x14ac:dyDescent="0.3">
      <c r="A876">
        <v>875</v>
      </c>
      <c r="B876" t="s">
        <v>1856</v>
      </c>
      <c r="C876" t="s">
        <v>1837</v>
      </c>
      <c r="D876" t="s">
        <v>1490</v>
      </c>
      <c r="E876">
        <v>1</v>
      </c>
      <c r="F876">
        <v>3</v>
      </c>
      <c r="G876" t="s">
        <v>3621</v>
      </c>
      <c r="H876">
        <v>3</v>
      </c>
    </row>
    <row r="877" spans="1:8" x14ac:dyDescent="0.3">
      <c r="A877">
        <v>876</v>
      </c>
      <c r="B877" t="s">
        <v>117</v>
      </c>
      <c r="C877" t="s">
        <v>1837</v>
      </c>
      <c r="D877" t="s">
        <v>1859</v>
      </c>
      <c r="E877">
        <v>1</v>
      </c>
      <c r="F877">
        <v>3</v>
      </c>
      <c r="G877" t="s">
        <v>3619</v>
      </c>
      <c r="H877">
        <v>3</v>
      </c>
    </row>
    <row r="878" spans="1:8" x14ac:dyDescent="0.3">
      <c r="A878">
        <v>877</v>
      </c>
      <c r="B878" t="s">
        <v>1860</v>
      </c>
      <c r="C878" t="s">
        <v>1837</v>
      </c>
      <c r="D878" t="s">
        <v>1121</v>
      </c>
      <c r="E878">
        <v>1</v>
      </c>
      <c r="F878">
        <v>5</v>
      </c>
      <c r="G878" t="s">
        <v>3619</v>
      </c>
      <c r="H878">
        <v>5</v>
      </c>
    </row>
    <row r="879" spans="1:8" x14ac:dyDescent="0.3">
      <c r="A879">
        <v>878</v>
      </c>
      <c r="B879" t="s">
        <v>299</v>
      </c>
      <c r="C879" t="s">
        <v>1837</v>
      </c>
      <c r="D879" t="s">
        <v>1863</v>
      </c>
      <c r="E879">
        <v>7</v>
      </c>
      <c r="F879">
        <v>31</v>
      </c>
      <c r="G879" t="s">
        <v>3623</v>
      </c>
      <c r="H879">
        <v>3</v>
      </c>
    </row>
    <row r="880" spans="1:8" x14ac:dyDescent="0.3">
      <c r="A880">
        <v>879</v>
      </c>
      <c r="B880" t="s">
        <v>1086</v>
      </c>
      <c r="C880" t="s">
        <v>1837</v>
      </c>
      <c r="D880" t="s">
        <v>1865</v>
      </c>
      <c r="E880">
        <v>3</v>
      </c>
      <c r="F880">
        <v>9</v>
      </c>
      <c r="G880" t="s">
        <v>3624</v>
      </c>
      <c r="H880">
        <v>3</v>
      </c>
    </row>
    <row r="881" spans="1:8" x14ac:dyDescent="0.3">
      <c r="A881">
        <v>880</v>
      </c>
      <c r="B881" t="s">
        <v>1866</v>
      </c>
      <c r="C881" t="s">
        <v>1837</v>
      </c>
      <c r="D881" t="s">
        <v>1868</v>
      </c>
      <c r="E881">
        <v>1</v>
      </c>
      <c r="F881">
        <v>3</v>
      </c>
      <c r="G881" t="s">
        <v>3621</v>
      </c>
      <c r="H881">
        <v>3</v>
      </c>
    </row>
    <row r="882" spans="1:8" x14ac:dyDescent="0.3">
      <c r="A882">
        <v>881</v>
      </c>
      <c r="B882" t="s">
        <v>653</v>
      </c>
      <c r="C882" t="s">
        <v>1837</v>
      </c>
      <c r="D882" t="s">
        <v>175</v>
      </c>
      <c r="E882">
        <v>7</v>
      </c>
      <c r="F882">
        <v>23</v>
      </c>
      <c r="G882" t="s">
        <v>3619</v>
      </c>
      <c r="H882">
        <v>3</v>
      </c>
    </row>
    <row r="883" spans="1:8" x14ac:dyDescent="0.3">
      <c r="A883">
        <v>882</v>
      </c>
      <c r="B883" t="s">
        <v>512</v>
      </c>
      <c r="C883" t="s">
        <v>1837</v>
      </c>
      <c r="D883" t="s">
        <v>1183</v>
      </c>
      <c r="E883">
        <v>1</v>
      </c>
      <c r="F883">
        <v>4</v>
      </c>
      <c r="G883" t="s">
        <v>3621</v>
      </c>
      <c r="H883">
        <v>4</v>
      </c>
    </row>
    <row r="884" spans="1:8" x14ac:dyDescent="0.3">
      <c r="A884">
        <v>883</v>
      </c>
      <c r="B884" t="s">
        <v>1089</v>
      </c>
      <c r="C884" t="s">
        <v>1837</v>
      </c>
      <c r="D884" t="s">
        <v>90</v>
      </c>
      <c r="E884">
        <v>8</v>
      </c>
      <c r="F884">
        <v>41</v>
      </c>
      <c r="G884" t="s">
        <v>3619</v>
      </c>
      <c r="H884">
        <v>5</v>
      </c>
    </row>
    <row r="885" spans="1:8" x14ac:dyDescent="0.3">
      <c r="A885">
        <v>884</v>
      </c>
      <c r="B885" t="s">
        <v>144</v>
      </c>
      <c r="C885" t="s">
        <v>1837</v>
      </c>
      <c r="D885" t="s">
        <v>1873</v>
      </c>
      <c r="E885">
        <v>7</v>
      </c>
      <c r="F885">
        <v>31</v>
      </c>
      <c r="G885" t="s">
        <v>3623</v>
      </c>
      <c r="H885">
        <v>5</v>
      </c>
    </row>
    <row r="886" spans="1:8" x14ac:dyDescent="0.3">
      <c r="A886">
        <v>885</v>
      </c>
      <c r="B886" t="s">
        <v>1874</v>
      </c>
      <c r="C886" t="s">
        <v>1837</v>
      </c>
      <c r="D886" t="s">
        <v>660</v>
      </c>
      <c r="E886">
        <v>1</v>
      </c>
      <c r="F886">
        <v>4</v>
      </c>
      <c r="G886" t="s">
        <v>3623</v>
      </c>
      <c r="H886">
        <v>4</v>
      </c>
    </row>
    <row r="887" spans="1:8" x14ac:dyDescent="0.3">
      <c r="A887">
        <v>886</v>
      </c>
      <c r="B887" t="s">
        <v>158</v>
      </c>
      <c r="C887" t="s">
        <v>1837</v>
      </c>
      <c r="D887" t="s">
        <v>113</v>
      </c>
      <c r="E887">
        <v>3</v>
      </c>
      <c r="F887">
        <v>9</v>
      </c>
      <c r="G887" t="s">
        <v>3619</v>
      </c>
      <c r="H887">
        <v>3</v>
      </c>
    </row>
    <row r="888" spans="1:8" x14ac:dyDescent="0.3">
      <c r="A888">
        <v>887</v>
      </c>
      <c r="B888" t="s">
        <v>1099</v>
      </c>
      <c r="C888" t="s">
        <v>1837</v>
      </c>
      <c r="D888" t="s">
        <v>309</v>
      </c>
      <c r="E888">
        <v>3</v>
      </c>
      <c r="F888">
        <v>12</v>
      </c>
      <c r="G888" t="s">
        <v>3619</v>
      </c>
      <c r="H888">
        <v>4</v>
      </c>
    </row>
    <row r="889" spans="1:8" x14ac:dyDescent="0.3">
      <c r="A889">
        <v>888</v>
      </c>
      <c r="B889" t="s">
        <v>164</v>
      </c>
      <c r="C889" t="s">
        <v>1837</v>
      </c>
      <c r="D889" t="s">
        <v>309</v>
      </c>
      <c r="E889">
        <v>3</v>
      </c>
      <c r="F889">
        <v>12</v>
      </c>
      <c r="G889" t="s">
        <v>3619</v>
      </c>
      <c r="H889">
        <v>4</v>
      </c>
    </row>
    <row r="890" spans="1:8" x14ac:dyDescent="0.3">
      <c r="A890">
        <v>889</v>
      </c>
      <c r="B890" t="s">
        <v>62</v>
      </c>
      <c r="C890" t="s">
        <v>1837</v>
      </c>
      <c r="D890" t="s">
        <v>1880</v>
      </c>
      <c r="E890">
        <v>3</v>
      </c>
      <c r="F890">
        <v>9</v>
      </c>
      <c r="G890" t="s">
        <v>3624</v>
      </c>
      <c r="H890">
        <v>3</v>
      </c>
    </row>
    <row r="891" spans="1:8" x14ac:dyDescent="0.3">
      <c r="A891">
        <v>890</v>
      </c>
      <c r="B891" t="s">
        <v>196</v>
      </c>
      <c r="C891" t="s">
        <v>1837</v>
      </c>
      <c r="D891" t="s">
        <v>1882</v>
      </c>
      <c r="E891">
        <v>1</v>
      </c>
      <c r="F891">
        <v>3</v>
      </c>
      <c r="G891" t="s">
        <v>3621</v>
      </c>
      <c r="H891">
        <v>3</v>
      </c>
    </row>
    <row r="892" spans="1:8" x14ac:dyDescent="0.3">
      <c r="A892">
        <v>891</v>
      </c>
      <c r="B892" t="s">
        <v>929</v>
      </c>
      <c r="C892" t="s">
        <v>1837</v>
      </c>
      <c r="D892" t="s">
        <v>1398</v>
      </c>
      <c r="E892">
        <v>2</v>
      </c>
      <c r="F892">
        <v>6</v>
      </c>
      <c r="G892" t="s">
        <v>3621</v>
      </c>
      <c r="H892">
        <v>3</v>
      </c>
    </row>
    <row r="893" spans="1:8" x14ac:dyDescent="0.3">
      <c r="A893">
        <v>892</v>
      </c>
      <c r="B893" t="s">
        <v>1884</v>
      </c>
      <c r="C893" t="s">
        <v>1837</v>
      </c>
      <c r="D893" t="s">
        <v>113</v>
      </c>
      <c r="E893">
        <v>3</v>
      </c>
      <c r="F893">
        <v>9</v>
      </c>
      <c r="G893" t="s">
        <v>3619</v>
      </c>
      <c r="H893">
        <v>3</v>
      </c>
    </row>
    <row r="894" spans="1:8" x14ac:dyDescent="0.3">
      <c r="A894">
        <v>893</v>
      </c>
      <c r="B894" t="s">
        <v>339</v>
      </c>
      <c r="C894" t="s">
        <v>1837</v>
      </c>
      <c r="D894" t="s">
        <v>442</v>
      </c>
      <c r="E894">
        <v>3</v>
      </c>
      <c r="F894">
        <v>9</v>
      </c>
      <c r="G894" t="s">
        <v>3624</v>
      </c>
      <c r="H894">
        <v>3</v>
      </c>
    </row>
    <row r="895" spans="1:8" x14ac:dyDescent="0.3">
      <c r="A895">
        <v>894</v>
      </c>
      <c r="B895" t="s">
        <v>1467</v>
      </c>
      <c r="C895" t="s">
        <v>1837</v>
      </c>
      <c r="D895" t="s">
        <v>1888</v>
      </c>
      <c r="E895">
        <v>1</v>
      </c>
      <c r="F895">
        <v>4</v>
      </c>
      <c r="G895" t="s">
        <v>3621</v>
      </c>
      <c r="H895">
        <v>4</v>
      </c>
    </row>
    <row r="896" spans="1:8" x14ac:dyDescent="0.3">
      <c r="A896">
        <v>895</v>
      </c>
      <c r="B896" t="s">
        <v>1719</v>
      </c>
      <c r="C896" t="s">
        <v>1837</v>
      </c>
      <c r="D896" t="s">
        <v>1890</v>
      </c>
      <c r="E896">
        <v>7</v>
      </c>
      <c r="F896">
        <v>23</v>
      </c>
      <c r="G896" t="s">
        <v>3619</v>
      </c>
      <c r="H896">
        <v>4</v>
      </c>
    </row>
    <row r="897" spans="1:8" x14ac:dyDescent="0.3">
      <c r="A897">
        <v>896</v>
      </c>
      <c r="B897" t="s">
        <v>1027</v>
      </c>
      <c r="C897" t="s">
        <v>1837</v>
      </c>
      <c r="D897" t="s">
        <v>309</v>
      </c>
      <c r="E897">
        <v>3</v>
      </c>
      <c r="F897">
        <v>12</v>
      </c>
      <c r="G897" t="s">
        <v>3619</v>
      </c>
      <c r="H897">
        <v>4</v>
      </c>
    </row>
    <row r="898" spans="1:8" x14ac:dyDescent="0.3">
      <c r="A898">
        <v>897</v>
      </c>
      <c r="B898" t="s">
        <v>40</v>
      </c>
      <c r="C898" t="s">
        <v>1837</v>
      </c>
      <c r="D898" t="s">
        <v>1893</v>
      </c>
      <c r="E898">
        <v>7</v>
      </c>
      <c r="F898">
        <v>23</v>
      </c>
      <c r="G898" t="s">
        <v>3619</v>
      </c>
      <c r="H898">
        <v>3</v>
      </c>
    </row>
    <row r="899" spans="1:8" x14ac:dyDescent="0.3">
      <c r="A899">
        <v>898</v>
      </c>
      <c r="B899" t="s">
        <v>853</v>
      </c>
      <c r="C899" t="s">
        <v>1837</v>
      </c>
      <c r="D899" t="s">
        <v>1895</v>
      </c>
      <c r="E899">
        <v>1</v>
      </c>
      <c r="F899">
        <v>3</v>
      </c>
      <c r="G899" t="s">
        <v>3621</v>
      </c>
      <c r="H899">
        <v>3</v>
      </c>
    </row>
    <row r="900" spans="1:8" x14ac:dyDescent="0.3">
      <c r="A900">
        <v>899</v>
      </c>
      <c r="B900" t="s">
        <v>1896</v>
      </c>
      <c r="C900" t="s">
        <v>1837</v>
      </c>
      <c r="D900" t="s">
        <v>1398</v>
      </c>
      <c r="E900">
        <v>2</v>
      </c>
      <c r="F900">
        <v>6</v>
      </c>
      <c r="G900" t="s">
        <v>3621</v>
      </c>
      <c r="H900">
        <v>3</v>
      </c>
    </row>
    <row r="901" spans="1:8" x14ac:dyDescent="0.3">
      <c r="A901">
        <v>900</v>
      </c>
      <c r="B901" t="s">
        <v>1042</v>
      </c>
      <c r="C901" t="s">
        <v>1837</v>
      </c>
      <c r="D901" t="s">
        <v>90</v>
      </c>
      <c r="E901">
        <v>8</v>
      </c>
      <c r="F901">
        <v>41</v>
      </c>
      <c r="G901" t="s">
        <v>3619</v>
      </c>
      <c r="H901">
        <v>5</v>
      </c>
    </row>
    <row r="902" spans="1:8" x14ac:dyDescent="0.3">
      <c r="A902">
        <v>901</v>
      </c>
      <c r="B902" t="s">
        <v>1404</v>
      </c>
      <c r="C902" t="s">
        <v>1837</v>
      </c>
      <c r="D902" t="s">
        <v>1900</v>
      </c>
      <c r="E902">
        <v>1</v>
      </c>
      <c r="F902">
        <v>5</v>
      </c>
      <c r="G902" t="s">
        <v>3621</v>
      </c>
      <c r="H902">
        <v>5</v>
      </c>
    </row>
    <row r="903" spans="1:8" x14ac:dyDescent="0.3">
      <c r="A903">
        <v>902</v>
      </c>
      <c r="B903" t="s">
        <v>1807</v>
      </c>
      <c r="C903" t="s">
        <v>1837</v>
      </c>
      <c r="D903" t="s">
        <v>1902</v>
      </c>
      <c r="E903">
        <v>1</v>
      </c>
      <c r="F903">
        <v>4</v>
      </c>
      <c r="G903" t="s">
        <v>3621</v>
      </c>
      <c r="H903">
        <v>4</v>
      </c>
    </row>
    <row r="904" spans="1:8" x14ac:dyDescent="0.3">
      <c r="A904">
        <v>903</v>
      </c>
      <c r="B904" t="s">
        <v>256</v>
      </c>
      <c r="C904" t="s">
        <v>1837</v>
      </c>
      <c r="D904" t="s">
        <v>1904</v>
      </c>
      <c r="E904">
        <v>1</v>
      </c>
      <c r="F904">
        <v>4</v>
      </c>
      <c r="G904" t="s">
        <v>3623</v>
      </c>
      <c r="H904">
        <v>4</v>
      </c>
    </row>
    <row r="905" spans="1:8" x14ac:dyDescent="0.3">
      <c r="A905">
        <v>904</v>
      </c>
      <c r="B905" t="s">
        <v>611</v>
      </c>
      <c r="C905" t="s">
        <v>1837</v>
      </c>
      <c r="D905" t="s">
        <v>90</v>
      </c>
      <c r="E905">
        <v>8</v>
      </c>
      <c r="F905">
        <v>41</v>
      </c>
      <c r="G905" t="s">
        <v>3619</v>
      </c>
      <c r="H905">
        <v>4</v>
      </c>
    </row>
    <row r="906" spans="1:8" x14ac:dyDescent="0.3">
      <c r="A906">
        <v>905</v>
      </c>
      <c r="B906" t="s">
        <v>729</v>
      </c>
      <c r="C906" t="s">
        <v>1837</v>
      </c>
      <c r="D906" t="s">
        <v>90</v>
      </c>
      <c r="E906">
        <v>8</v>
      </c>
      <c r="F906">
        <v>41</v>
      </c>
      <c r="G906" t="s">
        <v>3619</v>
      </c>
      <c r="H906">
        <v>5</v>
      </c>
    </row>
    <row r="907" spans="1:8" x14ac:dyDescent="0.3">
      <c r="A907">
        <v>906</v>
      </c>
      <c r="B907" t="s">
        <v>1907</v>
      </c>
      <c r="C907" t="s">
        <v>1837</v>
      </c>
      <c r="D907" t="s">
        <v>1288</v>
      </c>
      <c r="E907">
        <v>7</v>
      </c>
      <c r="F907">
        <v>23</v>
      </c>
      <c r="G907" t="s">
        <v>3619</v>
      </c>
      <c r="H907">
        <v>4</v>
      </c>
    </row>
    <row r="908" spans="1:8" x14ac:dyDescent="0.3">
      <c r="A908">
        <v>907</v>
      </c>
      <c r="B908" t="s">
        <v>264</v>
      </c>
      <c r="C908" t="s">
        <v>1837</v>
      </c>
      <c r="D908" t="s">
        <v>1910</v>
      </c>
      <c r="E908">
        <v>1</v>
      </c>
      <c r="F908">
        <v>5</v>
      </c>
      <c r="G908" t="s">
        <v>3621</v>
      </c>
      <c r="H908">
        <v>5</v>
      </c>
    </row>
    <row r="909" spans="1:8" x14ac:dyDescent="0.3">
      <c r="A909">
        <v>908</v>
      </c>
      <c r="B909" t="s">
        <v>1911</v>
      </c>
      <c r="C909" t="s">
        <v>1837</v>
      </c>
      <c r="D909" t="s">
        <v>1376</v>
      </c>
      <c r="E909">
        <v>1</v>
      </c>
      <c r="F909">
        <v>4</v>
      </c>
      <c r="G909" t="s">
        <v>3621</v>
      </c>
      <c r="H909">
        <v>4</v>
      </c>
    </row>
    <row r="910" spans="1:8" x14ac:dyDescent="0.3">
      <c r="A910">
        <v>909</v>
      </c>
      <c r="B910" t="s">
        <v>1062</v>
      </c>
      <c r="C910" t="s">
        <v>1837</v>
      </c>
      <c r="D910" t="s">
        <v>90</v>
      </c>
      <c r="E910">
        <v>8</v>
      </c>
      <c r="F910">
        <v>41</v>
      </c>
      <c r="G910" t="s">
        <v>3619</v>
      </c>
      <c r="H910">
        <v>6</v>
      </c>
    </row>
    <row r="911" spans="1:8" x14ac:dyDescent="0.3">
      <c r="A911">
        <v>910</v>
      </c>
      <c r="B911" t="s">
        <v>880</v>
      </c>
      <c r="C911" t="s">
        <v>1837</v>
      </c>
      <c r="D911" t="s">
        <v>1151</v>
      </c>
      <c r="E911">
        <v>1</v>
      </c>
      <c r="F911">
        <v>3</v>
      </c>
      <c r="G911" t="s">
        <v>3621</v>
      </c>
      <c r="H911">
        <v>3</v>
      </c>
    </row>
    <row r="912" spans="1:8" x14ac:dyDescent="0.3">
      <c r="A912">
        <v>911</v>
      </c>
      <c r="B912" t="s">
        <v>1226</v>
      </c>
      <c r="C912" t="s">
        <v>1837</v>
      </c>
      <c r="D912" t="s">
        <v>175</v>
      </c>
      <c r="E912">
        <v>7</v>
      </c>
      <c r="F912">
        <v>23</v>
      </c>
      <c r="G912" t="s">
        <v>3619</v>
      </c>
      <c r="H912">
        <v>3</v>
      </c>
    </row>
    <row r="913" spans="1:8" x14ac:dyDescent="0.3">
      <c r="A913">
        <v>912</v>
      </c>
      <c r="B913" t="s">
        <v>1916</v>
      </c>
      <c r="C913" t="s">
        <v>1837</v>
      </c>
      <c r="D913" t="s">
        <v>1918</v>
      </c>
      <c r="E913">
        <v>7</v>
      </c>
      <c r="F913">
        <v>31</v>
      </c>
      <c r="G913" t="s">
        <v>3623</v>
      </c>
      <c r="H913">
        <v>3</v>
      </c>
    </row>
    <row r="914" spans="1:8" x14ac:dyDescent="0.3">
      <c r="A914">
        <v>913</v>
      </c>
      <c r="B914" t="s">
        <v>1919</v>
      </c>
      <c r="C914" t="s">
        <v>1837</v>
      </c>
      <c r="D914" t="s">
        <v>1921</v>
      </c>
      <c r="E914">
        <v>7</v>
      </c>
      <c r="F914">
        <v>31</v>
      </c>
      <c r="G914" t="s">
        <v>3623</v>
      </c>
      <c r="H914">
        <v>6</v>
      </c>
    </row>
    <row r="915" spans="1:8" x14ac:dyDescent="0.3">
      <c r="A915">
        <v>914</v>
      </c>
      <c r="B915" t="s">
        <v>739</v>
      </c>
      <c r="C915" t="s">
        <v>1837</v>
      </c>
      <c r="D915" t="s">
        <v>113</v>
      </c>
      <c r="E915">
        <v>3</v>
      </c>
      <c r="F915">
        <v>9</v>
      </c>
      <c r="G915" t="s">
        <v>3619</v>
      </c>
      <c r="H915">
        <v>3</v>
      </c>
    </row>
    <row r="916" spans="1:8" x14ac:dyDescent="0.3">
      <c r="A916">
        <v>915</v>
      </c>
      <c r="B916" t="s">
        <v>891</v>
      </c>
      <c r="C916" t="s">
        <v>1837</v>
      </c>
      <c r="D916" t="s">
        <v>748</v>
      </c>
      <c r="E916">
        <v>1</v>
      </c>
      <c r="F916">
        <v>4</v>
      </c>
      <c r="G916" t="s">
        <v>3619</v>
      </c>
      <c r="H916">
        <v>4</v>
      </c>
    </row>
    <row r="917" spans="1:8" x14ac:dyDescent="0.3">
      <c r="A917">
        <v>916</v>
      </c>
      <c r="B917" t="s">
        <v>1924</v>
      </c>
      <c r="C917" t="s">
        <v>1925</v>
      </c>
      <c r="D917" t="s">
        <v>107</v>
      </c>
      <c r="E917">
        <v>1</v>
      </c>
      <c r="F917">
        <v>3</v>
      </c>
      <c r="G917" t="s">
        <v>3619</v>
      </c>
      <c r="H917">
        <v>3</v>
      </c>
    </row>
    <row r="918" spans="1:8" x14ac:dyDescent="0.3">
      <c r="A918">
        <v>917</v>
      </c>
      <c r="B918" t="s">
        <v>1927</v>
      </c>
      <c r="C918" t="s">
        <v>1925</v>
      </c>
      <c r="D918" t="s">
        <v>1121</v>
      </c>
      <c r="E918">
        <v>1</v>
      </c>
      <c r="F918">
        <v>3</v>
      </c>
      <c r="G918" t="s">
        <v>3619</v>
      </c>
      <c r="H918">
        <v>3</v>
      </c>
    </row>
    <row r="919" spans="1:8" x14ac:dyDescent="0.3">
      <c r="A919">
        <v>918</v>
      </c>
      <c r="B919" t="s">
        <v>1845</v>
      </c>
      <c r="C919" t="s">
        <v>1925</v>
      </c>
      <c r="D919" t="s">
        <v>1702</v>
      </c>
      <c r="E919">
        <v>1</v>
      </c>
      <c r="F919">
        <v>4</v>
      </c>
      <c r="G919" t="s">
        <v>3619</v>
      </c>
      <c r="H919">
        <v>4</v>
      </c>
    </row>
    <row r="920" spans="1:8" x14ac:dyDescent="0.3">
      <c r="A920">
        <v>919</v>
      </c>
      <c r="B920" t="s">
        <v>1240</v>
      </c>
      <c r="C920" t="s">
        <v>1925</v>
      </c>
      <c r="D920" t="s">
        <v>1931</v>
      </c>
      <c r="E920">
        <v>2</v>
      </c>
      <c r="F920">
        <v>7</v>
      </c>
      <c r="G920" t="s">
        <v>3619</v>
      </c>
      <c r="H920">
        <v>4</v>
      </c>
    </row>
    <row r="921" spans="1:8" x14ac:dyDescent="0.3">
      <c r="A921">
        <v>920</v>
      </c>
      <c r="B921" t="s">
        <v>760</v>
      </c>
      <c r="C921" t="s">
        <v>1925</v>
      </c>
      <c r="D921" t="s">
        <v>809</v>
      </c>
      <c r="E921">
        <v>3</v>
      </c>
      <c r="F921">
        <v>11</v>
      </c>
      <c r="G921" t="s">
        <v>3619</v>
      </c>
      <c r="H921">
        <v>3</v>
      </c>
    </row>
    <row r="922" spans="1:8" x14ac:dyDescent="0.3">
      <c r="A922">
        <v>921</v>
      </c>
      <c r="B922" t="s">
        <v>1082</v>
      </c>
      <c r="C922" t="s">
        <v>1925</v>
      </c>
      <c r="D922" t="s">
        <v>1934</v>
      </c>
      <c r="E922">
        <v>2</v>
      </c>
      <c r="F922">
        <v>7</v>
      </c>
      <c r="G922" t="s">
        <v>3619</v>
      </c>
      <c r="H922">
        <v>3</v>
      </c>
    </row>
    <row r="923" spans="1:8" x14ac:dyDescent="0.3">
      <c r="A923">
        <v>922</v>
      </c>
      <c r="B923" t="s">
        <v>502</v>
      </c>
      <c r="C923" t="s">
        <v>1925</v>
      </c>
      <c r="D923" t="s">
        <v>1936</v>
      </c>
      <c r="E923">
        <v>1</v>
      </c>
      <c r="F923">
        <v>4</v>
      </c>
      <c r="G923" t="s">
        <v>3621</v>
      </c>
      <c r="H923">
        <v>4</v>
      </c>
    </row>
    <row r="924" spans="1:8" x14ac:dyDescent="0.3">
      <c r="A924">
        <v>923</v>
      </c>
      <c r="B924" t="s">
        <v>1424</v>
      </c>
      <c r="C924" t="s">
        <v>1925</v>
      </c>
      <c r="D924" t="s">
        <v>660</v>
      </c>
      <c r="E924">
        <v>7</v>
      </c>
      <c r="F924">
        <v>28</v>
      </c>
      <c r="G924" t="s">
        <v>3623</v>
      </c>
      <c r="H924">
        <v>4</v>
      </c>
    </row>
    <row r="925" spans="1:8" x14ac:dyDescent="0.3">
      <c r="A925">
        <v>924</v>
      </c>
      <c r="B925" t="s">
        <v>1430</v>
      </c>
      <c r="C925" t="s">
        <v>1925</v>
      </c>
      <c r="D925" t="s">
        <v>660</v>
      </c>
      <c r="E925">
        <v>7</v>
      </c>
      <c r="F925">
        <v>28</v>
      </c>
      <c r="G925" t="s">
        <v>3623</v>
      </c>
      <c r="H925">
        <v>3</v>
      </c>
    </row>
    <row r="926" spans="1:8" x14ac:dyDescent="0.3">
      <c r="A926">
        <v>925</v>
      </c>
      <c r="B926" t="s">
        <v>1522</v>
      </c>
      <c r="C926" t="s">
        <v>1925</v>
      </c>
      <c r="D926" t="s">
        <v>660</v>
      </c>
      <c r="E926">
        <v>7</v>
      </c>
      <c r="F926">
        <v>28</v>
      </c>
      <c r="G926" t="s">
        <v>3623</v>
      </c>
      <c r="H926">
        <v>4</v>
      </c>
    </row>
    <row r="927" spans="1:8" x14ac:dyDescent="0.3">
      <c r="A927">
        <v>926</v>
      </c>
      <c r="B927" t="s">
        <v>1940</v>
      </c>
      <c r="C927" t="s">
        <v>1925</v>
      </c>
      <c r="D927" t="s">
        <v>765</v>
      </c>
      <c r="E927">
        <v>3</v>
      </c>
      <c r="F927">
        <v>11</v>
      </c>
      <c r="G927" t="s">
        <v>3619</v>
      </c>
      <c r="H927">
        <v>3</v>
      </c>
    </row>
    <row r="928" spans="1:8" x14ac:dyDescent="0.3">
      <c r="A928">
        <v>927</v>
      </c>
      <c r="B928" t="s">
        <v>164</v>
      </c>
      <c r="C928" t="s">
        <v>1925</v>
      </c>
      <c r="D928" t="s">
        <v>1943</v>
      </c>
      <c r="E928">
        <v>1</v>
      </c>
      <c r="F928">
        <v>3</v>
      </c>
      <c r="G928" t="s">
        <v>3621</v>
      </c>
      <c r="H928">
        <v>3</v>
      </c>
    </row>
    <row r="929" spans="1:8" x14ac:dyDescent="0.3">
      <c r="A929">
        <v>928</v>
      </c>
      <c r="B929" t="s">
        <v>1531</v>
      </c>
      <c r="C929" t="s">
        <v>1925</v>
      </c>
      <c r="D929" t="s">
        <v>660</v>
      </c>
      <c r="E929">
        <v>7</v>
      </c>
      <c r="F929">
        <v>28</v>
      </c>
      <c r="G929" t="s">
        <v>3623</v>
      </c>
      <c r="H929">
        <v>6</v>
      </c>
    </row>
    <row r="930" spans="1:8" x14ac:dyDescent="0.3">
      <c r="A930">
        <v>929</v>
      </c>
      <c r="B930" t="s">
        <v>1945</v>
      </c>
      <c r="C930" t="s">
        <v>1925</v>
      </c>
      <c r="D930" t="s">
        <v>1947</v>
      </c>
      <c r="E930">
        <v>4</v>
      </c>
      <c r="F930">
        <v>13</v>
      </c>
      <c r="G930" t="s">
        <v>3619</v>
      </c>
      <c r="H930">
        <v>3</v>
      </c>
    </row>
    <row r="931" spans="1:8" x14ac:dyDescent="0.3">
      <c r="A931">
        <v>930</v>
      </c>
      <c r="B931" t="s">
        <v>1631</v>
      </c>
      <c r="C931" t="s">
        <v>1925</v>
      </c>
      <c r="D931" t="s">
        <v>660</v>
      </c>
      <c r="E931">
        <v>7</v>
      </c>
      <c r="F931">
        <v>28</v>
      </c>
      <c r="G931" t="s">
        <v>3623</v>
      </c>
      <c r="H931">
        <v>4</v>
      </c>
    </row>
    <row r="932" spans="1:8" x14ac:dyDescent="0.3">
      <c r="A932">
        <v>931</v>
      </c>
      <c r="B932" t="s">
        <v>1266</v>
      </c>
      <c r="C932" t="s">
        <v>1925</v>
      </c>
      <c r="D932" t="s">
        <v>1950</v>
      </c>
      <c r="E932">
        <v>1</v>
      </c>
      <c r="F932">
        <v>3</v>
      </c>
      <c r="G932" t="s">
        <v>3621</v>
      </c>
      <c r="H932">
        <v>3</v>
      </c>
    </row>
    <row r="933" spans="1:8" x14ac:dyDescent="0.3">
      <c r="A933">
        <v>932</v>
      </c>
      <c r="B933" t="s">
        <v>1951</v>
      </c>
      <c r="C933" t="s">
        <v>1925</v>
      </c>
      <c r="D933" t="s">
        <v>951</v>
      </c>
      <c r="E933">
        <v>1</v>
      </c>
      <c r="F933">
        <v>6</v>
      </c>
      <c r="G933" t="s">
        <v>3619</v>
      </c>
      <c r="H933">
        <v>6</v>
      </c>
    </row>
    <row r="934" spans="1:8" x14ac:dyDescent="0.3">
      <c r="A934">
        <v>933</v>
      </c>
      <c r="B934" t="s">
        <v>1953</v>
      </c>
      <c r="C934" t="s">
        <v>1925</v>
      </c>
      <c r="D934" t="s">
        <v>1955</v>
      </c>
      <c r="E934">
        <v>4</v>
      </c>
      <c r="F934">
        <v>13</v>
      </c>
      <c r="G934" t="s">
        <v>3619</v>
      </c>
      <c r="H934">
        <v>4</v>
      </c>
    </row>
    <row r="935" spans="1:8" x14ac:dyDescent="0.3">
      <c r="A935">
        <v>934</v>
      </c>
      <c r="B935" t="s">
        <v>1956</v>
      </c>
      <c r="C935" t="s">
        <v>1925</v>
      </c>
      <c r="D935" t="s">
        <v>660</v>
      </c>
      <c r="E935">
        <v>7</v>
      </c>
      <c r="F935">
        <v>28</v>
      </c>
      <c r="G935" t="s">
        <v>3623</v>
      </c>
      <c r="H935">
        <v>3</v>
      </c>
    </row>
    <row r="936" spans="1:8" x14ac:dyDescent="0.3">
      <c r="A936">
        <v>935</v>
      </c>
      <c r="B936" t="s">
        <v>569</v>
      </c>
      <c r="C936" t="s">
        <v>1925</v>
      </c>
      <c r="D936" t="s">
        <v>1868</v>
      </c>
      <c r="E936">
        <v>1</v>
      </c>
      <c r="F936">
        <v>3</v>
      </c>
      <c r="G936" t="s">
        <v>3621</v>
      </c>
      <c r="H936">
        <v>3</v>
      </c>
    </row>
    <row r="937" spans="1:8" x14ac:dyDescent="0.3">
      <c r="A937">
        <v>936</v>
      </c>
      <c r="B937" t="s">
        <v>56</v>
      </c>
      <c r="C937" t="s">
        <v>1925</v>
      </c>
      <c r="D937" t="s">
        <v>1670</v>
      </c>
      <c r="E937">
        <v>1</v>
      </c>
      <c r="F937">
        <v>3</v>
      </c>
      <c r="G937" t="s">
        <v>3621</v>
      </c>
      <c r="H937">
        <v>3</v>
      </c>
    </row>
    <row r="938" spans="1:8" x14ac:dyDescent="0.3">
      <c r="A938">
        <v>937</v>
      </c>
      <c r="B938" t="s">
        <v>1960</v>
      </c>
      <c r="C938" t="s">
        <v>1925</v>
      </c>
      <c r="D938" t="s">
        <v>660</v>
      </c>
      <c r="E938">
        <v>7</v>
      </c>
      <c r="F938">
        <v>28</v>
      </c>
      <c r="G938" t="s">
        <v>3623</v>
      </c>
      <c r="H938">
        <v>4</v>
      </c>
    </row>
    <row r="939" spans="1:8" x14ac:dyDescent="0.3">
      <c r="A939">
        <v>938</v>
      </c>
      <c r="B939" t="s">
        <v>1962</v>
      </c>
      <c r="C939" t="s">
        <v>1925</v>
      </c>
      <c r="D939" t="s">
        <v>1964</v>
      </c>
      <c r="E939">
        <v>1</v>
      </c>
      <c r="F939">
        <v>3</v>
      </c>
      <c r="G939" t="s">
        <v>3619</v>
      </c>
      <c r="H939">
        <v>3</v>
      </c>
    </row>
    <row r="940" spans="1:8" x14ac:dyDescent="0.3">
      <c r="A940">
        <v>939</v>
      </c>
      <c r="B940" t="s">
        <v>1396</v>
      </c>
      <c r="C940" t="s">
        <v>1925</v>
      </c>
      <c r="D940" t="s">
        <v>1077</v>
      </c>
      <c r="E940">
        <v>3</v>
      </c>
      <c r="F940">
        <v>11</v>
      </c>
      <c r="G940" t="s">
        <v>3619</v>
      </c>
      <c r="H940">
        <v>5</v>
      </c>
    </row>
    <row r="941" spans="1:8" x14ac:dyDescent="0.3">
      <c r="A941">
        <v>940</v>
      </c>
      <c r="B941" t="s">
        <v>40</v>
      </c>
      <c r="C941" t="s">
        <v>1925</v>
      </c>
      <c r="D941" t="s">
        <v>1967</v>
      </c>
      <c r="E941">
        <v>1</v>
      </c>
      <c r="F941">
        <v>3</v>
      </c>
      <c r="G941" t="s">
        <v>3621</v>
      </c>
      <c r="H941">
        <v>3</v>
      </c>
    </row>
    <row r="942" spans="1:8" x14ac:dyDescent="0.3">
      <c r="A942">
        <v>941</v>
      </c>
      <c r="B942" t="s">
        <v>958</v>
      </c>
      <c r="C942" t="s">
        <v>1925</v>
      </c>
      <c r="D942" t="s">
        <v>967</v>
      </c>
      <c r="E942">
        <v>1</v>
      </c>
      <c r="F942">
        <v>3</v>
      </c>
      <c r="G942" t="s">
        <v>3623</v>
      </c>
      <c r="H942">
        <v>3</v>
      </c>
    </row>
    <row r="943" spans="1:8" x14ac:dyDescent="0.3">
      <c r="A943">
        <v>942</v>
      </c>
      <c r="B943" t="s">
        <v>225</v>
      </c>
      <c r="C943" t="s">
        <v>1925</v>
      </c>
      <c r="D943" t="s">
        <v>1955</v>
      </c>
      <c r="E943">
        <v>4</v>
      </c>
      <c r="F943">
        <v>13</v>
      </c>
      <c r="G943" t="s">
        <v>3619</v>
      </c>
      <c r="H943">
        <v>3</v>
      </c>
    </row>
    <row r="944" spans="1:8" x14ac:dyDescent="0.3">
      <c r="A944">
        <v>943</v>
      </c>
      <c r="B944" t="s">
        <v>1202</v>
      </c>
      <c r="C944" t="s">
        <v>1925</v>
      </c>
      <c r="D944" t="s">
        <v>1710</v>
      </c>
      <c r="E944">
        <v>1</v>
      </c>
      <c r="F944">
        <v>3</v>
      </c>
      <c r="G944" t="s">
        <v>3619</v>
      </c>
      <c r="H944">
        <v>3</v>
      </c>
    </row>
    <row r="945" spans="1:8" x14ac:dyDescent="0.3">
      <c r="A945">
        <v>944</v>
      </c>
      <c r="B945" t="s">
        <v>1739</v>
      </c>
      <c r="C945" t="s">
        <v>1925</v>
      </c>
      <c r="D945" t="s">
        <v>1490</v>
      </c>
      <c r="E945">
        <v>1</v>
      </c>
      <c r="F945">
        <v>4</v>
      </c>
      <c r="G945" t="s">
        <v>3621</v>
      </c>
      <c r="H945">
        <v>4</v>
      </c>
    </row>
    <row r="946" spans="1:8" x14ac:dyDescent="0.3">
      <c r="A946">
        <v>945</v>
      </c>
      <c r="B946" t="s">
        <v>1972</v>
      </c>
      <c r="C946" t="s">
        <v>1925</v>
      </c>
      <c r="D946" t="s">
        <v>1974</v>
      </c>
      <c r="E946">
        <v>2</v>
      </c>
      <c r="F946">
        <v>6</v>
      </c>
      <c r="G946" t="s">
        <v>3621</v>
      </c>
      <c r="H946">
        <v>3</v>
      </c>
    </row>
    <row r="947" spans="1:8" x14ac:dyDescent="0.3">
      <c r="A947">
        <v>946</v>
      </c>
      <c r="B947" t="s">
        <v>43</v>
      </c>
      <c r="C947" t="s">
        <v>1925</v>
      </c>
      <c r="D947" t="s">
        <v>1976</v>
      </c>
      <c r="E947">
        <v>2</v>
      </c>
      <c r="F947">
        <v>6</v>
      </c>
      <c r="G947" t="s">
        <v>3621</v>
      </c>
      <c r="H947">
        <v>3</v>
      </c>
    </row>
    <row r="948" spans="1:8" x14ac:dyDescent="0.3">
      <c r="A948">
        <v>947</v>
      </c>
      <c r="B948" t="s">
        <v>45</v>
      </c>
      <c r="C948" t="s">
        <v>1925</v>
      </c>
      <c r="D948" t="s">
        <v>1288</v>
      </c>
      <c r="E948">
        <v>1</v>
      </c>
      <c r="F948">
        <v>3</v>
      </c>
      <c r="G948" t="s">
        <v>3619</v>
      </c>
      <c r="H948">
        <v>3</v>
      </c>
    </row>
    <row r="949" spans="1:8" x14ac:dyDescent="0.3">
      <c r="A949">
        <v>948</v>
      </c>
      <c r="B949" t="s">
        <v>880</v>
      </c>
      <c r="C949" t="s">
        <v>1925</v>
      </c>
      <c r="D949" t="s">
        <v>1979</v>
      </c>
      <c r="E949">
        <v>1</v>
      </c>
      <c r="F949">
        <v>3</v>
      </c>
      <c r="G949" t="s">
        <v>3621</v>
      </c>
      <c r="H949">
        <v>3</v>
      </c>
    </row>
    <row r="950" spans="1:8" x14ac:dyDescent="0.3">
      <c r="A950">
        <v>949</v>
      </c>
      <c r="B950" t="s">
        <v>278</v>
      </c>
      <c r="C950" t="s">
        <v>1925</v>
      </c>
      <c r="D950" t="s">
        <v>1981</v>
      </c>
      <c r="E950">
        <v>4</v>
      </c>
      <c r="F950">
        <v>13</v>
      </c>
      <c r="G950" t="s">
        <v>3619</v>
      </c>
      <c r="H950">
        <v>3</v>
      </c>
    </row>
    <row r="951" spans="1:8" x14ac:dyDescent="0.3">
      <c r="A951">
        <v>950</v>
      </c>
      <c r="B951" t="s">
        <v>1305</v>
      </c>
      <c r="C951" t="s">
        <v>1982</v>
      </c>
      <c r="D951" t="s">
        <v>266</v>
      </c>
      <c r="E951">
        <v>1</v>
      </c>
      <c r="F951">
        <v>3</v>
      </c>
      <c r="G951" t="s">
        <v>3621</v>
      </c>
      <c r="H951">
        <v>3</v>
      </c>
    </row>
    <row r="952" spans="1:8" x14ac:dyDescent="0.3">
      <c r="A952">
        <v>951</v>
      </c>
      <c r="B952" t="s">
        <v>656</v>
      </c>
      <c r="C952" t="s">
        <v>1982</v>
      </c>
      <c r="D952" t="s">
        <v>1985</v>
      </c>
      <c r="E952">
        <v>2</v>
      </c>
      <c r="F952">
        <v>6</v>
      </c>
      <c r="G952" t="s">
        <v>3619</v>
      </c>
      <c r="H952">
        <v>3</v>
      </c>
    </row>
    <row r="953" spans="1:8" x14ac:dyDescent="0.3">
      <c r="A953">
        <v>952</v>
      </c>
      <c r="B953" t="s">
        <v>917</v>
      </c>
      <c r="C953" t="s">
        <v>1982</v>
      </c>
      <c r="D953" t="s">
        <v>309</v>
      </c>
      <c r="E953">
        <v>2</v>
      </c>
      <c r="F953">
        <v>6</v>
      </c>
      <c r="G953" t="s">
        <v>3621</v>
      </c>
      <c r="H953">
        <v>3</v>
      </c>
    </row>
    <row r="954" spans="1:8" x14ac:dyDescent="0.3">
      <c r="A954">
        <v>953</v>
      </c>
      <c r="B954" t="s">
        <v>1316</v>
      </c>
      <c r="C954" t="s">
        <v>1982</v>
      </c>
      <c r="D954" t="s">
        <v>1048</v>
      </c>
      <c r="E954">
        <v>1</v>
      </c>
      <c r="F954">
        <v>3</v>
      </c>
      <c r="G954" t="s">
        <v>3621</v>
      </c>
      <c r="H954">
        <v>3</v>
      </c>
    </row>
    <row r="955" spans="1:8" x14ac:dyDescent="0.3">
      <c r="A955">
        <v>954</v>
      </c>
      <c r="B955" t="s">
        <v>138</v>
      </c>
      <c r="C955" t="s">
        <v>1982</v>
      </c>
      <c r="D955" t="s">
        <v>1989</v>
      </c>
      <c r="E955">
        <v>1</v>
      </c>
      <c r="F955">
        <v>3</v>
      </c>
      <c r="G955" t="s">
        <v>3621</v>
      </c>
      <c r="H955">
        <v>3</v>
      </c>
    </row>
    <row r="956" spans="1:8" x14ac:dyDescent="0.3">
      <c r="A956">
        <v>955</v>
      </c>
      <c r="B956" t="s">
        <v>1253</v>
      </c>
      <c r="C956" t="s">
        <v>1982</v>
      </c>
      <c r="D956" t="s">
        <v>1991</v>
      </c>
      <c r="E956">
        <v>1</v>
      </c>
      <c r="F956">
        <v>3</v>
      </c>
      <c r="G956" t="s">
        <v>3621</v>
      </c>
      <c r="H956">
        <v>3</v>
      </c>
    </row>
    <row r="957" spans="1:8" x14ac:dyDescent="0.3">
      <c r="A957">
        <v>956</v>
      </c>
      <c r="B957" t="s">
        <v>313</v>
      </c>
      <c r="C957" t="s">
        <v>1982</v>
      </c>
      <c r="D957" t="s">
        <v>1993</v>
      </c>
      <c r="E957">
        <v>3</v>
      </c>
      <c r="F957">
        <v>10</v>
      </c>
      <c r="G957" t="s">
        <v>3619</v>
      </c>
      <c r="H957">
        <v>3</v>
      </c>
    </row>
    <row r="958" spans="1:8" x14ac:dyDescent="0.3">
      <c r="A958">
        <v>957</v>
      </c>
      <c r="B958" t="s">
        <v>670</v>
      </c>
      <c r="C958" t="s">
        <v>1982</v>
      </c>
      <c r="D958" t="s">
        <v>1995</v>
      </c>
      <c r="E958">
        <v>1</v>
      </c>
      <c r="F958">
        <v>3</v>
      </c>
      <c r="G958" t="s">
        <v>3625</v>
      </c>
      <c r="H958">
        <v>3</v>
      </c>
    </row>
    <row r="959" spans="1:8" x14ac:dyDescent="0.3">
      <c r="A959">
        <v>958</v>
      </c>
      <c r="B959" t="s">
        <v>1996</v>
      </c>
      <c r="C959" t="s">
        <v>1982</v>
      </c>
      <c r="D959" t="s">
        <v>1998</v>
      </c>
      <c r="E959">
        <v>2</v>
      </c>
      <c r="F959">
        <v>6</v>
      </c>
      <c r="G959" t="s">
        <v>3619</v>
      </c>
      <c r="H959">
        <v>3</v>
      </c>
    </row>
    <row r="960" spans="1:8" x14ac:dyDescent="0.3">
      <c r="A960">
        <v>959</v>
      </c>
      <c r="B960" t="s">
        <v>423</v>
      </c>
      <c r="C960" t="s">
        <v>1982</v>
      </c>
      <c r="D960" t="s">
        <v>2000</v>
      </c>
      <c r="E960">
        <v>3</v>
      </c>
      <c r="F960">
        <v>10</v>
      </c>
      <c r="G960" t="s">
        <v>3619</v>
      </c>
      <c r="H960">
        <v>3</v>
      </c>
    </row>
    <row r="961" spans="1:8" x14ac:dyDescent="0.3">
      <c r="A961">
        <v>960</v>
      </c>
      <c r="B961" t="s">
        <v>2001</v>
      </c>
      <c r="C961" t="s">
        <v>1982</v>
      </c>
      <c r="D961" t="s">
        <v>213</v>
      </c>
      <c r="E961">
        <v>1</v>
      </c>
      <c r="F961">
        <v>3</v>
      </c>
      <c r="G961" t="s">
        <v>3619</v>
      </c>
      <c r="H961">
        <v>3</v>
      </c>
    </row>
    <row r="962" spans="1:8" x14ac:dyDescent="0.3">
      <c r="A962">
        <v>961</v>
      </c>
      <c r="B962" t="s">
        <v>429</v>
      </c>
      <c r="C962" t="s">
        <v>1982</v>
      </c>
      <c r="D962" t="s">
        <v>2004</v>
      </c>
      <c r="E962">
        <v>1</v>
      </c>
      <c r="F962">
        <v>3</v>
      </c>
      <c r="G962" t="s">
        <v>3619</v>
      </c>
      <c r="H962">
        <v>3</v>
      </c>
    </row>
    <row r="963" spans="1:8" x14ac:dyDescent="0.3">
      <c r="A963">
        <v>962</v>
      </c>
      <c r="B963" t="s">
        <v>2005</v>
      </c>
      <c r="C963" t="s">
        <v>1982</v>
      </c>
      <c r="D963" t="s">
        <v>2000</v>
      </c>
      <c r="E963">
        <v>3</v>
      </c>
      <c r="F963">
        <v>10</v>
      </c>
      <c r="G963" t="s">
        <v>3619</v>
      </c>
      <c r="H963">
        <v>4</v>
      </c>
    </row>
    <row r="964" spans="1:8" x14ac:dyDescent="0.3">
      <c r="A964">
        <v>963</v>
      </c>
      <c r="B964" t="s">
        <v>1336</v>
      </c>
      <c r="C964" t="s">
        <v>1982</v>
      </c>
      <c r="D964" t="s">
        <v>1541</v>
      </c>
      <c r="E964">
        <v>1</v>
      </c>
      <c r="F964">
        <v>3</v>
      </c>
      <c r="G964" t="s">
        <v>3621</v>
      </c>
      <c r="H964">
        <v>3</v>
      </c>
    </row>
    <row r="965" spans="1:8" x14ac:dyDescent="0.3">
      <c r="A965">
        <v>964</v>
      </c>
      <c r="B965" t="s">
        <v>704</v>
      </c>
      <c r="C965" t="s">
        <v>1982</v>
      </c>
      <c r="D965" t="s">
        <v>2009</v>
      </c>
      <c r="E965">
        <v>1</v>
      </c>
      <c r="F965">
        <v>3</v>
      </c>
      <c r="G965" t="s">
        <v>3621</v>
      </c>
      <c r="H965">
        <v>3</v>
      </c>
    </row>
    <row r="966" spans="1:8" x14ac:dyDescent="0.3">
      <c r="A966">
        <v>965</v>
      </c>
      <c r="B966" t="s">
        <v>1649</v>
      </c>
      <c r="C966" t="s">
        <v>1982</v>
      </c>
      <c r="D966" t="s">
        <v>309</v>
      </c>
      <c r="E966">
        <v>2</v>
      </c>
      <c r="F966">
        <v>6</v>
      </c>
      <c r="G966" t="s">
        <v>3621</v>
      </c>
      <c r="H966">
        <v>3</v>
      </c>
    </row>
    <row r="967" spans="1:8" x14ac:dyDescent="0.3">
      <c r="A967">
        <v>966</v>
      </c>
      <c r="B967" t="s">
        <v>853</v>
      </c>
      <c r="C967" t="s">
        <v>1982</v>
      </c>
      <c r="D967" t="s">
        <v>296</v>
      </c>
      <c r="E967">
        <v>1</v>
      </c>
      <c r="F967">
        <v>5</v>
      </c>
      <c r="G967" t="s">
        <v>3619</v>
      </c>
      <c r="H967">
        <v>5</v>
      </c>
    </row>
    <row r="968" spans="1:8" x14ac:dyDescent="0.3">
      <c r="A968">
        <v>967</v>
      </c>
      <c r="B968" t="s">
        <v>1204</v>
      </c>
      <c r="C968" t="s">
        <v>1982</v>
      </c>
      <c r="D968" t="s">
        <v>553</v>
      </c>
      <c r="E968">
        <v>1</v>
      </c>
      <c r="F968">
        <v>3</v>
      </c>
      <c r="G968" t="s">
        <v>3621</v>
      </c>
      <c r="H968">
        <v>3</v>
      </c>
    </row>
    <row r="969" spans="1:8" x14ac:dyDescent="0.3">
      <c r="A969">
        <v>968</v>
      </c>
      <c r="B969" t="s">
        <v>462</v>
      </c>
      <c r="C969" t="s">
        <v>1982</v>
      </c>
      <c r="D969" t="s">
        <v>940</v>
      </c>
      <c r="E969">
        <v>1</v>
      </c>
      <c r="F969">
        <v>4</v>
      </c>
      <c r="G969" t="s">
        <v>3621</v>
      </c>
      <c r="H969">
        <v>4</v>
      </c>
    </row>
    <row r="970" spans="1:8" x14ac:dyDescent="0.3">
      <c r="A970">
        <v>969</v>
      </c>
      <c r="B970" t="s">
        <v>1807</v>
      </c>
      <c r="C970" t="s">
        <v>1982</v>
      </c>
      <c r="D970" t="s">
        <v>1710</v>
      </c>
      <c r="E970">
        <v>2</v>
      </c>
      <c r="F970">
        <v>7</v>
      </c>
      <c r="G970" t="s">
        <v>3619</v>
      </c>
      <c r="H970">
        <v>3</v>
      </c>
    </row>
    <row r="971" spans="1:8" x14ac:dyDescent="0.3">
      <c r="A971">
        <v>970</v>
      </c>
      <c r="B971" t="s">
        <v>1284</v>
      </c>
      <c r="C971" t="s">
        <v>1982</v>
      </c>
      <c r="D971" t="s">
        <v>2016</v>
      </c>
      <c r="E971">
        <v>1</v>
      </c>
      <c r="F971">
        <v>3</v>
      </c>
      <c r="G971" t="s">
        <v>3621</v>
      </c>
      <c r="H971">
        <v>3</v>
      </c>
    </row>
    <row r="972" spans="1:8" x14ac:dyDescent="0.3">
      <c r="A972">
        <v>971</v>
      </c>
      <c r="B972" t="s">
        <v>1057</v>
      </c>
      <c r="C972" t="s">
        <v>1982</v>
      </c>
      <c r="D972" t="s">
        <v>1121</v>
      </c>
      <c r="E972">
        <v>1</v>
      </c>
      <c r="F972">
        <v>4</v>
      </c>
      <c r="G972" t="s">
        <v>3619</v>
      </c>
      <c r="H972">
        <v>4</v>
      </c>
    </row>
    <row r="973" spans="1:8" x14ac:dyDescent="0.3">
      <c r="A973">
        <v>972</v>
      </c>
      <c r="B973" t="s">
        <v>2018</v>
      </c>
      <c r="C973" t="s">
        <v>1982</v>
      </c>
      <c r="D973" t="s">
        <v>2020</v>
      </c>
      <c r="E973">
        <v>1</v>
      </c>
      <c r="F973">
        <v>4</v>
      </c>
      <c r="G973" t="s">
        <v>3621</v>
      </c>
      <c r="H973">
        <v>4</v>
      </c>
    </row>
    <row r="974" spans="1:8" x14ac:dyDescent="0.3">
      <c r="A974">
        <v>973</v>
      </c>
      <c r="B974" t="s">
        <v>272</v>
      </c>
      <c r="C974" t="s">
        <v>1982</v>
      </c>
      <c r="D974" t="s">
        <v>1710</v>
      </c>
      <c r="E974">
        <v>2</v>
      </c>
      <c r="F974">
        <v>7</v>
      </c>
      <c r="G974" t="s">
        <v>3619</v>
      </c>
      <c r="H974">
        <v>4</v>
      </c>
    </row>
    <row r="975" spans="1:8" x14ac:dyDescent="0.3">
      <c r="A975">
        <v>974</v>
      </c>
      <c r="B975" t="s">
        <v>1228</v>
      </c>
      <c r="C975" t="s">
        <v>1982</v>
      </c>
      <c r="D975" t="s">
        <v>304</v>
      </c>
      <c r="E975">
        <v>1</v>
      </c>
      <c r="F975">
        <v>3</v>
      </c>
      <c r="G975" t="s">
        <v>3619</v>
      </c>
      <c r="H975">
        <v>3</v>
      </c>
    </row>
    <row r="976" spans="1:8" x14ac:dyDescent="0.3">
      <c r="A976">
        <v>975</v>
      </c>
      <c r="B976" t="s">
        <v>2023</v>
      </c>
      <c r="C976" t="s">
        <v>2024</v>
      </c>
      <c r="D976" t="s">
        <v>1121</v>
      </c>
      <c r="E976">
        <v>2</v>
      </c>
      <c r="F976">
        <v>7</v>
      </c>
      <c r="G976" t="s">
        <v>3619</v>
      </c>
      <c r="H976">
        <v>3</v>
      </c>
    </row>
    <row r="977" spans="1:8" x14ac:dyDescent="0.3">
      <c r="A977">
        <v>976</v>
      </c>
      <c r="B977" t="s">
        <v>2026</v>
      </c>
      <c r="C977" t="s">
        <v>2024</v>
      </c>
      <c r="D977" t="s">
        <v>667</v>
      </c>
      <c r="E977">
        <v>3</v>
      </c>
      <c r="F977">
        <v>9</v>
      </c>
      <c r="G977" t="s">
        <v>3619</v>
      </c>
      <c r="H977">
        <v>3</v>
      </c>
    </row>
    <row r="978" spans="1:8" x14ac:dyDescent="0.3">
      <c r="A978">
        <v>977</v>
      </c>
      <c r="B978" t="s">
        <v>2028</v>
      </c>
      <c r="C978" t="s">
        <v>2024</v>
      </c>
      <c r="D978" t="s">
        <v>1565</v>
      </c>
      <c r="E978">
        <v>3</v>
      </c>
      <c r="F978">
        <v>9</v>
      </c>
      <c r="G978" t="s">
        <v>3619</v>
      </c>
      <c r="H978">
        <v>3</v>
      </c>
    </row>
    <row r="979" spans="1:8" x14ac:dyDescent="0.3">
      <c r="A979">
        <v>978</v>
      </c>
      <c r="B979" t="s">
        <v>1253</v>
      </c>
      <c r="C979" t="s">
        <v>2024</v>
      </c>
      <c r="D979" t="s">
        <v>266</v>
      </c>
      <c r="E979">
        <v>1</v>
      </c>
      <c r="F979">
        <v>3</v>
      </c>
      <c r="G979" t="s">
        <v>3621</v>
      </c>
      <c r="H979">
        <v>3</v>
      </c>
    </row>
    <row r="980" spans="1:8" x14ac:dyDescent="0.3">
      <c r="A980">
        <v>979</v>
      </c>
      <c r="B980" t="s">
        <v>924</v>
      </c>
      <c r="C980" t="s">
        <v>2024</v>
      </c>
      <c r="D980" t="s">
        <v>296</v>
      </c>
      <c r="E980">
        <v>2</v>
      </c>
      <c r="F980">
        <v>8</v>
      </c>
      <c r="G980" t="s">
        <v>3619</v>
      </c>
      <c r="H980">
        <v>4</v>
      </c>
    </row>
    <row r="981" spans="1:8" x14ac:dyDescent="0.3">
      <c r="A981">
        <v>980</v>
      </c>
      <c r="B981" t="s">
        <v>670</v>
      </c>
      <c r="C981" t="s">
        <v>2024</v>
      </c>
      <c r="D981" t="s">
        <v>2033</v>
      </c>
      <c r="E981">
        <v>1</v>
      </c>
      <c r="F981">
        <v>3</v>
      </c>
      <c r="G981" t="s">
        <v>3621</v>
      </c>
      <c r="H981">
        <v>3</v>
      </c>
    </row>
    <row r="982" spans="1:8" x14ac:dyDescent="0.3">
      <c r="A982">
        <v>981</v>
      </c>
      <c r="B982" t="s">
        <v>2034</v>
      </c>
      <c r="C982" t="s">
        <v>2024</v>
      </c>
      <c r="D982" t="s">
        <v>213</v>
      </c>
      <c r="E982">
        <v>2</v>
      </c>
      <c r="F982">
        <v>6</v>
      </c>
      <c r="G982" t="s">
        <v>3619</v>
      </c>
      <c r="H982">
        <v>3</v>
      </c>
    </row>
    <row r="983" spans="1:8" x14ac:dyDescent="0.3">
      <c r="A983">
        <v>982</v>
      </c>
      <c r="B983" t="s">
        <v>1884</v>
      </c>
      <c r="C983" t="s">
        <v>2024</v>
      </c>
      <c r="D983" t="s">
        <v>1910</v>
      </c>
      <c r="E983">
        <v>1</v>
      </c>
      <c r="F983">
        <v>3</v>
      </c>
      <c r="G983" t="s">
        <v>3621</v>
      </c>
      <c r="H983">
        <v>3</v>
      </c>
    </row>
    <row r="984" spans="1:8" x14ac:dyDescent="0.3">
      <c r="A984">
        <v>983</v>
      </c>
      <c r="B984" t="s">
        <v>830</v>
      </c>
      <c r="C984" t="s">
        <v>2024</v>
      </c>
      <c r="D984" t="s">
        <v>1890</v>
      </c>
      <c r="E984">
        <v>3</v>
      </c>
      <c r="F984">
        <v>9</v>
      </c>
      <c r="G984" t="s">
        <v>3619</v>
      </c>
      <c r="H984">
        <v>3</v>
      </c>
    </row>
    <row r="985" spans="1:8" x14ac:dyDescent="0.3">
      <c r="A985">
        <v>984</v>
      </c>
      <c r="B985" t="s">
        <v>1336</v>
      </c>
      <c r="C985" t="s">
        <v>2024</v>
      </c>
      <c r="D985" t="s">
        <v>553</v>
      </c>
      <c r="E985">
        <v>1</v>
      </c>
      <c r="F985">
        <v>4</v>
      </c>
      <c r="G985" t="s">
        <v>3621</v>
      </c>
      <c r="H985">
        <v>4</v>
      </c>
    </row>
    <row r="986" spans="1:8" x14ac:dyDescent="0.3">
      <c r="A986">
        <v>985</v>
      </c>
      <c r="B986" t="s">
        <v>1644</v>
      </c>
      <c r="C986" t="s">
        <v>2024</v>
      </c>
      <c r="D986" t="s">
        <v>1541</v>
      </c>
      <c r="E986">
        <v>2</v>
      </c>
      <c r="F986">
        <v>7</v>
      </c>
      <c r="G986" t="s">
        <v>3621</v>
      </c>
      <c r="H986">
        <v>3</v>
      </c>
    </row>
    <row r="987" spans="1:8" x14ac:dyDescent="0.3">
      <c r="A987">
        <v>986</v>
      </c>
      <c r="B987" t="s">
        <v>2040</v>
      </c>
      <c r="C987" t="s">
        <v>2024</v>
      </c>
      <c r="D987" t="s">
        <v>2042</v>
      </c>
      <c r="E987">
        <v>1</v>
      </c>
      <c r="F987">
        <v>4</v>
      </c>
      <c r="G987" t="s">
        <v>3619</v>
      </c>
      <c r="H987">
        <v>4</v>
      </c>
    </row>
    <row r="988" spans="1:8" x14ac:dyDescent="0.3">
      <c r="A988">
        <v>987</v>
      </c>
      <c r="B988" t="s">
        <v>569</v>
      </c>
      <c r="C988" t="s">
        <v>2024</v>
      </c>
      <c r="D988" t="s">
        <v>213</v>
      </c>
      <c r="E988">
        <v>2</v>
      </c>
      <c r="F988">
        <v>6</v>
      </c>
      <c r="G988" t="s">
        <v>3619</v>
      </c>
      <c r="H988">
        <v>3</v>
      </c>
    </row>
    <row r="989" spans="1:8" x14ac:dyDescent="0.3">
      <c r="A989">
        <v>988</v>
      </c>
      <c r="B989" t="s">
        <v>1560</v>
      </c>
      <c r="C989" t="s">
        <v>2024</v>
      </c>
      <c r="D989" t="s">
        <v>2045</v>
      </c>
      <c r="E989">
        <v>1</v>
      </c>
      <c r="F989">
        <v>3</v>
      </c>
      <c r="G989" t="s">
        <v>3621</v>
      </c>
      <c r="H989">
        <v>3</v>
      </c>
    </row>
    <row r="990" spans="1:8" x14ac:dyDescent="0.3">
      <c r="A990">
        <v>989</v>
      </c>
      <c r="B990" t="s">
        <v>1649</v>
      </c>
      <c r="C990" t="s">
        <v>2024</v>
      </c>
      <c r="D990" t="s">
        <v>1541</v>
      </c>
      <c r="E990">
        <v>2</v>
      </c>
      <c r="F990">
        <v>7</v>
      </c>
      <c r="G990" t="s">
        <v>3621</v>
      </c>
      <c r="H990">
        <v>4</v>
      </c>
    </row>
    <row r="991" spans="1:8" x14ac:dyDescent="0.3">
      <c r="A991">
        <v>990</v>
      </c>
      <c r="B991" t="s">
        <v>231</v>
      </c>
      <c r="C991" t="s">
        <v>2024</v>
      </c>
      <c r="D991" t="s">
        <v>2048</v>
      </c>
      <c r="E991">
        <v>1</v>
      </c>
      <c r="F991">
        <v>3</v>
      </c>
      <c r="G991" t="s">
        <v>3621</v>
      </c>
      <c r="H991">
        <v>3</v>
      </c>
    </row>
    <row r="992" spans="1:8" x14ac:dyDescent="0.3">
      <c r="A992">
        <v>991</v>
      </c>
      <c r="B992" t="s">
        <v>1038</v>
      </c>
      <c r="C992" t="s">
        <v>2024</v>
      </c>
      <c r="D992" t="s">
        <v>1151</v>
      </c>
      <c r="E992">
        <v>1</v>
      </c>
      <c r="F992">
        <v>6</v>
      </c>
      <c r="G992" t="s">
        <v>3621</v>
      </c>
      <c r="H992">
        <v>6</v>
      </c>
    </row>
    <row r="993" spans="1:8" x14ac:dyDescent="0.3">
      <c r="A993">
        <v>992</v>
      </c>
      <c r="B993" t="s">
        <v>1204</v>
      </c>
      <c r="C993" t="s">
        <v>2024</v>
      </c>
      <c r="D993" t="s">
        <v>2051</v>
      </c>
      <c r="E993">
        <v>1</v>
      </c>
      <c r="F993">
        <v>3</v>
      </c>
      <c r="G993" t="s">
        <v>3621</v>
      </c>
      <c r="H993">
        <v>3</v>
      </c>
    </row>
    <row r="994" spans="1:8" x14ac:dyDescent="0.3">
      <c r="A994">
        <v>993</v>
      </c>
      <c r="B994" t="s">
        <v>1807</v>
      </c>
      <c r="C994" t="s">
        <v>2024</v>
      </c>
      <c r="D994" t="s">
        <v>973</v>
      </c>
      <c r="E994">
        <v>1</v>
      </c>
      <c r="F994">
        <v>3</v>
      </c>
      <c r="G994" t="s">
        <v>3619</v>
      </c>
      <c r="H994">
        <v>3</v>
      </c>
    </row>
    <row r="995" spans="1:8" x14ac:dyDescent="0.3">
      <c r="A995">
        <v>994</v>
      </c>
      <c r="B995" t="s">
        <v>2053</v>
      </c>
      <c r="C995" t="s">
        <v>2024</v>
      </c>
      <c r="D995" t="s">
        <v>296</v>
      </c>
      <c r="E995">
        <v>2</v>
      </c>
      <c r="F995">
        <v>8</v>
      </c>
      <c r="G995" t="s">
        <v>3619</v>
      </c>
      <c r="H995">
        <v>4</v>
      </c>
    </row>
    <row r="996" spans="1:8" x14ac:dyDescent="0.3">
      <c r="A996">
        <v>995</v>
      </c>
      <c r="B996" t="s">
        <v>2055</v>
      </c>
      <c r="C996" t="s">
        <v>2024</v>
      </c>
      <c r="D996" t="s">
        <v>2057</v>
      </c>
      <c r="E996">
        <v>1</v>
      </c>
      <c r="F996">
        <v>4</v>
      </c>
      <c r="G996" t="s">
        <v>3621</v>
      </c>
      <c r="H996">
        <v>4</v>
      </c>
    </row>
    <row r="997" spans="1:8" x14ac:dyDescent="0.3">
      <c r="A997">
        <v>996</v>
      </c>
      <c r="B997" t="s">
        <v>272</v>
      </c>
      <c r="C997" t="s">
        <v>2024</v>
      </c>
      <c r="D997" t="s">
        <v>1121</v>
      </c>
      <c r="E997">
        <v>2</v>
      </c>
      <c r="F997">
        <v>7</v>
      </c>
      <c r="G997" t="s">
        <v>3619</v>
      </c>
      <c r="H997">
        <v>4</v>
      </c>
    </row>
    <row r="998" spans="1:8" x14ac:dyDescent="0.3">
      <c r="A998">
        <v>997</v>
      </c>
      <c r="B998" t="s">
        <v>1230</v>
      </c>
      <c r="C998" t="s">
        <v>2059</v>
      </c>
      <c r="D998" t="s">
        <v>2061</v>
      </c>
      <c r="E998">
        <v>13</v>
      </c>
      <c r="F998">
        <v>47</v>
      </c>
      <c r="G998" t="s">
        <v>3624</v>
      </c>
      <c r="H998">
        <v>3</v>
      </c>
    </row>
    <row r="999" spans="1:8" x14ac:dyDescent="0.3">
      <c r="A999">
        <v>998</v>
      </c>
      <c r="B999" t="s">
        <v>2062</v>
      </c>
      <c r="C999" t="s">
        <v>2059</v>
      </c>
      <c r="D999" t="s">
        <v>2061</v>
      </c>
      <c r="E999">
        <v>13</v>
      </c>
      <c r="F999">
        <v>47</v>
      </c>
      <c r="G999" t="s">
        <v>3624</v>
      </c>
      <c r="H999">
        <v>3</v>
      </c>
    </row>
    <row r="1000" spans="1:8" x14ac:dyDescent="0.3">
      <c r="A1000">
        <v>999</v>
      </c>
      <c r="B1000" t="s">
        <v>1359</v>
      </c>
      <c r="C1000" t="s">
        <v>2059</v>
      </c>
      <c r="D1000" t="s">
        <v>2061</v>
      </c>
      <c r="E1000">
        <v>13</v>
      </c>
      <c r="F1000">
        <v>47</v>
      </c>
      <c r="G1000" t="s">
        <v>3624</v>
      </c>
      <c r="H1000">
        <v>3</v>
      </c>
    </row>
    <row r="1001" spans="1:8" x14ac:dyDescent="0.3">
      <c r="A1001">
        <v>1000</v>
      </c>
      <c r="B1001" t="s">
        <v>47</v>
      </c>
      <c r="C1001" t="s">
        <v>2059</v>
      </c>
      <c r="D1001" t="s">
        <v>2061</v>
      </c>
      <c r="E1001">
        <v>13</v>
      </c>
      <c r="F1001">
        <v>47</v>
      </c>
      <c r="G1001" t="s">
        <v>3624</v>
      </c>
      <c r="H1001">
        <v>3</v>
      </c>
    </row>
    <row r="1002" spans="1:8" x14ac:dyDescent="0.3">
      <c r="A1002">
        <v>1001</v>
      </c>
      <c r="B1002" t="s">
        <v>94</v>
      </c>
      <c r="C1002" t="s">
        <v>2059</v>
      </c>
      <c r="D1002" t="s">
        <v>2067</v>
      </c>
      <c r="E1002">
        <v>2</v>
      </c>
      <c r="F1002">
        <v>7</v>
      </c>
      <c r="G1002" t="s">
        <v>3621</v>
      </c>
      <c r="H1002">
        <v>4</v>
      </c>
    </row>
    <row r="1003" spans="1:8" x14ac:dyDescent="0.3">
      <c r="A1003">
        <v>1002</v>
      </c>
      <c r="B1003" t="s">
        <v>1589</v>
      </c>
      <c r="C1003" t="s">
        <v>2059</v>
      </c>
      <c r="D1003" t="s">
        <v>2069</v>
      </c>
      <c r="E1003">
        <v>1</v>
      </c>
      <c r="F1003">
        <v>4</v>
      </c>
      <c r="G1003" t="s">
        <v>3621</v>
      </c>
      <c r="H1003">
        <v>4</v>
      </c>
    </row>
    <row r="1004" spans="1:8" x14ac:dyDescent="0.3">
      <c r="A1004">
        <v>1003</v>
      </c>
      <c r="B1004" t="s">
        <v>1595</v>
      </c>
      <c r="C1004" t="s">
        <v>2059</v>
      </c>
      <c r="D1004" t="s">
        <v>2061</v>
      </c>
      <c r="E1004">
        <v>13</v>
      </c>
      <c r="F1004">
        <v>47</v>
      </c>
      <c r="G1004" t="s">
        <v>3624</v>
      </c>
      <c r="H1004">
        <v>3</v>
      </c>
    </row>
    <row r="1005" spans="1:8" x14ac:dyDescent="0.3">
      <c r="A1005">
        <v>1004</v>
      </c>
      <c r="B1005" t="s">
        <v>64</v>
      </c>
      <c r="C1005" t="s">
        <v>2059</v>
      </c>
      <c r="D1005" t="s">
        <v>2061</v>
      </c>
      <c r="E1005">
        <v>13</v>
      </c>
      <c r="F1005">
        <v>47</v>
      </c>
      <c r="G1005" t="s">
        <v>3624</v>
      </c>
      <c r="H1005">
        <v>3</v>
      </c>
    </row>
    <row r="1006" spans="1:8" x14ac:dyDescent="0.3">
      <c r="A1006">
        <v>1005</v>
      </c>
      <c r="B1006" t="s">
        <v>1308</v>
      </c>
      <c r="C1006" t="s">
        <v>2059</v>
      </c>
      <c r="D1006" t="s">
        <v>2073</v>
      </c>
      <c r="E1006">
        <v>2</v>
      </c>
      <c r="F1006">
        <v>7</v>
      </c>
      <c r="G1006" t="s">
        <v>3621</v>
      </c>
      <c r="H1006">
        <v>3</v>
      </c>
    </row>
    <row r="1007" spans="1:8" x14ac:dyDescent="0.3">
      <c r="A1007">
        <v>1006</v>
      </c>
      <c r="B1007" t="s">
        <v>2074</v>
      </c>
      <c r="C1007" t="s">
        <v>2059</v>
      </c>
      <c r="D1007" t="s">
        <v>2076</v>
      </c>
      <c r="E1007">
        <v>2</v>
      </c>
      <c r="F1007">
        <v>7</v>
      </c>
      <c r="G1007" t="s">
        <v>3621</v>
      </c>
      <c r="H1007">
        <v>3</v>
      </c>
    </row>
    <row r="1008" spans="1:8" x14ac:dyDescent="0.3">
      <c r="A1008">
        <v>1007</v>
      </c>
      <c r="B1008" t="s">
        <v>2077</v>
      </c>
      <c r="C1008" t="s">
        <v>2059</v>
      </c>
      <c r="D1008" t="s">
        <v>2079</v>
      </c>
      <c r="E1008">
        <v>2</v>
      </c>
      <c r="F1008">
        <v>6</v>
      </c>
      <c r="G1008" t="s">
        <v>3621</v>
      </c>
      <c r="H1008">
        <v>3</v>
      </c>
    </row>
    <row r="1009" spans="1:8" x14ac:dyDescent="0.3">
      <c r="A1009">
        <v>1008</v>
      </c>
      <c r="B1009" t="s">
        <v>1372</v>
      </c>
      <c r="C1009" t="s">
        <v>2059</v>
      </c>
      <c r="D1009" t="s">
        <v>2061</v>
      </c>
      <c r="E1009">
        <v>13</v>
      </c>
      <c r="F1009">
        <v>47</v>
      </c>
      <c r="G1009" t="s">
        <v>3624</v>
      </c>
      <c r="H1009">
        <v>3</v>
      </c>
    </row>
    <row r="1010" spans="1:8" x14ac:dyDescent="0.3">
      <c r="A1010">
        <v>1009</v>
      </c>
      <c r="B1010" t="s">
        <v>152</v>
      </c>
      <c r="C1010" t="s">
        <v>2059</v>
      </c>
      <c r="D1010" t="s">
        <v>98</v>
      </c>
      <c r="E1010">
        <v>1</v>
      </c>
      <c r="F1010">
        <v>4</v>
      </c>
      <c r="G1010" t="s">
        <v>3619</v>
      </c>
      <c r="H1010">
        <v>4</v>
      </c>
    </row>
    <row r="1011" spans="1:8" x14ac:dyDescent="0.3">
      <c r="A1011">
        <v>1010</v>
      </c>
      <c r="B1011" t="s">
        <v>158</v>
      </c>
      <c r="C1011" t="s">
        <v>2059</v>
      </c>
      <c r="D1011" t="s">
        <v>2073</v>
      </c>
      <c r="E1011">
        <v>2</v>
      </c>
      <c r="F1011">
        <v>7</v>
      </c>
      <c r="G1011" t="s">
        <v>3621</v>
      </c>
      <c r="H1011">
        <v>4</v>
      </c>
    </row>
    <row r="1012" spans="1:8" x14ac:dyDescent="0.3">
      <c r="A1012">
        <v>1011</v>
      </c>
      <c r="B1012" t="s">
        <v>161</v>
      </c>
      <c r="C1012" t="s">
        <v>2059</v>
      </c>
      <c r="D1012" t="s">
        <v>442</v>
      </c>
      <c r="E1012">
        <v>1</v>
      </c>
      <c r="F1012">
        <v>4</v>
      </c>
      <c r="G1012" t="s">
        <v>3624</v>
      </c>
      <c r="H1012">
        <v>4</v>
      </c>
    </row>
    <row r="1013" spans="1:8" x14ac:dyDescent="0.3">
      <c r="A1013">
        <v>1012</v>
      </c>
      <c r="B1013" t="s">
        <v>1708</v>
      </c>
      <c r="C1013" t="s">
        <v>2059</v>
      </c>
      <c r="D1013" t="s">
        <v>2061</v>
      </c>
      <c r="E1013">
        <v>13</v>
      </c>
      <c r="F1013">
        <v>47</v>
      </c>
      <c r="G1013" t="s">
        <v>3624</v>
      </c>
      <c r="H1013">
        <v>3</v>
      </c>
    </row>
    <row r="1014" spans="1:8" x14ac:dyDescent="0.3">
      <c r="A1014">
        <v>1013</v>
      </c>
      <c r="B1014" t="s">
        <v>62</v>
      </c>
      <c r="C1014" t="s">
        <v>2059</v>
      </c>
      <c r="D1014" t="s">
        <v>2086</v>
      </c>
      <c r="E1014">
        <v>1</v>
      </c>
      <c r="F1014">
        <v>4</v>
      </c>
      <c r="G1014" t="s">
        <v>3621</v>
      </c>
      <c r="H1014">
        <v>4</v>
      </c>
    </row>
    <row r="1015" spans="1:8" x14ac:dyDescent="0.3">
      <c r="A1015">
        <v>1014</v>
      </c>
      <c r="B1015" t="s">
        <v>186</v>
      </c>
      <c r="C1015" t="s">
        <v>2059</v>
      </c>
      <c r="D1015" t="s">
        <v>207</v>
      </c>
      <c r="E1015">
        <v>4</v>
      </c>
      <c r="F1015">
        <v>12</v>
      </c>
      <c r="G1015" t="s">
        <v>3619</v>
      </c>
      <c r="H1015">
        <v>3</v>
      </c>
    </row>
    <row r="1016" spans="1:8" x14ac:dyDescent="0.3">
      <c r="A1016">
        <v>1015</v>
      </c>
      <c r="B1016" t="s">
        <v>1389</v>
      </c>
      <c r="C1016" t="s">
        <v>2059</v>
      </c>
      <c r="D1016" t="s">
        <v>2061</v>
      </c>
      <c r="E1016">
        <v>13</v>
      </c>
      <c r="F1016">
        <v>47</v>
      </c>
      <c r="G1016" t="s">
        <v>3624</v>
      </c>
      <c r="H1016">
        <v>3</v>
      </c>
    </row>
    <row r="1017" spans="1:8" x14ac:dyDescent="0.3">
      <c r="A1017">
        <v>1016</v>
      </c>
      <c r="B1017" t="s">
        <v>211</v>
      </c>
      <c r="C1017" t="s">
        <v>2059</v>
      </c>
      <c r="D1017" t="s">
        <v>2090</v>
      </c>
      <c r="E1017">
        <v>1</v>
      </c>
      <c r="F1017">
        <v>3</v>
      </c>
      <c r="G1017" t="s">
        <v>3619</v>
      </c>
      <c r="H1017">
        <v>3</v>
      </c>
    </row>
    <row r="1018" spans="1:8" x14ac:dyDescent="0.3">
      <c r="A1018">
        <v>1017</v>
      </c>
      <c r="B1018" t="s">
        <v>2091</v>
      </c>
      <c r="C1018" t="s">
        <v>2059</v>
      </c>
      <c r="D1018" t="s">
        <v>2061</v>
      </c>
      <c r="E1018">
        <v>13</v>
      </c>
      <c r="F1018">
        <v>47</v>
      </c>
      <c r="G1018" t="s">
        <v>3624</v>
      </c>
      <c r="H1018">
        <v>5</v>
      </c>
    </row>
    <row r="1019" spans="1:8" x14ac:dyDescent="0.3">
      <c r="A1019">
        <v>1018</v>
      </c>
      <c r="B1019" t="s">
        <v>1273</v>
      </c>
      <c r="C1019" t="s">
        <v>2059</v>
      </c>
      <c r="D1019" t="s">
        <v>2061</v>
      </c>
      <c r="E1019">
        <v>13</v>
      </c>
      <c r="F1019">
        <v>47</v>
      </c>
      <c r="G1019" t="s">
        <v>3624</v>
      </c>
      <c r="H1019">
        <v>3</v>
      </c>
    </row>
    <row r="1020" spans="1:8" x14ac:dyDescent="0.3">
      <c r="A1020">
        <v>1019</v>
      </c>
      <c r="B1020" t="s">
        <v>1962</v>
      </c>
      <c r="C1020" t="s">
        <v>2059</v>
      </c>
      <c r="D1020" t="s">
        <v>2095</v>
      </c>
      <c r="E1020">
        <v>1</v>
      </c>
      <c r="F1020">
        <v>4</v>
      </c>
      <c r="G1020" t="s">
        <v>3621</v>
      </c>
      <c r="H1020">
        <v>4</v>
      </c>
    </row>
    <row r="1021" spans="1:8" x14ac:dyDescent="0.3">
      <c r="A1021">
        <v>1020</v>
      </c>
      <c r="B1021" t="s">
        <v>2096</v>
      </c>
      <c r="C1021" t="s">
        <v>2059</v>
      </c>
      <c r="D1021" t="s">
        <v>2098</v>
      </c>
      <c r="E1021">
        <v>2</v>
      </c>
      <c r="F1021">
        <v>7</v>
      </c>
      <c r="G1021" t="s">
        <v>3619</v>
      </c>
      <c r="H1021">
        <v>4</v>
      </c>
    </row>
    <row r="1022" spans="1:8" x14ac:dyDescent="0.3">
      <c r="A1022">
        <v>1021</v>
      </c>
      <c r="B1022" t="s">
        <v>1560</v>
      </c>
      <c r="C1022" t="s">
        <v>2059</v>
      </c>
      <c r="D1022" t="s">
        <v>2100</v>
      </c>
      <c r="E1022">
        <v>1</v>
      </c>
      <c r="F1022">
        <v>3</v>
      </c>
      <c r="G1022" t="s">
        <v>3621</v>
      </c>
      <c r="H1022">
        <v>3</v>
      </c>
    </row>
    <row r="1023" spans="1:8" x14ac:dyDescent="0.3">
      <c r="A1023">
        <v>1022</v>
      </c>
      <c r="B1023" t="s">
        <v>1038</v>
      </c>
      <c r="C1023" t="s">
        <v>2059</v>
      </c>
      <c r="D1023" t="s">
        <v>2098</v>
      </c>
      <c r="E1023">
        <v>2</v>
      </c>
      <c r="F1023">
        <v>7</v>
      </c>
      <c r="G1023" t="s">
        <v>3619</v>
      </c>
      <c r="H1023">
        <v>3</v>
      </c>
    </row>
    <row r="1024" spans="1:8" x14ac:dyDescent="0.3">
      <c r="A1024">
        <v>1023</v>
      </c>
      <c r="B1024" t="s">
        <v>1204</v>
      </c>
      <c r="C1024" t="s">
        <v>2059</v>
      </c>
      <c r="D1024" t="s">
        <v>2103</v>
      </c>
      <c r="E1024">
        <v>2</v>
      </c>
      <c r="F1024">
        <v>8</v>
      </c>
      <c r="G1024" t="s">
        <v>3623</v>
      </c>
      <c r="H1024">
        <v>5</v>
      </c>
    </row>
    <row r="1025" spans="1:8" x14ac:dyDescent="0.3">
      <c r="A1025">
        <v>1024</v>
      </c>
      <c r="B1025" t="s">
        <v>608</v>
      </c>
      <c r="C1025" t="s">
        <v>2059</v>
      </c>
      <c r="D1025" t="s">
        <v>2061</v>
      </c>
      <c r="E1025">
        <v>13</v>
      </c>
      <c r="F1025">
        <v>47</v>
      </c>
      <c r="G1025" t="s">
        <v>3624</v>
      </c>
      <c r="H1025">
        <v>7</v>
      </c>
    </row>
    <row r="1026" spans="1:8" x14ac:dyDescent="0.3">
      <c r="A1026">
        <v>1025</v>
      </c>
      <c r="B1026" t="s">
        <v>2105</v>
      </c>
      <c r="C1026" t="s">
        <v>2059</v>
      </c>
      <c r="D1026" t="s">
        <v>183</v>
      </c>
      <c r="E1026">
        <v>4</v>
      </c>
      <c r="F1026">
        <v>12</v>
      </c>
      <c r="G1026" t="s">
        <v>3619</v>
      </c>
      <c r="H1026">
        <v>3</v>
      </c>
    </row>
    <row r="1027" spans="1:8" x14ac:dyDescent="0.3">
      <c r="A1027">
        <v>1026</v>
      </c>
      <c r="B1027" t="s">
        <v>871</v>
      </c>
      <c r="C1027" t="s">
        <v>2059</v>
      </c>
      <c r="D1027" t="s">
        <v>183</v>
      </c>
      <c r="E1027">
        <v>4</v>
      </c>
      <c r="F1027">
        <v>12</v>
      </c>
      <c r="G1027" t="s">
        <v>3619</v>
      </c>
      <c r="H1027">
        <v>3</v>
      </c>
    </row>
    <row r="1028" spans="1:8" x14ac:dyDescent="0.3">
      <c r="A1028">
        <v>1027</v>
      </c>
      <c r="B1028" t="s">
        <v>31</v>
      </c>
      <c r="C1028" t="s">
        <v>2059</v>
      </c>
      <c r="D1028" t="s">
        <v>887</v>
      </c>
      <c r="E1028">
        <v>4</v>
      </c>
      <c r="F1028">
        <v>12</v>
      </c>
      <c r="G1028" t="s">
        <v>3619</v>
      </c>
      <c r="H1028">
        <v>3</v>
      </c>
    </row>
    <row r="1029" spans="1:8" x14ac:dyDescent="0.3">
      <c r="A1029">
        <v>1028</v>
      </c>
      <c r="B1029" t="s">
        <v>41</v>
      </c>
      <c r="C1029" t="s">
        <v>2059</v>
      </c>
      <c r="D1029" t="s">
        <v>2061</v>
      </c>
      <c r="E1029">
        <v>13</v>
      </c>
      <c r="F1029">
        <v>47</v>
      </c>
      <c r="G1029" t="s">
        <v>3624</v>
      </c>
      <c r="H1029">
        <v>5</v>
      </c>
    </row>
    <row r="1030" spans="1:8" x14ac:dyDescent="0.3">
      <c r="A1030">
        <v>1029</v>
      </c>
      <c r="B1030" t="s">
        <v>1827</v>
      </c>
      <c r="C1030" t="s">
        <v>2059</v>
      </c>
      <c r="D1030" t="s">
        <v>2103</v>
      </c>
      <c r="E1030">
        <v>2</v>
      </c>
      <c r="F1030">
        <v>8</v>
      </c>
      <c r="G1030" t="s">
        <v>3623</v>
      </c>
      <c r="H1030">
        <v>3</v>
      </c>
    </row>
    <row r="1031" spans="1:8" x14ac:dyDescent="0.3">
      <c r="A1031">
        <v>1030</v>
      </c>
      <c r="B1031" t="s">
        <v>1066</v>
      </c>
      <c r="C1031" t="s">
        <v>2059</v>
      </c>
      <c r="D1031" t="s">
        <v>2112</v>
      </c>
      <c r="E1031">
        <v>1</v>
      </c>
      <c r="F1031">
        <v>3</v>
      </c>
      <c r="G1031" t="s">
        <v>3619</v>
      </c>
      <c r="H1031">
        <v>3</v>
      </c>
    </row>
    <row r="1032" spans="1:8" x14ac:dyDescent="0.3">
      <c r="A1032">
        <v>1031</v>
      </c>
      <c r="B1032" t="s">
        <v>739</v>
      </c>
      <c r="C1032" t="s">
        <v>2059</v>
      </c>
      <c r="D1032" t="s">
        <v>2114</v>
      </c>
      <c r="E1032">
        <v>1</v>
      </c>
      <c r="F1032">
        <v>3</v>
      </c>
      <c r="G1032" t="s">
        <v>3619</v>
      </c>
      <c r="H1032">
        <v>3</v>
      </c>
    </row>
    <row r="1033" spans="1:8" x14ac:dyDescent="0.3">
      <c r="A1033">
        <v>1032</v>
      </c>
      <c r="B1033" t="s">
        <v>1139</v>
      </c>
      <c r="C1033" t="s">
        <v>2059</v>
      </c>
      <c r="D1033" t="s">
        <v>2116</v>
      </c>
      <c r="E1033">
        <v>1</v>
      </c>
      <c r="F1033">
        <v>3</v>
      </c>
      <c r="G1033" t="s">
        <v>3621</v>
      </c>
      <c r="H1033">
        <v>3</v>
      </c>
    </row>
    <row r="1034" spans="1:8" x14ac:dyDescent="0.3">
      <c r="A1034">
        <v>1033</v>
      </c>
      <c r="B1034" t="s">
        <v>2117</v>
      </c>
      <c r="C1034" t="s">
        <v>2059</v>
      </c>
      <c r="D1034" t="s">
        <v>2079</v>
      </c>
      <c r="E1034">
        <v>2</v>
      </c>
      <c r="F1034">
        <v>6</v>
      </c>
      <c r="G1034" t="s">
        <v>3621</v>
      </c>
      <c r="H1034">
        <v>3</v>
      </c>
    </row>
    <row r="1035" spans="1:8" x14ac:dyDescent="0.3">
      <c r="A1035">
        <v>1034</v>
      </c>
      <c r="B1035" t="s">
        <v>2119</v>
      </c>
      <c r="C1035" t="s">
        <v>2120</v>
      </c>
      <c r="D1035" t="s">
        <v>2061</v>
      </c>
      <c r="E1035">
        <v>13</v>
      </c>
      <c r="F1035">
        <v>51</v>
      </c>
      <c r="G1035" t="s">
        <v>3624</v>
      </c>
      <c r="H1035">
        <v>4</v>
      </c>
    </row>
    <row r="1036" spans="1:8" x14ac:dyDescent="0.3">
      <c r="A1036">
        <v>1035</v>
      </c>
      <c r="B1036" t="s">
        <v>1510</v>
      </c>
      <c r="C1036" t="s">
        <v>2120</v>
      </c>
      <c r="D1036" t="s">
        <v>2061</v>
      </c>
      <c r="E1036">
        <v>13</v>
      </c>
      <c r="F1036">
        <v>51</v>
      </c>
      <c r="G1036" t="s">
        <v>3624</v>
      </c>
      <c r="H1036">
        <v>3</v>
      </c>
    </row>
    <row r="1037" spans="1:8" x14ac:dyDescent="0.3">
      <c r="A1037">
        <v>1036</v>
      </c>
      <c r="B1037" t="s">
        <v>997</v>
      </c>
      <c r="C1037" t="s">
        <v>2120</v>
      </c>
      <c r="D1037" t="s">
        <v>2073</v>
      </c>
      <c r="E1037">
        <v>1</v>
      </c>
      <c r="F1037">
        <v>3</v>
      </c>
      <c r="G1037" t="s">
        <v>3621</v>
      </c>
      <c r="H1037">
        <v>3</v>
      </c>
    </row>
    <row r="1038" spans="1:8" x14ac:dyDescent="0.3">
      <c r="A1038">
        <v>1037</v>
      </c>
      <c r="B1038" t="s">
        <v>1595</v>
      </c>
      <c r="C1038" t="s">
        <v>2120</v>
      </c>
      <c r="D1038" t="s">
        <v>2061</v>
      </c>
      <c r="E1038">
        <v>13</v>
      </c>
      <c r="F1038">
        <v>51</v>
      </c>
      <c r="G1038" t="s">
        <v>3624</v>
      </c>
      <c r="H1038">
        <v>3</v>
      </c>
    </row>
    <row r="1039" spans="1:8" x14ac:dyDescent="0.3">
      <c r="A1039">
        <v>1038</v>
      </c>
      <c r="B1039" t="s">
        <v>1677</v>
      </c>
      <c r="C1039" t="s">
        <v>2120</v>
      </c>
      <c r="D1039" t="s">
        <v>2061</v>
      </c>
      <c r="E1039">
        <v>13</v>
      </c>
      <c r="F1039">
        <v>51</v>
      </c>
      <c r="G1039" t="s">
        <v>3624</v>
      </c>
      <c r="H1039">
        <v>3</v>
      </c>
    </row>
    <row r="1040" spans="1:8" x14ac:dyDescent="0.3">
      <c r="A1040">
        <v>1039</v>
      </c>
      <c r="B1040" t="s">
        <v>1683</v>
      </c>
      <c r="C1040" t="s">
        <v>2120</v>
      </c>
      <c r="D1040" t="s">
        <v>2127</v>
      </c>
      <c r="E1040">
        <v>4</v>
      </c>
      <c r="F1040">
        <v>18</v>
      </c>
      <c r="G1040" t="s">
        <v>3619</v>
      </c>
      <c r="H1040">
        <v>5</v>
      </c>
    </row>
    <row r="1041" spans="1:8" x14ac:dyDescent="0.3">
      <c r="A1041">
        <v>1040</v>
      </c>
      <c r="B1041" t="s">
        <v>780</v>
      </c>
      <c r="C1041" t="s">
        <v>2120</v>
      </c>
      <c r="D1041" t="s">
        <v>2129</v>
      </c>
      <c r="E1041">
        <v>1</v>
      </c>
      <c r="F1041">
        <v>3</v>
      </c>
      <c r="G1041" t="s">
        <v>3621</v>
      </c>
      <c r="H1041">
        <v>3</v>
      </c>
    </row>
    <row r="1042" spans="1:8" x14ac:dyDescent="0.3">
      <c r="A1042">
        <v>1041</v>
      </c>
      <c r="B1042" t="s">
        <v>512</v>
      </c>
      <c r="C1042" t="s">
        <v>2120</v>
      </c>
      <c r="D1042" t="s">
        <v>2061</v>
      </c>
      <c r="E1042">
        <v>13</v>
      </c>
      <c r="F1042">
        <v>51</v>
      </c>
      <c r="G1042" t="s">
        <v>3624</v>
      </c>
      <c r="H1042">
        <v>3</v>
      </c>
    </row>
    <row r="1043" spans="1:8" x14ac:dyDescent="0.3">
      <c r="A1043">
        <v>1042</v>
      </c>
      <c r="B1043" t="s">
        <v>1692</v>
      </c>
      <c r="C1043" t="s">
        <v>2120</v>
      </c>
      <c r="D1043" t="s">
        <v>2061</v>
      </c>
      <c r="E1043">
        <v>13</v>
      </c>
      <c r="F1043">
        <v>51</v>
      </c>
      <c r="G1043" t="s">
        <v>3624</v>
      </c>
      <c r="H1043">
        <v>5</v>
      </c>
    </row>
    <row r="1044" spans="1:8" x14ac:dyDescent="0.3">
      <c r="A1044">
        <v>1043</v>
      </c>
      <c r="B1044" t="s">
        <v>1372</v>
      </c>
      <c r="C1044" t="s">
        <v>2120</v>
      </c>
      <c r="D1044" t="s">
        <v>2061</v>
      </c>
      <c r="E1044">
        <v>13</v>
      </c>
      <c r="F1044">
        <v>51</v>
      </c>
      <c r="G1044" t="s">
        <v>3624</v>
      </c>
      <c r="H1044">
        <v>3</v>
      </c>
    </row>
    <row r="1045" spans="1:8" x14ac:dyDescent="0.3">
      <c r="A1045">
        <v>1044</v>
      </c>
      <c r="B1045" t="s">
        <v>1940</v>
      </c>
      <c r="C1045" t="s">
        <v>2120</v>
      </c>
      <c r="D1045" t="s">
        <v>2134</v>
      </c>
      <c r="E1045">
        <v>1</v>
      </c>
      <c r="F1045">
        <v>4</v>
      </c>
      <c r="G1045" t="s">
        <v>3619</v>
      </c>
      <c r="H1045">
        <v>4</v>
      </c>
    </row>
    <row r="1046" spans="1:8" x14ac:dyDescent="0.3">
      <c r="A1046">
        <v>1045</v>
      </c>
      <c r="B1046" t="s">
        <v>1167</v>
      </c>
      <c r="C1046" t="s">
        <v>2120</v>
      </c>
      <c r="D1046" t="s">
        <v>2136</v>
      </c>
      <c r="E1046">
        <v>1</v>
      </c>
      <c r="F1046">
        <v>3</v>
      </c>
      <c r="G1046" t="s">
        <v>3621</v>
      </c>
      <c r="H1046">
        <v>3</v>
      </c>
    </row>
    <row r="1047" spans="1:8" x14ac:dyDescent="0.3">
      <c r="A1047">
        <v>1046</v>
      </c>
      <c r="B1047" t="s">
        <v>1319</v>
      </c>
      <c r="C1047" t="s">
        <v>2120</v>
      </c>
      <c r="D1047" t="s">
        <v>2098</v>
      </c>
      <c r="E1047">
        <v>1</v>
      </c>
      <c r="F1047">
        <v>3</v>
      </c>
      <c r="G1047" t="s">
        <v>3619</v>
      </c>
      <c r="H1047">
        <v>3</v>
      </c>
    </row>
    <row r="1048" spans="1:8" x14ac:dyDescent="0.3">
      <c r="A1048">
        <v>1047</v>
      </c>
      <c r="B1048" t="s">
        <v>313</v>
      </c>
      <c r="C1048" t="s">
        <v>2120</v>
      </c>
      <c r="D1048" t="s">
        <v>2139</v>
      </c>
      <c r="E1048">
        <v>3</v>
      </c>
      <c r="F1048">
        <v>14</v>
      </c>
      <c r="G1048" t="s">
        <v>3619</v>
      </c>
      <c r="H1048">
        <v>5</v>
      </c>
    </row>
    <row r="1049" spans="1:8" x14ac:dyDescent="0.3">
      <c r="A1049">
        <v>1048</v>
      </c>
      <c r="B1049" t="s">
        <v>155</v>
      </c>
      <c r="C1049" t="s">
        <v>2120</v>
      </c>
      <c r="D1049" t="s">
        <v>442</v>
      </c>
      <c r="E1049">
        <v>4</v>
      </c>
      <c r="F1049">
        <v>17</v>
      </c>
      <c r="G1049" t="s">
        <v>3624</v>
      </c>
      <c r="H1049">
        <v>5</v>
      </c>
    </row>
    <row r="1050" spans="1:8" x14ac:dyDescent="0.3">
      <c r="A1050">
        <v>1049</v>
      </c>
      <c r="B1050" t="s">
        <v>158</v>
      </c>
      <c r="C1050" t="s">
        <v>2120</v>
      </c>
      <c r="D1050" t="s">
        <v>973</v>
      </c>
      <c r="E1050">
        <v>1</v>
      </c>
      <c r="F1050">
        <v>3</v>
      </c>
      <c r="G1050" t="s">
        <v>3619</v>
      </c>
      <c r="H1050">
        <v>3</v>
      </c>
    </row>
    <row r="1051" spans="1:8" x14ac:dyDescent="0.3">
      <c r="A1051">
        <v>1050</v>
      </c>
      <c r="B1051" t="s">
        <v>161</v>
      </c>
      <c r="C1051" t="s">
        <v>2120</v>
      </c>
      <c r="D1051" t="s">
        <v>442</v>
      </c>
      <c r="E1051">
        <v>4</v>
      </c>
      <c r="F1051">
        <v>17</v>
      </c>
      <c r="G1051" t="s">
        <v>3624</v>
      </c>
      <c r="H1051">
        <v>6</v>
      </c>
    </row>
    <row r="1052" spans="1:8" x14ac:dyDescent="0.3">
      <c r="A1052">
        <v>1051</v>
      </c>
      <c r="B1052" t="s">
        <v>1708</v>
      </c>
      <c r="C1052" t="s">
        <v>2120</v>
      </c>
      <c r="D1052" t="s">
        <v>2061</v>
      </c>
      <c r="E1052">
        <v>13</v>
      </c>
      <c r="F1052">
        <v>51</v>
      </c>
      <c r="G1052" t="s">
        <v>3624</v>
      </c>
      <c r="H1052">
        <v>3</v>
      </c>
    </row>
    <row r="1053" spans="1:8" x14ac:dyDescent="0.3">
      <c r="A1053">
        <v>1052</v>
      </c>
      <c r="B1053" t="s">
        <v>423</v>
      </c>
      <c r="C1053" t="s">
        <v>2120</v>
      </c>
      <c r="D1053" t="s">
        <v>2139</v>
      </c>
      <c r="E1053">
        <v>3</v>
      </c>
      <c r="F1053">
        <v>14</v>
      </c>
      <c r="G1053" t="s">
        <v>3619</v>
      </c>
      <c r="H1053">
        <v>4</v>
      </c>
    </row>
    <row r="1054" spans="1:8" x14ac:dyDescent="0.3">
      <c r="A1054">
        <v>1053</v>
      </c>
      <c r="B1054" t="s">
        <v>2005</v>
      </c>
      <c r="C1054" t="s">
        <v>2120</v>
      </c>
      <c r="D1054" t="s">
        <v>2139</v>
      </c>
      <c r="E1054">
        <v>3</v>
      </c>
      <c r="F1054">
        <v>14</v>
      </c>
      <c r="G1054" t="s">
        <v>3619</v>
      </c>
      <c r="H1054">
        <v>5</v>
      </c>
    </row>
    <row r="1055" spans="1:8" x14ac:dyDescent="0.3">
      <c r="A1055">
        <v>1054</v>
      </c>
      <c r="B1055" t="s">
        <v>2146</v>
      </c>
      <c r="C1055" t="s">
        <v>2120</v>
      </c>
      <c r="D1055" t="s">
        <v>2061</v>
      </c>
      <c r="E1055">
        <v>13</v>
      </c>
      <c r="F1055">
        <v>51</v>
      </c>
      <c r="G1055" t="s">
        <v>3624</v>
      </c>
      <c r="H1055">
        <v>5</v>
      </c>
    </row>
    <row r="1056" spans="1:8" x14ac:dyDescent="0.3">
      <c r="A1056">
        <v>1055</v>
      </c>
      <c r="B1056" t="s">
        <v>563</v>
      </c>
      <c r="C1056" t="s">
        <v>2120</v>
      </c>
      <c r="D1056" t="s">
        <v>861</v>
      </c>
      <c r="E1056">
        <v>4</v>
      </c>
      <c r="F1056">
        <v>17</v>
      </c>
      <c r="G1056" t="s">
        <v>3624</v>
      </c>
      <c r="H1056">
        <v>3</v>
      </c>
    </row>
    <row r="1057" spans="1:8" x14ac:dyDescent="0.3">
      <c r="A1057">
        <v>1056</v>
      </c>
      <c r="B1057" t="s">
        <v>1953</v>
      </c>
      <c r="C1057" t="s">
        <v>2120</v>
      </c>
      <c r="D1057" t="s">
        <v>2150</v>
      </c>
      <c r="E1057">
        <v>1</v>
      </c>
      <c r="F1057">
        <v>3</v>
      </c>
      <c r="G1057" t="s">
        <v>3621</v>
      </c>
      <c r="H1057">
        <v>3</v>
      </c>
    </row>
    <row r="1058" spans="1:8" x14ac:dyDescent="0.3">
      <c r="A1058">
        <v>1057</v>
      </c>
      <c r="B1058" t="s">
        <v>1389</v>
      </c>
      <c r="C1058" t="s">
        <v>2120</v>
      </c>
      <c r="D1058" t="s">
        <v>2061</v>
      </c>
      <c r="E1058">
        <v>13</v>
      </c>
      <c r="F1058">
        <v>51</v>
      </c>
      <c r="G1058" t="s">
        <v>3624</v>
      </c>
      <c r="H1058">
        <v>3</v>
      </c>
    </row>
    <row r="1059" spans="1:8" x14ac:dyDescent="0.3">
      <c r="A1059">
        <v>1058</v>
      </c>
      <c r="B1059" t="s">
        <v>1719</v>
      </c>
      <c r="C1059" t="s">
        <v>2120</v>
      </c>
      <c r="D1059" t="s">
        <v>107</v>
      </c>
      <c r="E1059">
        <v>4</v>
      </c>
      <c r="F1059">
        <v>18</v>
      </c>
      <c r="G1059" t="s">
        <v>3619</v>
      </c>
      <c r="H1059">
        <v>6</v>
      </c>
    </row>
    <row r="1060" spans="1:8" x14ac:dyDescent="0.3">
      <c r="A1060">
        <v>1059</v>
      </c>
      <c r="B1060" t="s">
        <v>1394</v>
      </c>
      <c r="C1060" t="s">
        <v>2120</v>
      </c>
      <c r="D1060" t="s">
        <v>2061</v>
      </c>
      <c r="E1060">
        <v>13</v>
      </c>
      <c r="F1060">
        <v>51</v>
      </c>
      <c r="G1060" t="s">
        <v>3624</v>
      </c>
      <c r="H1060">
        <v>5</v>
      </c>
    </row>
    <row r="1061" spans="1:8" x14ac:dyDescent="0.3">
      <c r="A1061">
        <v>1060</v>
      </c>
      <c r="B1061" t="s">
        <v>2154</v>
      </c>
      <c r="C1061" t="s">
        <v>2120</v>
      </c>
      <c r="D1061" t="s">
        <v>856</v>
      </c>
      <c r="E1061">
        <v>1</v>
      </c>
      <c r="F1061">
        <v>3</v>
      </c>
      <c r="G1061" t="s">
        <v>3621</v>
      </c>
      <c r="H1061">
        <v>3</v>
      </c>
    </row>
    <row r="1062" spans="1:8" x14ac:dyDescent="0.3">
      <c r="A1062">
        <v>1061</v>
      </c>
      <c r="B1062" t="s">
        <v>214</v>
      </c>
      <c r="C1062" t="s">
        <v>2120</v>
      </c>
      <c r="D1062" t="s">
        <v>861</v>
      </c>
      <c r="E1062">
        <v>4</v>
      </c>
      <c r="F1062">
        <v>17</v>
      </c>
      <c r="G1062" t="s">
        <v>3624</v>
      </c>
      <c r="H1062">
        <v>3</v>
      </c>
    </row>
    <row r="1063" spans="1:8" x14ac:dyDescent="0.3">
      <c r="A1063">
        <v>1062</v>
      </c>
      <c r="B1063" t="s">
        <v>219</v>
      </c>
      <c r="C1063" t="s">
        <v>2120</v>
      </c>
      <c r="D1063" t="s">
        <v>1074</v>
      </c>
      <c r="E1063">
        <v>1</v>
      </c>
      <c r="F1063">
        <v>3</v>
      </c>
      <c r="G1063" t="s">
        <v>3621</v>
      </c>
      <c r="H1063">
        <v>3</v>
      </c>
    </row>
    <row r="1064" spans="1:8" x14ac:dyDescent="0.3">
      <c r="A1064">
        <v>1063</v>
      </c>
      <c r="B1064" t="s">
        <v>1399</v>
      </c>
      <c r="C1064" t="s">
        <v>2120</v>
      </c>
      <c r="D1064" t="s">
        <v>2061</v>
      </c>
      <c r="E1064">
        <v>13</v>
      </c>
      <c r="F1064">
        <v>51</v>
      </c>
      <c r="G1064" t="s">
        <v>3624</v>
      </c>
      <c r="H1064">
        <v>8</v>
      </c>
    </row>
    <row r="1065" spans="1:8" x14ac:dyDescent="0.3">
      <c r="A1065">
        <v>1064</v>
      </c>
      <c r="B1065" t="s">
        <v>2159</v>
      </c>
      <c r="C1065" t="s">
        <v>2120</v>
      </c>
      <c r="D1065" t="s">
        <v>2100</v>
      </c>
      <c r="E1065">
        <v>1</v>
      </c>
      <c r="F1065">
        <v>5</v>
      </c>
      <c r="G1065" t="s">
        <v>3621</v>
      </c>
      <c r="H1065">
        <v>5</v>
      </c>
    </row>
    <row r="1066" spans="1:8" x14ac:dyDescent="0.3">
      <c r="A1066">
        <v>1065</v>
      </c>
      <c r="B1066" t="s">
        <v>1814</v>
      </c>
      <c r="C1066" t="s">
        <v>2120</v>
      </c>
      <c r="D1066" t="s">
        <v>107</v>
      </c>
      <c r="E1066">
        <v>4</v>
      </c>
      <c r="F1066">
        <v>18</v>
      </c>
      <c r="G1066" t="s">
        <v>3619</v>
      </c>
      <c r="H1066">
        <v>3</v>
      </c>
    </row>
    <row r="1067" spans="1:8" x14ac:dyDescent="0.3">
      <c r="A1067">
        <v>1066</v>
      </c>
      <c r="B1067" t="s">
        <v>377</v>
      </c>
      <c r="C1067" t="s">
        <v>2120</v>
      </c>
      <c r="D1067" t="s">
        <v>2163</v>
      </c>
      <c r="E1067">
        <v>4</v>
      </c>
      <c r="F1067">
        <v>18</v>
      </c>
      <c r="G1067" t="s">
        <v>3619</v>
      </c>
      <c r="H1067">
        <v>4</v>
      </c>
    </row>
    <row r="1068" spans="1:8" x14ac:dyDescent="0.3">
      <c r="A1068">
        <v>1067</v>
      </c>
      <c r="B1068" t="s">
        <v>734</v>
      </c>
      <c r="C1068" t="s">
        <v>2120</v>
      </c>
      <c r="D1068" t="s">
        <v>2165</v>
      </c>
      <c r="E1068">
        <v>1</v>
      </c>
      <c r="F1068">
        <v>4</v>
      </c>
      <c r="G1068" t="s">
        <v>3619</v>
      </c>
      <c r="H1068">
        <v>4</v>
      </c>
    </row>
    <row r="1069" spans="1:8" x14ac:dyDescent="0.3">
      <c r="A1069">
        <v>1068</v>
      </c>
      <c r="B1069" t="s">
        <v>1668</v>
      </c>
      <c r="C1069" t="s">
        <v>2120</v>
      </c>
      <c r="D1069" t="s">
        <v>2061</v>
      </c>
      <c r="E1069">
        <v>13</v>
      </c>
      <c r="F1069">
        <v>51</v>
      </c>
      <c r="G1069" t="s">
        <v>3624</v>
      </c>
      <c r="H1069">
        <v>3</v>
      </c>
    </row>
    <row r="1070" spans="1:8" x14ac:dyDescent="0.3">
      <c r="A1070">
        <v>1069</v>
      </c>
      <c r="B1070" t="s">
        <v>2062</v>
      </c>
      <c r="C1070" t="s">
        <v>2167</v>
      </c>
      <c r="D1070" t="s">
        <v>2169</v>
      </c>
      <c r="E1070">
        <v>4</v>
      </c>
      <c r="F1070">
        <v>19</v>
      </c>
      <c r="G1070" t="s">
        <v>3619</v>
      </c>
      <c r="H1070">
        <v>5</v>
      </c>
    </row>
    <row r="1071" spans="1:8" x14ac:dyDescent="0.3">
      <c r="A1071">
        <v>1070</v>
      </c>
      <c r="B1071" t="s">
        <v>47</v>
      </c>
      <c r="C1071" t="s">
        <v>2167</v>
      </c>
      <c r="D1071" t="s">
        <v>2169</v>
      </c>
      <c r="E1071">
        <v>4</v>
      </c>
      <c r="F1071">
        <v>19</v>
      </c>
      <c r="G1071" t="s">
        <v>3619</v>
      </c>
      <c r="H1071">
        <v>3</v>
      </c>
    </row>
    <row r="1072" spans="1:8" x14ac:dyDescent="0.3">
      <c r="A1072">
        <v>1071</v>
      </c>
      <c r="B1072" t="s">
        <v>497</v>
      </c>
      <c r="C1072" t="s">
        <v>2167</v>
      </c>
      <c r="D1072" t="s">
        <v>2061</v>
      </c>
      <c r="E1072">
        <v>8</v>
      </c>
      <c r="F1072">
        <v>25</v>
      </c>
      <c r="G1072" t="s">
        <v>3624</v>
      </c>
      <c r="H1072">
        <v>3</v>
      </c>
    </row>
    <row r="1073" spans="1:8" x14ac:dyDescent="0.3">
      <c r="A1073">
        <v>1072</v>
      </c>
      <c r="B1073" t="s">
        <v>997</v>
      </c>
      <c r="C1073" t="s">
        <v>2167</v>
      </c>
      <c r="D1073" t="s">
        <v>2173</v>
      </c>
      <c r="E1073">
        <v>1</v>
      </c>
      <c r="F1073">
        <v>4</v>
      </c>
      <c r="G1073" t="s">
        <v>3619</v>
      </c>
      <c r="H1073">
        <v>4</v>
      </c>
    </row>
    <row r="1074" spans="1:8" x14ac:dyDescent="0.3">
      <c r="A1074">
        <v>1073</v>
      </c>
      <c r="B1074" t="s">
        <v>64</v>
      </c>
      <c r="C1074" t="s">
        <v>2167</v>
      </c>
      <c r="D1074" t="s">
        <v>2175</v>
      </c>
      <c r="E1074">
        <v>1</v>
      </c>
      <c r="F1074">
        <v>3</v>
      </c>
      <c r="G1074" t="s">
        <v>3621</v>
      </c>
      <c r="H1074">
        <v>3</v>
      </c>
    </row>
    <row r="1075" spans="1:8" x14ac:dyDescent="0.3">
      <c r="A1075">
        <v>1074</v>
      </c>
      <c r="B1075" t="s">
        <v>780</v>
      </c>
      <c r="C1075" t="s">
        <v>2167</v>
      </c>
      <c r="D1075" t="s">
        <v>2177</v>
      </c>
      <c r="E1075">
        <v>1</v>
      </c>
      <c r="F1075">
        <v>3</v>
      </c>
      <c r="G1075" t="s">
        <v>3621</v>
      </c>
      <c r="H1075">
        <v>3</v>
      </c>
    </row>
    <row r="1076" spans="1:8" x14ac:dyDescent="0.3">
      <c r="A1076">
        <v>1075</v>
      </c>
      <c r="B1076" t="s">
        <v>1940</v>
      </c>
      <c r="C1076" t="s">
        <v>2167</v>
      </c>
      <c r="D1076" t="s">
        <v>2179</v>
      </c>
      <c r="E1076">
        <v>1</v>
      </c>
      <c r="F1076">
        <v>3</v>
      </c>
      <c r="G1076" t="s">
        <v>3621</v>
      </c>
      <c r="H1076">
        <v>3</v>
      </c>
    </row>
    <row r="1077" spans="1:8" x14ac:dyDescent="0.3">
      <c r="A1077">
        <v>1076</v>
      </c>
      <c r="B1077" t="s">
        <v>42</v>
      </c>
      <c r="C1077" t="s">
        <v>2167</v>
      </c>
      <c r="D1077" t="s">
        <v>2181</v>
      </c>
      <c r="E1077">
        <v>2</v>
      </c>
      <c r="F1077">
        <v>11</v>
      </c>
      <c r="G1077" t="s">
        <v>3625</v>
      </c>
      <c r="H1077">
        <v>5</v>
      </c>
    </row>
    <row r="1078" spans="1:8" x14ac:dyDescent="0.3">
      <c r="A1078">
        <v>1077</v>
      </c>
      <c r="B1078" t="s">
        <v>1092</v>
      </c>
      <c r="C1078" t="s">
        <v>2167</v>
      </c>
      <c r="D1078" t="s">
        <v>2061</v>
      </c>
      <c r="E1078">
        <v>8</v>
      </c>
      <c r="F1078">
        <v>25</v>
      </c>
      <c r="G1078" t="s">
        <v>3624</v>
      </c>
      <c r="H1078">
        <v>3</v>
      </c>
    </row>
    <row r="1079" spans="1:8" x14ac:dyDescent="0.3">
      <c r="A1079">
        <v>1078</v>
      </c>
      <c r="B1079" t="s">
        <v>155</v>
      </c>
      <c r="C1079" t="s">
        <v>2167</v>
      </c>
      <c r="D1079" t="s">
        <v>717</v>
      </c>
      <c r="E1079">
        <v>1</v>
      </c>
      <c r="F1079">
        <v>5</v>
      </c>
      <c r="G1079" t="s">
        <v>3624</v>
      </c>
      <c r="H1079">
        <v>5</v>
      </c>
    </row>
    <row r="1080" spans="1:8" x14ac:dyDescent="0.3">
      <c r="A1080">
        <v>1079</v>
      </c>
      <c r="B1080" t="s">
        <v>1097</v>
      </c>
      <c r="C1080" t="s">
        <v>2167</v>
      </c>
      <c r="D1080" t="s">
        <v>2061</v>
      </c>
      <c r="E1080">
        <v>8</v>
      </c>
      <c r="F1080">
        <v>25</v>
      </c>
      <c r="G1080" t="s">
        <v>3624</v>
      </c>
      <c r="H1080">
        <v>4</v>
      </c>
    </row>
    <row r="1081" spans="1:8" x14ac:dyDescent="0.3">
      <c r="A1081">
        <v>1080</v>
      </c>
      <c r="B1081" t="s">
        <v>1623</v>
      </c>
      <c r="C1081" t="s">
        <v>2167</v>
      </c>
      <c r="D1081" t="s">
        <v>2061</v>
      </c>
      <c r="E1081">
        <v>8</v>
      </c>
      <c r="F1081">
        <v>25</v>
      </c>
      <c r="G1081" t="s">
        <v>3624</v>
      </c>
      <c r="H1081">
        <v>3</v>
      </c>
    </row>
    <row r="1082" spans="1:8" x14ac:dyDescent="0.3">
      <c r="A1082">
        <v>1081</v>
      </c>
      <c r="B1082" t="s">
        <v>196</v>
      </c>
      <c r="C1082" t="s">
        <v>2167</v>
      </c>
      <c r="D1082" t="s">
        <v>2098</v>
      </c>
      <c r="E1082">
        <v>1</v>
      </c>
      <c r="F1082">
        <v>3</v>
      </c>
      <c r="G1082" t="s">
        <v>3619</v>
      </c>
      <c r="H1082">
        <v>3</v>
      </c>
    </row>
    <row r="1083" spans="1:8" x14ac:dyDescent="0.3">
      <c r="A1083">
        <v>1082</v>
      </c>
      <c r="B1083" t="s">
        <v>1470</v>
      </c>
      <c r="C1083" t="s">
        <v>2167</v>
      </c>
      <c r="D1083" t="s">
        <v>2061</v>
      </c>
      <c r="E1083">
        <v>8</v>
      </c>
      <c r="F1083">
        <v>25</v>
      </c>
      <c r="G1083" t="s">
        <v>3624</v>
      </c>
      <c r="H1083">
        <v>3</v>
      </c>
    </row>
    <row r="1084" spans="1:8" x14ac:dyDescent="0.3">
      <c r="A1084">
        <v>1083</v>
      </c>
      <c r="B1084" t="s">
        <v>1953</v>
      </c>
      <c r="C1084" t="s">
        <v>2167</v>
      </c>
      <c r="D1084" t="s">
        <v>2189</v>
      </c>
      <c r="E1084">
        <v>1</v>
      </c>
      <c r="F1084">
        <v>4</v>
      </c>
      <c r="G1084" t="s">
        <v>3621</v>
      </c>
      <c r="H1084">
        <v>4</v>
      </c>
    </row>
    <row r="1085" spans="1:8" x14ac:dyDescent="0.3">
      <c r="A1085">
        <v>1084</v>
      </c>
      <c r="B1085" t="s">
        <v>2040</v>
      </c>
      <c r="C1085" t="s">
        <v>2167</v>
      </c>
      <c r="D1085" t="s">
        <v>2169</v>
      </c>
      <c r="E1085">
        <v>4</v>
      </c>
      <c r="F1085">
        <v>19</v>
      </c>
      <c r="G1085" t="s">
        <v>3619</v>
      </c>
      <c r="H1085">
        <v>7</v>
      </c>
    </row>
    <row r="1086" spans="1:8" x14ac:dyDescent="0.3">
      <c r="A1086">
        <v>1085</v>
      </c>
      <c r="B1086" t="s">
        <v>211</v>
      </c>
      <c r="C1086" t="s">
        <v>2167</v>
      </c>
      <c r="D1086" t="s">
        <v>2103</v>
      </c>
      <c r="E1086">
        <v>1</v>
      </c>
      <c r="F1086">
        <v>3</v>
      </c>
      <c r="G1086" t="s">
        <v>3623</v>
      </c>
      <c r="H1086">
        <v>3</v>
      </c>
    </row>
    <row r="1087" spans="1:8" x14ac:dyDescent="0.3">
      <c r="A1087">
        <v>1086</v>
      </c>
      <c r="B1087" t="s">
        <v>1202</v>
      </c>
      <c r="C1087" t="s">
        <v>2167</v>
      </c>
      <c r="D1087" t="s">
        <v>2193</v>
      </c>
      <c r="E1087">
        <v>1</v>
      </c>
      <c r="F1087">
        <v>3</v>
      </c>
      <c r="G1087" t="s">
        <v>3619</v>
      </c>
      <c r="H1087">
        <v>3</v>
      </c>
    </row>
    <row r="1088" spans="1:8" x14ac:dyDescent="0.3">
      <c r="A1088">
        <v>1087</v>
      </c>
      <c r="B1088" t="s">
        <v>1728</v>
      </c>
      <c r="C1088" t="s">
        <v>2167</v>
      </c>
      <c r="D1088" t="s">
        <v>2061</v>
      </c>
      <c r="E1088">
        <v>8</v>
      </c>
      <c r="F1088">
        <v>25</v>
      </c>
      <c r="G1088" t="s">
        <v>3624</v>
      </c>
      <c r="H1088">
        <v>3</v>
      </c>
    </row>
    <row r="1089" spans="1:8" x14ac:dyDescent="0.3">
      <c r="A1089">
        <v>1088</v>
      </c>
      <c r="B1089" t="s">
        <v>2195</v>
      </c>
      <c r="C1089" t="s">
        <v>2167</v>
      </c>
      <c r="D1089" t="s">
        <v>2181</v>
      </c>
      <c r="E1089">
        <v>2</v>
      </c>
      <c r="F1089">
        <v>11</v>
      </c>
      <c r="G1089" t="s">
        <v>3625</v>
      </c>
      <c r="H1089">
        <v>6</v>
      </c>
    </row>
    <row r="1090" spans="1:8" x14ac:dyDescent="0.3">
      <c r="A1090">
        <v>1089</v>
      </c>
      <c r="B1090" t="s">
        <v>1129</v>
      </c>
      <c r="C1090" t="s">
        <v>2167</v>
      </c>
      <c r="D1090" t="s">
        <v>2061</v>
      </c>
      <c r="E1090">
        <v>8</v>
      </c>
      <c r="F1090">
        <v>25</v>
      </c>
      <c r="G1090" t="s">
        <v>3624</v>
      </c>
      <c r="H1090">
        <v>3</v>
      </c>
    </row>
    <row r="1091" spans="1:8" x14ac:dyDescent="0.3">
      <c r="A1091">
        <v>1090</v>
      </c>
      <c r="B1091" t="s">
        <v>2198</v>
      </c>
      <c r="C1091" t="s">
        <v>2167</v>
      </c>
      <c r="D1091" t="s">
        <v>2061</v>
      </c>
      <c r="E1091">
        <v>8</v>
      </c>
      <c r="F1091">
        <v>25</v>
      </c>
      <c r="G1091" t="s">
        <v>3624</v>
      </c>
      <c r="H1091">
        <v>3</v>
      </c>
    </row>
    <row r="1092" spans="1:8" x14ac:dyDescent="0.3">
      <c r="A1092">
        <v>1091</v>
      </c>
      <c r="B1092" t="s">
        <v>729</v>
      </c>
      <c r="C1092" t="s">
        <v>2167</v>
      </c>
      <c r="D1092" t="s">
        <v>107</v>
      </c>
      <c r="E1092">
        <v>2</v>
      </c>
      <c r="F1092">
        <v>7</v>
      </c>
      <c r="G1092" t="s">
        <v>3619</v>
      </c>
      <c r="H1092">
        <v>3</v>
      </c>
    </row>
    <row r="1093" spans="1:8" x14ac:dyDescent="0.3">
      <c r="A1093">
        <v>1092</v>
      </c>
      <c r="B1093" t="s">
        <v>26</v>
      </c>
      <c r="C1093" t="s">
        <v>2167</v>
      </c>
      <c r="D1093" t="s">
        <v>2169</v>
      </c>
      <c r="E1093">
        <v>4</v>
      </c>
      <c r="F1093">
        <v>19</v>
      </c>
      <c r="G1093" t="s">
        <v>3619</v>
      </c>
      <c r="H1093">
        <v>4</v>
      </c>
    </row>
    <row r="1094" spans="1:8" x14ac:dyDescent="0.3">
      <c r="A1094">
        <v>1093</v>
      </c>
      <c r="B1094" t="s">
        <v>1062</v>
      </c>
      <c r="C1094" t="s">
        <v>2167</v>
      </c>
      <c r="D1094" t="s">
        <v>887</v>
      </c>
      <c r="E1094">
        <v>2</v>
      </c>
      <c r="F1094">
        <v>7</v>
      </c>
      <c r="G1094" t="s">
        <v>3619</v>
      </c>
      <c r="H1094">
        <v>4</v>
      </c>
    </row>
    <row r="1095" spans="1:8" x14ac:dyDescent="0.3">
      <c r="A1095">
        <v>1094</v>
      </c>
      <c r="B1095" t="s">
        <v>1230</v>
      </c>
      <c r="C1095" t="s">
        <v>2203</v>
      </c>
      <c r="D1095" t="s">
        <v>2175</v>
      </c>
      <c r="E1095">
        <v>1</v>
      </c>
      <c r="F1095">
        <v>4</v>
      </c>
      <c r="G1095" t="s">
        <v>3621</v>
      </c>
      <c r="H1095">
        <v>4</v>
      </c>
    </row>
    <row r="1096" spans="1:8" x14ac:dyDescent="0.3">
      <c r="A1096">
        <v>1095</v>
      </c>
      <c r="B1096" t="s">
        <v>2062</v>
      </c>
      <c r="C1096" t="s">
        <v>2203</v>
      </c>
      <c r="D1096" t="s">
        <v>2079</v>
      </c>
      <c r="E1096">
        <v>1</v>
      </c>
      <c r="F1096">
        <v>3</v>
      </c>
      <c r="G1096" t="s">
        <v>3621</v>
      </c>
      <c r="H1096">
        <v>3</v>
      </c>
    </row>
    <row r="1097" spans="1:8" x14ac:dyDescent="0.3">
      <c r="A1097">
        <v>1096</v>
      </c>
      <c r="B1097" t="s">
        <v>91</v>
      </c>
      <c r="C1097" t="s">
        <v>2203</v>
      </c>
      <c r="D1097" t="s">
        <v>2207</v>
      </c>
      <c r="E1097">
        <v>3</v>
      </c>
      <c r="F1097">
        <v>9</v>
      </c>
      <c r="G1097" t="s">
        <v>3619</v>
      </c>
      <c r="H1097">
        <v>3</v>
      </c>
    </row>
    <row r="1098" spans="1:8" x14ac:dyDescent="0.3">
      <c r="A1098">
        <v>1097</v>
      </c>
      <c r="B1098" t="s">
        <v>1236</v>
      </c>
      <c r="C1098" t="s">
        <v>2203</v>
      </c>
      <c r="D1098" t="s">
        <v>2061</v>
      </c>
      <c r="E1098">
        <v>12</v>
      </c>
      <c r="F1098">
        <v>40</v>
      </c>
      <c r="G1098" t="s">
        <v>3624</v>
      </c>
      <c r="H1098">
        <v>4</v>
      </c>
    </row>
    <row r="1099" spans="1:8" x14ac:dyDescent="0.3">
      <c r="A1099">
        <v>1098</v>
      </c>
      <c r="B1099" t="s">
        <v>2209</v>
      </c>
      <c r="C1099" t="s">
        <v>2203</v>
      </c>
      <c r="D1099" t="s">
        <v>2061</v>
      </c>
      <c r="E1099">
        <v>12</v>
      </c>
      <c r="F1099">
        <v>40</v>
      </c>
      <c r="G1099" t="s">
        <v>3624</v>
      </c>
      <c r="H1099">
        <v>3</v>
      </c>
    </row>
    <row r="1100" spans="1:8" x14ac:dyDescent="0.3">
      <c r="A1100">
        <v>1099</v>
      </c>
      <c r="B1100" t="s">
        <v>105</v>
      </c>
      <c r="C1100" t="s">
        <v>2203</v>
      </c>
      <c r="D1100" t="s">
        <v>973</v>
      </c>
      <c r="E1100">
        <v>1</v>
      </c>
      <c r="F1100">
        <v>3</v>
      </c>
      <c r="G1100" t="s">
        <v>3619</v>
      </c>
      <c r="H1100">
        <v>3</v>
      </c>
    </row>
    <row r="1101" spans="1:8" x14ac:dyDescent="0.3">
      <c r="A1101">
        <v>1100</v>
      </c>
      <c r="B1101" t="s">
        <v>1301</v>
      </c>
      <c r="C1101" t="s">
        <v>2203</v>
      </c>
      <c r="D1101" t="s">
        <v>323</v>
      </c>
      <c r="E1101">
        <v>3</v>
      </c>
      <c r="F1101">
        <v>10</v>
      </c>
      <c r="G1101" t="s">
        <v>3619</v>
      </c>
      <c r="H1101">
        <v>3</v>
      </c>
    </row>
    <row r="1102" spans="1:8" x14ac:dyDescent="0.3">
      <c r="A1102">
        <v>1101</v>
      </c>
      <c r="B1102" t="s">
        <v>1856</v>
      </c>
      <c r="C1102" t="s">
        <v>2203</v>
      </c>
      <c r="D1102" t="s">
        <v>2061</v>
      </c>
      <c r="E1102">
        <v>12</v>
      </c>
      <c r="F1102">
        <v>40</v>
      </c>
      <c r="G1102" t="s">
        <v>3624</v>
      </c>
      <c r="H1102">
        <v>4</v>
      </c>
    </row>
    <row r="1103" spans="1:8" x14ac:dyDescent="0.3">
      <c r="A1103">
        <v>1102</v>
      </c>
      <c r="B1103" t="s">
        <v>111</v>
      </c>
      <c r="C1103" t="s">
        <v>2203</v>
      </c>
      <c r="D1103" t="s">
        <v>2215</v>
      </c>
      <c r="E1103">
        <v>1</v>
      </c>
      <c r="F1103">
        <v>3</v>
      </c>
      <c r="G1103" t="s">
        <v>3621</v>
      </c>
      <c r="H1103">
        <v>3</v>
      </c>
    </row>
    <row r="1104" spans="1:8" x14ac:dyDescent="0.3">
      <c r="A1104">
        <v>1103</v>
      </c>
      <c r="B1104" t="s">
        <v>114</v>
      </c>
      <c r="C1104" t="s">
        <v>2203</v>
      </c>
      <c r="D1104" t="s">
        <v>2217</v>
      </c>
      <c r="E1104">
        <v>1</v>
      </c>
      <c r="F1104">
        <v>3</v>
      </c>
      <c r="G1104" t="s">
        <v>3619</v>
      </c>
      <c r="H1104">
        <v>3</v>
      </c>
    </row>
    <row r="1105" spans="1:8" x14ac:dyDescent="0.3">
      <c r="A1105">
        <v>1104</v>
      </c>
      <c r="B1105" t="s">
        <v>777</v>
      </c>
      <c r="C1105" t="s">
        <v>2203</v>
      </c>
      <c r="D1105" t="s">
        <v>2207</v>
      </c>
      <c r="E1105">
        <v>3</v>
      </c>
      <c r="F1105">
        <v>9</v>
      </c>
      <c r="G1105" t="s">
        <v>3619</v>
      </c>
      <c r="H1105">
        <v>3</v>
      </c>
    </row>
    <row r="1106" spans="1:8" x14ac:dyDescent="0.3">
      <c r="A1106">
        <v>1105</v>
      </c>
      <c r="B1106" t="s">
        <v>1688</v>
      </c>
      <c r="C1106" t="s">
        <v>2203</v>
      </c>
      <c r="D1106" t="s">
        <v>113</v>
      </c>
      <c r="E1106">
        <v>1</v>
      </c>
      <c r="F1106">
        <v>5</v>
      </c>
      <c r="G1106" t="s">
        <v>3619</v>
      </c>
      <c r="H1106">
        <v>5</v>
      </c>
    </row>
    <row r="1107" spans="1:8" x14ac:dyDescent="0.3">
      <c r="A1107">
        <v>1106</v>
      </c>
      <c r="B1107" t="s">
        <v>1866</v>
      </c>
      <c r="C1107" t="s">
        <v>2203</v>
      </c>
      <c r="D1107" t="s">
        <v>2061</v>
      </c>
      <c r="E1107">
        <v>12</v>
      </c>
      <c r="F1107">
        <v>40</v>
      </c>
      <c r="G1107" t="s">
        <v>3624</v>
      </c>
      <c r="H1107">
        <v>3</v>
      </c>
    </row>
    <row r="1108" spans="1:8" x14ac:dyDescent="0.3">
      <c r="A1108">
        <v>1107</v>
      </c>
      <c r="B1108" t="s">
        <v>1940</v>
      </c>
      <c r="C1108" t="s">
        <v>2203</v>
      </c>
      <c r="D1108" t="s">
        <v>2222</v>
      </c>
      <c r="E1108">
        <v>2</v>
      </c>
      <c r="F1108">
        <v>7</v>
      </c>
      <c r="G1108" t="s">
        <v>3621</v>
      </c>
      <c r="H1108">
        <v>4</v>
      </c>
    </row>
    <row r="1109" spans="1:8" x14ac:dyDescent="0.3">
      <c r="A1109">
        <v>1108</v>
      </c>
      <c r="B1109" t="s">
        <v>1609</v>
      </c>
      <c r="C1109" t="s">
        <v>2203</v>
      </c>
      <c r="D1109" t="s">
        <v>2061</v>
      </c>
      <c r="E1109">
        <v>12</v>
      </c>
      <c r="F1109">
        <v>40</v>
      </c>
      <c r="G1109" t="s">
        <v>3624</v>
      </c>
      <c r="H1109">
        <v>3</v>
      </c>
    </row>
    <row r="1110" spans="1:8" x14ac:dyDescent="0.3">
      <c r="A1110">
        <v>1109</v>
      </c>
      <c r="B1110" t="s">
        <v>30</v>
      </c>
      <c r="C1110" t="s">
        <v>2203</v>
      </c>
      <c r="D1110" t="s">
        <v>2225</v>
      </c>
      <c r="E1110">
        <v>1</v>
      </c>
      <c r="F1110">
        <v>3</v>
      </c>
      <c r="G1110" t="s">
        <v>3619</v>
      </c>
      <c r="H1110">
        <v>3</v>
      </c>
    </row>
    <row r="1111" spans="1:8" x14ac:dyDescent="0.3">
      <c r="A1111">
        <v>1110</v>
      </c>
      <c r="B1111" t="s">
        <v>164</v>
      </c>
      <c r="C1111" t="s">
        <v>2203</v>
      </c>
      <c r="D1111" t="s">
        <v>2061</v>
      </c>
      <c r="E1111">
        <v>12</v>
      </c>
      <c r="F1111">
        <v>40</v>
      </c>
      <c r="G1111" t="s">
        <v>3624</v>
      </c>
      <c r="H1111">
        <v>3</v>
      </c>
    </row>
    <row r="1112" spans="1:8" x14ac:dyDescent="0.3">
      <c r="A1112">
        <v>1111</v>
      </c>
      <c r="B1112" t="s">
        <v>54</v>
      </c>
      <c r="C1112" t="s">
        <v>2203</v>
      </c>
      <c r="D1112" t="s">
        <v>2228</v>
      </c>
      <c r="E1112">
        <v>2</v>
      </c>
      <c r="F1112">
        <v>6</v>
      </c>
      <c r="G1112" t="s">
        <v>3619</v>
      </c>
      <c r="H1112">
        <v>3</v>
      </c>
    </row>
    <row r="1113" spans="1:8" x14ac:dyDescent="0.3">
      <c r="A1113">
        <v>1112</v>
      </c>
      <c r="B1113" t="s">
        <v>1449</v>
      </c>
      <c r="C1113" t="s">
        <v>2203</v>
      </c>
      <c r="D1113" t="s">
        <v>2061</v>
      </c>
      <c r="E1113">
        <v>12</v>
      </c>
      <c r="F1113">
        <v>40</v>
      </c>
      <c r="G1113" t="s">
        <v>3624</v>
      </c>
      <c r="H1113">
        <v>3</v>
      </c>
    </row>
    <row r="1114" spans="1:8" x14ac:dyDescent="0.3">
      <c r="A1114">
        <v>1113</v>
      </c>
      <c r="B1114" t="s">
        <v>35</v>
      </c>
      <c r="C1114" t="s">
        <v>2203</v>
      </c>
      <c r="D1114" t="s">
        <v>2231</v>
      </c>
      <c r="E1114">
        <v>1</v>
      </c>
      <c r="F1114">
        <v>4</v>
      </c>
      <c r="G1114" t="s">
        <v>3619</v>
      </c>
      <c r="H1114">
        <v>4</v>
      </c>
    </row>
    <row r="1115" spans="1:8" x14ac:dyDescent="0.3">
      <c r="A1115">
        <v>1114</v>
      </c>
      <c r="B1115" t="s">
        <v>1459</v>
      </c>
      <c r="C1115" t="s">
        <v>2203</v>
      </c>
      <c r="D1115" t="s">
        <v>2061</v>
      </c>
      <c r="E1115">
        <v>12</v>
      </c>
      <c r="F1115">
        <v>40</v>
      </c>
      <c r="G1115" t="s">
        <v>3624</v>
      </c>
      <c r="H1115">
        <v>3</v>
      </c>
    </row>
    <row r="1116" spans="1:8" x14ac:dyDescent="0.3">
      <c r="A1116">
        <v>1115</v>
      </c>
      <c r="B1116" t="s">
        <v>929</v>
      </c>
      <c r="C1116" t="s">
        <v>2203</v>
      </c>
      <c r="D1116" t="s">
        <v>2061</v>
      </c>
      <c r="E1116">
        <v>12</v>
      </c>
      <c r="F1116">
        <v>40</v>
      </c>
      <c r="G1116" t="s">
        <v>3624</v>
      </c>
      <c r="H1116">
        <v>3</v>
      </c>
    </row>
    <row r="1117" spans="1:8" x14ac:dyDescent="0.3">
      <c r="A1117">
        <v>1116</v>
      </c>
      <c r="B1117" t="s">
        <v>1326</v>
      </c>
      <c r="C1117" t="s">
        <v>2203</v>
      </c>
      <c r="D1117" t="s">
        <v>183</v>
      </c>
      <c r="E1117">
        <v>3</v>
      </c>
      <c r="F1117">
        <v>10</v>
      </c>
      <c r="G1117" t="s">
        <v>3619</v>
      </c>
      <c r="H1117">
        <v>3</v>
      </c>
    </row>
    <row r="1118" spans="1:8" x14ac:dyDescent="0.3">
      <c r="A1118">
        <v>1117</v>
      </c>
      <c r="B1118" t="s">
        <v>1269</v>
      </c>
      <c r="C1118" t="s">
        <v>2203</v>
      </c>
      <c r="D1118" t="s">
        <v>2061</v>
      </c>
      <c r="E1118">
        <v>12</v>
      </c>
      <c r="F1118">
        <v>40</v>
      </c>
      <c r="G1118" t="s">
        <v>3624</v>
      </c>
      <c r="H1118">
        <v>4</v>
      </c>
    </row>
    <row r="1119" spans="1:8" x14ac:dyDescent="0.3">
      <c r="A1119">
        <v>1118</v>
      </c>
      <c r="B1119" t="s">
        <v>1394</v>
      </c>
      <c r="C1119" t="s">
        <v>2203</v>
      </c>
      <c r="D1119" t="s">
        <v>2181</v>
      </c>
      <c r="E1119">
        <v>2</v>
      </c>
      <c r="F1119">
        <v>7</v>
      </c>
      <c r="G1119" t="s">
        <v>3625</v>
      </c>
      <c r="H1119">
        <v>3</v>
      </c>
    </row>
    <row r="1120" spans="1:8" x14ac:dyDescent="0.3">
      <c r="A1120">
        <v>1119</v>
      </c>
      <c r="B1120" t="s">
        <v>2091</v>
      </c>
      <c r="C1120" t="s">
        <v>2203</v>
      </c>
      <c r="D1120" t="s">
        <v>2181</v>
      </c>
      <c r="E1120">
        <v>2</v>
      </c>
      <c r="F1120">
        <v>7</v>
      </c>
      <c r="G1120" t="s">
        <v>3625</v>
      </c>
      <c r="H1120">
        <v>4</v>
      </c>
    </row>
    <row r="1121" spans="1:8" x14ac:dyDescent="0.3">
      <c r="A1121">
        <v>1120</v>
      </c>
      <c r="B1121" t="s">
        <v>955</v>
      </c>
      <c r="C1121" t="s">
        <v>2203</v>
      </c>
      <c r="D1121" t="s">
        <v>2061</v>
      </c>
      <c r="E1121">
        <v>12</v>
      </c>
      <c r="F1121">
        <v>40</v>
      </c>
      <c r="G1121" t="s">
        <v>3624</v>
      </c>
      <c r="H1121">
        <v>3</v>
      </c>
    </row>
    <row r="1122" spans="1:8" x14ac:dyDescent="0.3">
      <c r="A1122">
        <v>1121</v>
      </c>
      <c r="B1122" t="s">
        <v>1027</v>
      </c>
      <c r="C1122" t="s">
        <v>2203</v>
      </c>
      <c r="D1122" t="s">
        <v>304</v>
      </c>
      <c r="E1122">
        <v>3</v>
      </c>
      <c r="F1122">
        <v>10</v>
      </c>
      <c r="G1122" t="s">
        <v>3619</v>
      </c>
      <c r="H1122">
        <v>4</v>
      </c>
    </row>
    <row r="1123" spans="1:8" x14ac:dyDescent="0.3">
      <c r="A1123">
        <v>1122</v>
      </c>
      <c r="B1123" t="s">
        <v>1202</v>
      </c>
      <c r="C1123" t="s">
        <v>2203</v>
      </c>
      <c r="D1123" t="s">
        <v>2241</v>
      </c>
      <c r="E1123">
        <v>2</v>
      </c>
      <c r="F1123">
        <v>6</v>
      </c>
      <c r="G1123" t="s">
        <v>3619</v>
      </c>
      <c r="H1123">
        <v>3</v>
      </c>
    </row>
    <row r="1124" spans="1:8" x14ac:dyDescent="0.3">
      <c r="A1124">
        <v>1123</v>
      </c>
      <c r="B1124" t="s">
        <v>715</v>
      </c>
      <c r="C1124" t="s">
        <v>2203</v>
      </c>
      <c r="D1124" t="s">
        <v>2061</v>
      </c>
      <c r="E1124">
        <v>12</v>
      </c>
      <c r="F1124">
        <v>40</v>
      </c>
      <c r="G1124" t="s">
        <v>3624</v>
      </c>
      <c r="H1124">
        <v>4</v>
      </c>
    </row>
    <row r="1125" spans="1:8" x14ac:dyDescent="0.3">
      <c r="A1125">
        <v>1124</v>
      </c>
      <c r="B1125" t="s">
        <v>261</v>
      </c>
      <c r="C1125" t="s">
        <v>2203</v>
      </c>
      <c r="D1125" t="s">
        <v>2207</v>
      </c>
      <c r="E1125">
        <v>3</v>
      </c>
      <c r="F1125">
        <v>9</v>
      </c>
      <c r="G1125" t="s">
        <v>3619</v>
      </c>
      <c r="H1125">
        <v>3</v>
      </c>
    </row>
    <row r="1126" spans="1:8" x14ac:dyDescent="0.3">
      <c r="A1126">
        <v>1125</v>
      </c>
      <c r="B1126" t="s">
        <v>1054</v>
      </c>
      <c r="C1126" t="s">
        <v>2203</v>
      </c>
      <c r="D1126" t="s">
        <v>2222</v>
      </c>
      <c r="E1126">
        <v>2</v>
      </c>
      <c r="F1126">
        <v>7</v>
      </c>
      <c r="G1126" t="s">
        <v>3621</v>
      </c>
      <c r="H1126">
        <v>3</v>
      </c>
    </row>
    <row r="1127" spans="1:8" x14ac:dyDescent="0.3">
      <c r="A1127">
        <v>1126</v>
      </c>
      <c r="B1127" t="s">
        <v>41</v>
      </c>
      <c r="C1127" t="s">
        <v>2203</v>
      </c>
      <c r="D1127" t="s">
        <v>2098</v>
      </c>
      <c r="E1127">
        <v>1</v>
      </c>
      <c r="F1127">
        <v>5</v>
      </c>
      <c r="G1127" t="s">
        <v>3619</v>
      </c>
      <c r="H1127">
        <v>5</v>
      </c>
    </row>
    <row r="1128" spans="1:8" x14ac:dyDescent="0.3">
      <c r="A1128">
        <v>1127</v>
      </c>
      <c r="B1128" t="s">
        <v>60</v>
      </c>
      <c r="C1128" t="s">
        <v>12</v>
      </c>
      <c r="D1128" t="s">
        <v>2247</v>
      </c>
      <c r="E1128">
        <v>6</v>
      </c>
      <c r="F1128">
        <v>21</v>
      </c>
      <c r="G1128" t="s">
        <v>3619</v>
      </c>
      <c r="H1128">
        <v>4</v>
      </c>
    </row>
    <row r="1129" spans="1:8" x14ac:dyDescent="0.3">
      <c r="A1129">
        <v>1128</v>
      </c>
      <c r="B1129" t="s">
        <v>47</v>
      </c>
      <c r="C1129" t="s">
        <v>12</v>
      </c>
      <c r="D1129" t="s">
        <v>2249</v>
      </c>
      <c r="E1129">
        <v>2</v>
      </c>
      <c r="F1129">
        <v>8</v>
      </c>
      <c r="G1129" t="s">
        <v>3621</v>
      </c>
      <c r="H1129">
        <v>4</v>
      </c>
    </row>
    <row r="1130" spans="1:8" x14ac:dyDescent="0.3">
      <c r="A1130">
        <v>1129</v>
      </c>
      <c r="B1130" t="s">
        <v>72</v>
      </c>
      <c r="C1130" t="s">
        <v>12</v>
      </c>
      <c r="D1130" t="s">
        <v>2251</v>
      </c>
      <c r="E1130">
        <v>12</v>
      </c>
      <c r="F1130">
        <v>46</v>
      </c>
      <c r="G1130" t="s">
        <v>3619</v>
      </c>
      <c r="H1130">
        <v>4</v>
      </c>
    </row>
    <row r="1131" spans="1:8" x14ac:dyDescent="0.3">
      <c r="A1131">
        <v>1130</v>
      </c>
      <c r="B1131" t="s">
        <v>66</v>
      </c>
      <c r="C1131" t="s">
        <v>12</v>
      </c>
      <c r="D1131" t="s">
        <v>2090</v>
      </c>
      <c r="E1131">
        <v>1</v>
      </c>
      <c r="F1131">
        <v>4</v>
      </c>
      <c r="G1131" t="s">
        <v>3619</v>
      </c>
      <c r="H1131">
        <v>4</v>
      </c>
    </row>
    <row r="1132" spans="1:8" x14ac:dyDescent="0.3">
      <c r="A1132">
        <v>1131</v>
      </c>
      <c r="B1132" t="s">
        <v>64</v>
      </c>
      <c r="C1132" t="s">
        <v>12</v>
      </c>
      <c r="D1132" t="s">
        <v>2249</v>
      </c>
      <c r="E1132">
        <v>2</v>
      </c>
      <c r="F1132">
        <v>8</v>
      </c>
      <c r="G1132" t="s">
        <v>3621</v>
      </c>
      <c r="H1132">
        <v>4</v>
      </c>
    </row>
    <row r="1133" spans="1:8" x14ac:dyDescent="0.3">
      <c r="A1133">
        <v>1132</v>
      </c>
      <c r="B1133" t="s">
        <v>71</v>
      </c>
      <c r="C1133" t="s">
        <v>12</v>
      </c>
      <c r="D1133" t="s">
        <v>2255</v>
      </c>
      <c r="E1133">
        <v>1</v>
      </c>
      <c r="F1133">
        <v>3</v>
      </c>
      <c r="G1133" t="s">
        <v>3619</v>
      </c>
      <c r="H1133">
        <v>3</v>
      </c>
    </row>
    <row r="1134" spans="1:8" x14ac:dyDescent="0.3">
      <c r="A1134">
        <v>1133</v>
      </c>
      <c r="B1134" t="s">
        <v>51</v>
      </c>
      <c r="C1134" t="s">
        <v>12</v>
      </c>
      <c r="D1134" t="s">
        <v>2257</v>
      </c>
      <c r="E1134">
        <v>1</v>
      </c>
      <c r="F1134">
        <v>3</v>
      </c>
      <c r="G1134" t="s">
        <v>3621</v>
      </c>
      <c r="H1134">
        <v>3</v>
      </c>
    </row>
    <row r="1135" spans="1:8" x14ac:dyDescent="0.3">
      <c r="A1135">
        <v>1134</v>
      </c>
      <c r="B1135" t="s">
        <v>53</v>
      </c>
      <c r="C1135" t="s">
        <v>12</v>
      </c>
      <c r="D1135" t="s">
        <v>2259</v>
      </c>
      <c r="E1135">
        <v>12</v>
      </c>
      <c r="F1135">
        <v>46</v>
      </c>
      <c r="G1135" t="s">
        <v>3619</v>
      </c>
      <c r="H1135">
        <v>3</v>
      </c>
    </row>
    <row r="1136" spans="1:8" x14ac:dyDescent="0.3">
      <c r="A1136">
        <v>1135</v>
      </c>
      <c r="B1136" t="s">
        <v>61</v>
      </c>
      <c r="C1136" t="s">
        <v>12</v>
      </c>
      <c r="D1136" t="s">
        <v>2061</v>
      </c>
      <c r="E1136">
        <v>4</v>
      </c>
      <c r="F1136">
        <v>13</v>
      </c>
      <c r="G1136" t="s">
        <v>3624</v>
      </c>
      <c r="H1136">
        <v>3</v>
      </c>
    </row>
    <row r="1137" spans="1:8" x14ac:dyDescent="0.3">
      <c r="A1137">
        <v>1136</v>
      </c>
      <c r="B1137" t="s">
        <v>69</v>
      </c>
      <c r="C1137" t="s">
        <v>12</v>
      </c>
      <c r="D1137" t="s">
        <v>2262</v>
      </c>
      <c r="E1137">
        <v>1</v>
      </c>
      <c r="F1137">
        <v>3</v>
      </c>
      <c r="G1137" t="s">
        <v>3621</v>
      </c>
      <c r="H1137">
        <v>3</v>
      </c>
    </row>
    <row r="1138" spans="1:8" x14ac:dyDescent="0.3">
      <c r="A1138">
        <v>1137</v>
      </c>
      <c r="B1138" t="s">
        <v>34</v>
      </c>
      <c r="C1138" t="s">
        <v>12</v>
      </c>
      <c r="D1138" t="s">
        <v>2247</v>
      </c>
      <c r="E1138">
        <v>6</v>
      </c>
      <c r="F1138">
        <v>21</v>
      </c>
      <c r="G1138" t="s">
        <v>3619</v>
      </c>
      <c r="H1138">
        <v>4</v>
      </c>
    </row>
    <row r="1139" spans="1:8" x14ac:dyDescent="0.3">
      <c r="A1139">
        <v>1138</v>
      </c>
      <c r="B1139" t="s">
        <v>54</v>
      </c>
      <c r="C1139" t="s">
        <v>12</v>
      </c>
      <c r="D1139" t="s">
        <v>107</v>
      </c>
      <c r="E1139">
        <v>1</v>
      </c>
      <c r="F1139">
        <v>3</v>
      </c>
      <c r="G1139" t="s">
        <v>3619</v>
      </c>
      <c r="H1139">
        <v>3</v>
      </c>
    </row>
    <row r="1140" spans="1:8" x14ac:dyDescent="0.3">
      <c r="A1140">
        <v>1139</v>
      </c>
      <c r="B1140" t="s">
        <v>25</v>
      </c>
      <c r="C1140" t="s">
        <v>12</v>
      </c>
      <c r="D1140" t="s">
        <v>2266</v>
      </c>
      <c r="E1140">
        <v>12</v>
      </c>
      <c r="F1140">
        <v>46</v>
      </c>
      <c r="G1140" t="s">
        <v>3619</v>
      </c>
      <c r="H1140">
        <v>4</v>
      </c>
    </row>
    <row r="1141" spans="1:8" x14ac:dyDescent="0.3">
      <c r="A1141">
        <v>1140</v>
      </c>
      <c r="B1141" t="s">
        <v>62</v>
      </c>
      <c r="C1141" t="s">
        <v>12</v>
      </c>
      <c r="D1141" t="s">
        <v>2268</v>
      </c>
      <c r="E1141">
        <v>1</v>
      </c>
      <c r="F1141">
        <v>3</v>
      </c>
      <c r="G1141" t="s">
        <v>3621</v>
      </c>
      <c r="H1141">
        <v>3</v>
      </c>
    </row>
    <row r="1142" spans="1:8" x14ac:dyDescent="0.3">
      <c r="A1142">
        <v>1141</v>
      </c>
      <c r="B1142" t="s">
        <v>37</v>
      </c>
      <c r="C1142" t="s">
        <v>12</v>
      </c>
      <c r="D1142" t="s">
        <v>2270</v>
      </c>
      <c r="E1142">
        <v>12</v>
      </c>
      <c r="F1142">
        <v>46</v>
      </c>
      <c r="G1142" t="s">
        <v>3619</v>
      </c>
      <c r="H1142">
        <v>4</v>
      </c>
    </row>
    <row r="1143" spans="1:8" x14ac:dyDescent="0.3">
      <c r="A1143">
        <v>1142</v>
      </c>
      <c r="B1143" t="s">
        <v>70</v>
      </c>
      <c r="C1143" t="s">
        <v>12</v>
      </c>
      <c r="D1143" t="s">
        <v>2272</v>
      </c>
      <c r="E1143">
        <v>12</v>
      </c>
      <c r="F1143">
        <v>46</v>
      </c>
      <c r="G1143" t="s">
        <v>3619</v>
      </c>
      <c r="H1143">
        <v>3</v>
      </c>
    </row>
    <row r="1144" spans="1:8" x14ac:dyDescent="0.3">
      <c r="A1144">
        <v>1143</v>
      </c>
      <c r="B1144" t="s">
        <v>48</v>
      </c>
      <c r="C1144" t="s">
        <v>12</v>
      </c>
      <c r="D1144" t="s">
        <v>140</v>
      </c>
      <c r="E1144">
        <v>1</v>
      </c>
      <c r="F1144">
        <v>3</v>
      </c>
      <c r="G1144" t="s">
        <v>3621</v>
      </c>
      <c r="H1144">
        <v>3</v>
      </c>
    </row>
    <row r="1145" spans="1:8" x14ac:dyDescent="0.3">
      <c r="A1145">
        <v>1144</v>
      </c>
      <c r="B1145" t="s">
        <v>29</v>
      </c>
      <c r="C1145" t="s">
        <v>12</v>
      </c>
      <c r="D1145" t="s">
        <v>2061</v>
      </c>
      <c r="E1145">
        <v>4</v>
      </c>
      <c r="F1145">
        <v>13</v>
      </c>
      <c r="G1145" t="s">
        <v>3624</v>
      </c>
      <c r="H1145">
        <v>3</v>
      </c>
    </row>
    <row r="1146" spans="1:8" x14ac:dyDescent="0.3">
      <c r="A1146">
        <v>1145</v>
      </c>
      <c r="B1146" t="s">
        <v>57</v>
      </c>
      <c r="C1146" t="s">
        <v>12</v>
      </c>
      <c r="D1146" t="s">
        <v>2276</v>
      </c>
      <c r="E1146">
        <v>1</v>
      </c>
      <c r="F1146">
        <v>3</v>
      </c>
      <c r="G1146" t="s">
        <v>3621</v>
      </c>
      <c r="H1146">
        <v>3</v>
      </c>
    </row>
    <row r="1147" spans="1:8" x14ac:dyDescent="0.3">
      <c r="A1147">
        <v>1146</v>
      </c>
      <c r="B1147" t="s">
        <v>65</v>
      </c>
      <c r="C1147" t="s">
        <v>12</v>
      </c>
      <c r="D1147" t="s">
        <v>2278</v>
      </c>
      <c r="E1147">
        <v>12</v>
      </c>
      <c r="F1147">
        <v>46</v>
      </c>
      <c r="G1147" t="s">
        <v>3619</v>
      </c>
      <c r="H1147">
        <v>4</v>
      </c>
    </row>
    <row r="1148" spans="1:8" x14ac:dyDescent="0.3">
      <c r="A1148">
        <v>1147</v>
      </c>
      <c r="B1148" t="s">
        <v>73</v>
      </c>
      <c r="C1148" t="s">
        <v>12</v>
      </c>
      <c r="D1148" t="s">
        <v>2280</v>
      </c>
      <c r="E1148">
        <v>6</v>
      </c>
      <c r="F1148">
        <v>21</v>
      </c>
      <c r="G1148" t="s">
        <v>3619</v>
      </c>
      <c r="H1148">
        <v>4</v>
      </c>
    </row>
    <row r="1149" spans="1:8" x14ac:dyDescent="0.3">
      <c r="A1149">
        <v>1148</v>
      </c>
      <c r="B1149" t="s">
        <v>56</v>
      </c>
      <c r="C1149" t="s">
        <v>12</v>
      </c>
      <c r="D1149" t="s">
        <v>2061</v>
      </c>
      <c r="E1149">
        <v>4</v>
      </c>
      <c r="F1149">
        <v>13</v>
      </c>
      <c r="G1149" t="s">
        <v>3624</v>
      </c>
      <c r="H1149">
        <v>4</v>
      </c>
    </row>
    <row r="1150" spans="1:8" x14ac:dyDescent="0.3">
      <c r="A1150">
        <v>1149</v>
      </c>
      <c r="B1150" t="s">
        <v>58</v>
      </c>
      <c r="C1150" t="s">
        <v>12</v>
      </c>
      <c r="D1150" t="s">
        <v>2103</v>
      </c>
      <c r="E1150">
        <v>1</v>
      </c>
      <c r="F1150">
        <v>3</v>
      </c>
      <c r="G1150" t="s">
        <v>3623</v>
      </c>
      <c r="H1150">
        <v>3</v>
      </c>
    </row>
    <row r="1151" spans="1:8" x14ac:dyDescent="0.3">
      <c r="A1151">
        <v>1150</v>
      </c>
      <c r="B1151" t="s">
        <v>40</v>
      </c>
      <c r="C1151" t="s">
        <v>12</v>
      </c>
      <c r="D1151" t="s">
        <v>2061</v>
      </c>
      <c r="E1151">
        <v>4</v>
      </c>
      <c r="F1151">
        <v>13</v>
      </c>
      <c r="G1151" t="s">
        <v>3624</v>
      </c>
      <c r="H1151">
        <v>3</v>
      </c>
    </row>
    <row r="1152" spans="1:8" x14ac:dyDescent="0.3">
      <c r="A1152">
        <v>1151</v>
      </c>
      <c r="B1152" t="s">
        <v>33</v>
      </c>
      <c r="C1152" t="s">
        <v>12</v>
      </c>
      <c r="D1152" t="s">
        <v>2285</v>
      </c>
      <c r="E1152">
        <v>6</v>
      </c>
      <c r="F1152">
        <v>21</v>
      </c>
      <c r="G1152" t="s">
        <v>3619</v>
      </c>
      <c r="H1152">
        <v>3</v>
      </c>
    </row>
    <row r="1153" spans="1:8" x14ac:dyDescent="0.3">
      <c r="A1153">
        <v>1152</v>
      </c>
      <c r="B1153" t="s">
        <v>63</v>
      </c>
      <c r="C1153" t="s">
        <v>12</v>
      </c>
      <c r="D1153" t="s">
        <v>2287</v>
      </c>
      <c r="E1153">
        <v>12</v>
      </c>
      <c r="F1153">
        <v>46</v>
      </c>
      <c r="G1153" t="s">
        <v>3619</v>
      </c>
      <c r="H1153">
        <v>5</v>
      </c>
    </row>
    <row r="1154" spans="1:8" x14ac:dyDescent="0.3">
      <c r="A1154">
        <v>1153</v>
      </c>
      <c r="B1154" t="s">
        <v>44</v>
      </c>
      <c r="C1154" t="s">
        <v>12</v>
      </c>
      <c r="D1154" t="s">
        <v>2289</v>
      </c>
      <c r="E1154">
        <v>12</v>
      </c>
      <c r="F1154">
        <v>46</v>
      </c>
      <c r="G1154" t="s">
        <v>3619</v>
      </c>
      <c r="H1154">
        <v>4</v>
      </c>
    </row>
    <row r="1155" spans="1:8" x14ac:dyDescent="0.3">
      <c r="A1155">
        <v>1154</v>
      </c>
      <c r="B1155" t="s">
        <v>46</v>
      </c>
      <c r="C1155" t="s">
        <v>12</v>
      </c>
      <c r="D1155" t="s">
        <v>2247</v>
      </c>
      <c r="E1155">
        <v>6</v>
      </c>
      <c r="F1155">
        <v>21</v>
      </c>
      <c r="G1155" t="s">
        <v>3619</v>
      </c>
      <c r="H1155">
        <v>3</v>
      </c>
    </row>
    <row r="1156" spans="1:8" x14ac:dyDescent="0.3">
      <c r="A1156">
        <v>1155</v>
      </c>
      <c r="B1156" t="s">
        <v>67</v>
      </c>
      <c r="C1156" t="s">
        <v>12</v>
      </c>
      <c r="D1156" t="s">
        <v>2292</v>
      </c>
      <c r="E1156">
        <v>12</v>
      </c>
      <c r="F1156">
        <v>46</v>
      </c>
      <c r="G1156" t="s">
        <v>3619</v>
      </c>
      <c r="H1156">
        <v>3</v>
      </c>
    </row>
    <row r="1157" spans="1:8" x14ac:dyDescent="0.3">
      <c r="A1157">
        <v>1156</v>
      </c>
      <c r="B1157" t="s">
        <v>59</v>
      </c>
      <c r="C1157" t="s">
        <v>12</v>
      </c>
      <c r="D1157" t="s">
        <v>2294</v>
      </c>
      <c r="E1157">
        <v>6</v>
      </c>
      <c r="F1157">
        <v>21</v>
      </c>
      <c r="G1157" t="s">
        <v>3619</v>
      </c>
      <c r="H1157">
        <v>3</v>
      </c>
    </row>
    <row r="1158" spans="1:8" x14ac:dyDescent="0.3">
      <c r="A1158">
        <v>1157</v>
      </c>
      <c r="B1158" t="s">
        <v>55</v>
      </c>
      <c r="C1158" t="s">
        <v>12</v>
      </c>
      <c r="D1158" t="s">
        <v>2296</v>
      </c>
      <c r="E1158">
        <v>1</v>
      </c>
      <c r="F1158">
        <v>4</v>
      </c>
      <c r="G1158" t="s">
        <v>3619</v>
      </c>
      <c r="H1158">
        <v>4</v>
      </c>
    </row>
    <row r="1159" spans="1:8" x14ac:dyDescent="0.3">
      <c r="A1159">
        <v>1158</v>
      </c>
      <c r="B1159" t="s">
        <v>49</v>
      </c>
      <c r="C1159" t="s">
        <v>12</v>
      </c>
      <c r="D1159" t="s">
        <v>2298</v>
      </c>
      <c r="E1159">
        <v>12</v>
      </c>
      <c r="F1159">
        <v>46</v>
      </c>
      <c r="G1159" t="s">
        <v>3619</v>
      </c>
      <c r="H1159">
        <v>4</v>
      </c>
    </row>
    <row r="1160" spans="1:8" x14ac:dyDescent="0.3">
      <c r="A1160">
        <v>1159</v>
      </c>
      <c r="B1160" t="s">
        <v>68</v>
      </c>
      <c r="C1160" t="s">
        <v>12</v>
      </c>
      <c r="D1160" t="s">
        <v>2300</v>
      </c>
      <c r="E1160">
        <v>12</v>
      </c>
      <c r="F1160">
        <v>46</v>
      </c>
      <c r="G1160" t="s">
        <v>3619</v>
      </c>
      <c r="H1160">
        <v>4</v>
      </c>
    </row>
    <row r="1161" spans="1:8" x14ac:dyDescent="0.3">
      <c r="A1161">
        <v>1160</v>
      </c>
      <c r="B1161" t="s">
        <v>52</v>
      </c>
      <c r="C1161" t="s">
        <v>12</v>
      </c>
      <c r="D1161" t="s">
        <v>2302</v>
      </c>
      <c r="E1161">
        <v>12</v>
      </c>
      <c r="F1161">
        <v>46</v>
      </c>
      <c r="G1161" t="s">
        <v>3619</v>
      </c>
      <c r="H116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 SUMMARY </vt:lpstr>
      <vt:lpstr>FOR SHEQ</vt:lpstr>
      <vt:lpstr>IDLING VIOLATION</vt:lpstr>
      <vt:lpstr>HARSH BRAKE VIOLATION</vt:lpstr>
      <vt:lpstr> OVER SPEEDING VIOLATION </vt:lpstr>
      <vt:lpstr>NIGHT DRIVING REPORT </vt:lpstr>
      <vt:lpstr>OFFENSE</vt:lpstr>
      <vt:lpstr>IDLING OPERATIONAL SUMMARY</vt:lpstr>
      <vt:lpstr>IDLING CLASSIFIED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Godlisten Nguma</dc:creator>
  <cp:lastModifiedBy>Howard Mugassa</cp:lastModifiedBy>
  <cp:lastPrinted>2024-10-08T07:24:25Z</cp:lastPrinted>
  <dcterms:created xsi:type="dcterms:W3CDTF">2024-04-02T11:50:09Z</dcterms:created>
  <dcterms:modified xsi:type="dcterms:W3CDTF">2026-03-07T07:43:50Z</dcterms:modified>
</cp:coreProperties>
</file>